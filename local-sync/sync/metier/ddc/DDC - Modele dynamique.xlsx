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  <sheet name="REC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i val="1"/>
      <color rgb="00C00000"/>
      <sz val="10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sz val="11"/>
    </font>
    <font>
      <name val="Arial"/>
      <b val="1"/>
      <color rgb="00C00000"/>
      <sz val="14"/>
    </font>
    <font>
      <name val="Arial"/>
      <b val="1"/>
      <color rgb="00C00000"/>
      <sz val="10"/>
    </font>
    <font>
      <name val="Arial"/>
      <color rgb="00808080"/>
      <sz val="9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4" borderId="1" pivotButton="0" quotePrefix="0" xfId="0"/>
    <xf numFmtId="0" fontId="10" fillId="0" borderId="0" pivotButton="0" quotePrefix="0" xfId="0"/>
    <xf numFmtId="0" fontId="8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onneesCas" displayName="DonneesCas" ref="A5:G504" headerRowCount="1">
  <autoFilter ref="A5:G504"/>
  <tableColumns count="7">
    <tableColumn id="1" name="None"/>
    <tableColumn id="2" name="None"/>
    <tableColumn id="3" name="None"/>
    <tableColumn id="4" name="None"/>
    <tableColumn id="5" name="None"/>
    <tableColumn id="6" name="=IF([@Noeud_Cas]=&quot;&quot;,&quot;&quot;,VALUE(TRIM(LEFT([@Noeud_Cas],SEARCH(&quot;/&quot;,[@Noeud_Cas]&amp;&quot;/&quot;)-1))))"/>
    <tableColumn id="7" name="=IF([@Nom_cas]=&quot;&quot;,&quot;&quot;,IF(OR(ISNUMBER(SEARCH(&quot;Couverture&quot;,[@Nom_cas])),LEFT([@Nom_cas],2)=&quot;G &quot;),&quot;COUV&quot;,IF(ISNUMBER(SEARCH(&quot;Vent G/D&quot;,[@Nom_cas])),&quot;VGD&quot;,IF(ISNUMBER(SEARCH(&quot;Vent D/G&quot;,[@Nom_cas])),&quot;VDG&quot;,IF(ISNUMBER(SEARCH(&quot;Vent Av./Arr.&quot;,[@Nom_cas])),&quot;VAA&quot;,IF(ISNUMBER(SEARCH(&quot;Vent Arr./Av.&quot;,[@Nom_cas])),&quot;VAV&quot;,IF(ISNUMBER(SEARCH(&quot;accidentel&quot;,[@Nom_cas])),&quot;NACC&quot;,IF(ISNUMBER(SEARCH(&quot;Neige&quot;,[@Nom_cas])),&quot;NEIGE&quot;,&quot;&quot;)))))))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MODE D'EMPLOI — DDC Dynamique</t>
        </is>
      </c>
    </row>
    <row r="3">
      <c r="A3" s="2" t="inlineStr"/>
    </row>
    <row r="4">
      <c r="A4" s="2" t="inlineStr">
        <is>
          <t>PREREQUIS : Microsoft Excel 365 (ou Excel 2021) — verifiez cellule SYNTHESE!G4 = OK</t>
        </is>
      </c>
    </row>
    <row r="5">
      <c r="A5" s="2" t="inlineStr"/>
    </row>
    <row r="6">
      <c r="A6" s="2" t="inlineStr">
        <is>
          <t>Etape 1 — SAISIE</t>
        </is>
      </c>
    </row>
    <row r="7">
      <c r="A7" s="2" t="inlineStr">
        <is>
          <t>- Collez vos cas bruts dans les colonnes A a E seulement.</t>
        </is>
      </c>
    </row>
    <row r="8">
      <c r="A8" s="2" t="inlineStr">
        <is>
          <t>- Format Noeud_Cas : 47/1 ou 47/ 1 (les deux fonctionnent).</t>
        </is>
      </c>
    </row>
    <row r="9">
      <c r="A9" s="2" t="inlineStr">
        <is>
          <t>- Colonnes F (Noeud) et G (Famille) : ne pas modifier, calcul automatique.</t>
        </is>
      </c>
    </row>
    <row r="10">
      <c r="A10" s="2" t="inlineStr"/>
    </row>
    <row r="11">
      <c r="A11" s="2" t="inlineStr">
        <is>
          <t>Etape 2 — SYNTHESE</t>
        </is>
      </c>
    </row>
    <row r="12">
      <c r="A12" s="2" t="inlineStr">
        <is>
          <t>- Cellule B3 (fond rouge) : tapez le numero de noeud de vos donnees, ex: 47</t>
        </is>
      </c>
    </row>
    <row r="13">
      <c r="A13" s="2" t="inlineStr">
        <is>
          <t>- Cellule F4 : liste des noeuds detectes dans vos donnees.</t>
        </is>
      </c>
    </row>
    <row r="14">
      <c r="A14" s="2" t="inlineStr">
        <is>
          <t>- B4 = Oui si vous avez rempli la colonne FY (stabilite 3D).</t>
        </is>
      </c>
    </row>
    <row r="15">
      <c r="A15" s="2" t="inlineStr"/>
    </row>
    <row r="16">
      <c r="A16" s="2" t="inlineStr">
        <is>
          <t>Si rien ne s'affiche :</t>
        </is>
      </c>
    </row>
    <row r="17">
      <c r="A17" s="2" t="inlineStr">
        <is>
          <t>1. Verifiez que B3 = le bon noeud (pas 6 si vos donnees sont en 47 !)</t>
        </is>
      </c>
    </row>
    <row r="18">
      <c r="A18" s="2" t="inlineStr">
        <is>
          <t>2. Appuyez sur F9 pour recalculer</t>
        </is>
      </c>
    </row>
    <row r="19">
      <c r="A19" s="2" t="inlineStr">
        <is>
          <t>3. Verifiez G4 : si 'Excel 365 REQUIS', mettez a jour Excel</t>
        </is>
      </c>
    </row>
    <row r="20">
      <c r="A20" s="2" t="inlineStr"/>
    </row>
    <row r="21">
      <c r="A21" s="2" t="inlineStr">
        <is>
          <t>Etape 3 — RECAP : synthese de tous les noeuds en un coup d'oeil.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1" customWidth="1" min="3" max="3"/>
    <col width="11" customWidth="1" min="4" max="4"/>
    <col width="11" customWidth="1" min="5" max="5"/>
    <col width="8" customWidth="1" min="6" max="6"/>
    <col width="10" customWidth="1" min="7" max="7"/>
  </cols>
  <sheetData>
    <row r="1">
      <c r="A1" s="1" t="inlineStr">
        <is>
          <t>1 — SAISIE DES CAS DE CHARGE</t>
        </is>
      </c>
    </row>
    <row r="2">
      <c r="A2" s="3" t="inlineStr">
        <is>
          <t>Collez UNIQUEMENT dans A-E (Noeud_Cas, Nom, FX, FY, FZ). Ne touchez pas F-G : elles se remplissent automatiquement.</t>
        </is>
      </c>
    </row>
    <row r="4">
      <c r="A4" s="4" t="inlineStr">
        <is>
          <t>Noeud_Cas</t>
        </is>
      </c>
      <c r="B4" s="4" t="inlineStr">
        <is>
          <t>Nom_cas</t>
        </is>
      </c>
      <c r="C4" s="4" t="inlineStr">
        <is>
          <t>FX_daN</t>
        </is>
      </c>
      <c r="D4" s="4" t="inlineStr">
        <is>
          <t>FY_daN</t>
        </is>
      </c>
      <c r="E4" s="4" t="inlineStr">
        <is>
          <t>FZ_daN</t>
        </is>
      </c>
      <c r="F4" s="4" t="inlineStr">
        <is>
          <t>Noeud</t>
        </is>
      </c>
      <c r="G4" s="4" t="inlineStr">
        <is>
          <t>Famille</t>
        </is>
      </c>
    </row>
    <row r="5">
      <c r="A5" s="15" t="inlineStr">
        <is>
          <t>47/1</t>
        </is>
      </c>
      <c r="B5" s="15" t="inlineStr">
        <is>
          <t>G : Couverture : PA 6 BS 10 PV15</t>
        </is>
      </c>
      <c r="C5" s="15" t="n">
        <v>-116</v>
      </c>
      <c r="D5" s="15" t="n">
        <v>7</v>
      </c>
      <c r="E5" s="15" t="n">
        <v>-1285</v>
      </c>
      <c r="F5" s="5">
        <f>IF([@Noeud_Cas]="","",VALUE(TRIM(LEFT([@Noeud_Cas],SEARCH("/",[@Noeud_Cas]&amp;"/")-1))))</f>
        <v/>
      </c>
      <c r="G5" s="5">
        <f>IF([@Nom_cas]="","",IF(OR(ISNUMBER(SEARCH("Couverture",[@Nom_cas])),LEFT([@Nom_cas],2)="G "),"COUV",IF(ISNUMBER(SEARCH("Vent G/D",[@Nom_cas])),"VGD",IF(ISNUMBER(SEARCH("Vent D/G",[@Nom_cas])),"VDG",IF(ISNUMBER(SEARCH("Vent Av./Arr.",[@Nom_cas])),"VAA",IF(ISNUMBER(SEARCH("Vent Arr./Av.",[@Nom_cas])),"VAV",IF(ISNUMBER(SEARCH("accidentel",[@Nom_cas])),"NACC",IF(ISNUMBER(SEARCH("Neige",[@Nom_cas])),"NEIGE",""))))))))</f>
        <v/>
      </c>
    </row>
    <row r="6">
      <c r="A6" s="15" t="inlineStr">
        <is>
          <t>47/2</t>
        </is>
      </c>
      <c r="B6" s="15" t="inlineStr">
        <is>
          <t>Vent G/D dep.(-) Portique 2</t>
        </is>
      </c>
      <c r="C6" s="15" t="n">
        <v>905</v>
      </c>
      <c r="D6" s="15" t="n">
        <v>40</v>
      </c>
      <c r="E6" s="15" t="n">
        <v>1422</v>
      </c>
    </row>
    <row r="7">
      <c r="A7" s="15" t="inlineStr">
        <is>
          <t>47/3</t>
        </is>
      </c>
      <c r="B7" s="15" t="inlineStr">
        <is>
          <t>Vent G/D sur.(+) Portique 2</t>
        </is>
      </c>
      <c r="C7" s="15" t="n">
        <v>900</v>
      </c>
      <c r="D7" s="15" t="n">
        <v>32</v>
      </c>
      <c r="E7" s="15" t="n">
        <v>1444</v>
      </c>
    </row>
    <row r="8">
      <c r="A8" s="15" t="inlineStr">
        <is>
          <t>47/4</t>
        </is>
      </c>
      <c r="B8" s="15" t="inlineStr">
        <is>
          <t>Vent D/G dep.(-) Cpe - Portique 2</t>
        </is>
      </c>
      <c r="C8" s="15" t="n">
        <v>-345</v>
      </c>
      <c r="D8" s="15" t="n">
        <v>5</v>
      </c>
      <c r="E8" s="15" t="n">
        <v>462</v>
      </c>
    </row>
    <row r="9">
      <c r="A9" s="15" t="inlineStr">
        <is>
          <t>47/5</t>
        </is>
      </c>
      <c r="B9" s="15" t="inlineStr">
        <is>
          <t>Vent D/G dep.(-) Cpe + Portique 2</t>
        </is>
      </c>
      <c r="C9" s="15" t="n">
        <v>-513</v>
      </c>
      <c r="D9" s="15" t="n">
        <v>-11</v>
      </c>
      <c r="E9" s="15" t="n">
        <v>-281</v>
      </c>
    </row>
    <row r="10">
      <c r="A10" s="15" t="inlineStr">
        <is>
          <t>47/6</t>
        </is>
      </c>
      <c r="B10" s="15" t="inlineStr">
        <is>
          <t>Vent D/G sur.(+) Cpe - Portique 2</t>
        </is>
      </c>
      <c r="C10" s="15" t="n">
        <v>-349</v>
      </c>
      <c r="D10" s="15" t="n">
        <v>-2</v>
      </c>
      <c r="E10" s="15" t="n">
        <v>485</v>
      </c>
    </row>
    <row r="11">
      <c r="A11" s="15" t="inlineStr">
        <is>
          <t>47/7</t>
        </is>
      </c>
      <c r="B11" s="15" t="inlineStr">
        <is>
          <t>Vent D/G sur.(+) Cpe + Portique 2</t>
        </is>
      </c>
      <c r="C11" s="15" t="n">
        <v>-518</v>
      </c>
      <c r="D11" s="15" t="n">
        <v>-22</v>
      </c>
      <c r="E11" s="15" t="n">
        <v>-258</v>
      </c>
    </row>
    <row r="12">
      <c r="A12" s="15" t="inlineStr">
        <is>
          <t>47/8</t>
        </is>
      </c>
      <c r="B12" s="15" t="inlineStr">
        <is>
          <t>Vent Av./Arr. dep.(-) Portique 2</t>
        </is>
      </c>
      <c r="C12" s="15" t="n">
        <v>-241</v>
      </c>
      <c r="D12" s="15" t="n">
        <v>205</v>
      </c>
      <c r="E12" s="15" t="n">
        <v>815</v>
      </c>
    </row>
    <row r="13">
      <c r="A13" s="15" t="inlineStr">
        <is>
          <t>47/9</t>
        </is>
      </c>
      <c r="B13" s="15" t="inlineStr">
        <is>
          <t>Vent Av./Arr. sur.(+) Portique 2</t>
        </is>
      </c>
      <c r="C13" s="15" t="n">
        <v>-198</v>
      </c>
      <c r="D13" s="15" t="n">
        <v>195</v>
      </c>
      <c r="E13" s="15" t="n">
        <v>598</v>
      </c>
    </row>
    <row r="14">
      <c r="A14" s="15" t="inlineStr">
        <is>
          <t>47/10</t>
        </is>
      </c>
      <c r="B14" s="15" t="inlineStr">
        <is>
          <t>Vent Arr./Av. dep.(-) Portique 2</t>
        </is>
      </c>
      <c r="C14" s="15" t="n">
        <v>-105</v>
      </c>
      <c r="D14" s="15" t="n">
        <v>0</v>
      </c>
      <c r="E14" s="15" t="n">
        <v>400</v>
      </c>
    </row>
    <row r="15">
      <c r="A15" s="15" t="inlineStr">
        <is>
          <t>47/11</t>
        </is>
      </c>
      <c r="B15" s="15" t="inlineStr">
        <is>
          <t>Vent Arr./Av. sur.(+) Portique 2</t>
        </is>
      </c>
      <c r="C15" s="15" t="n">
        <v>-37</v>
      </c>
      <c r="D15" s="15" t="n">
        <v>-11</v>
      </c>
      <c r="E15" s="15" t="n">
        <v>56</v>
      </c>
    </row>
    <row r="16">
      <c r="A16" s="15" t="inlineStr">
        <is>
          <t>47/12</t>
        </is>
      </c>
      <c r="B16" s="15" t="inlineStr">
        <is>
          <t>Neige cas I</t>
        </is>
      </c>
      <c r="C16" s="15" t="n">
        <v>-113</v>
      </c>
      <c r="D16" s="15" t="n">
        <v>0</v>
      </c>
      <c r="E16" s="15" t="n">
        <v>-1010</v>
      </c>
    </row>
    <row r="17">
      <c r="A17" s="15" t="inlineStr">
        <is>
          <t>47/13</t>
        </is>
      </c>
      <c r="B17" s="15" t="inlineStr">
        <is>
          <t>Neige cas II</t>
        </is>
      </c>
      <c r="C17" s="15" t="n">
        <v>-56</v>
      </c>
      <c r="D17" s="15" t="n">
        <v>0</v>
      </c>
      <c r="E17" s="15" t="n">
        <v>-505</v>
      </c>
    </row>
    <row r="18">
      <c r="A18" s="15" t="inlineStr">
        <is>
          <t>47/14</t>
        </is>
      </c>
      <c r="B18" s="15" t="inlineStr">
        <is>
          <t>Neige accidentel</t>
        </is>
      </c>
      <c r="C18" s="15" t="n">
        <v>-251</v>
      </c>
      <c r="D18" s="15" t="n">
        <v>0</v>
      </c>
      <c r="E18" s="15" t="n">
        <v>-2244</v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2 — SYNTHESE DYNAMIQUE</t>
        </is>
      </c>
    </row>
    <row r="3">
      <c r="A3" s="6" t="inlineStr">
        <is>
          <t>Noeud selectionne :</t>
        </is>
      </c>
      <c r="B3" s="7" t="n">
        <v>47</v>
      </c>
      <c r="F3" s="8" t="inlineStr">
        <is>
          <t>Noeuds dispo.</t>
        </is>
      </c>
      <c r="G3" t="inlineStr">
        <is>
          <t>Test Excel</t>
        </is>
      </c>
    </row>
    <row r="4">
      <c r="A4" s="6" t="inlineStr">
        <is>
          <t>Calcul stabilite 3D (FY) :</t>
        </is>
      </c>
      <c r="B4" s="9" t="inlineStr">
        <is>
          <t>Oui</t>
        </is>
      </c>
      <c r="F4" s="10">
        <f>IFERROR(UNIQUE(FILTER(VALUE(TRIM(LEFT(SAISIE!$A$5:$A$504,SEARCH("/",SAISIE!$A$5:$A$504&amp;"/")-1))),SAISIE!$A$5:$A$504&lt;&gt;"")),"")</f>
        <v/>
      </c>
      <c r="G4">
        <f>IF(ISERROR(FILTER(A1:A2,A1&lt;&gt;"")),"Excel 365 REQUIS","OK")</f>
        <v/>
      </c>
    </row>
    <row r="5">
      <c r="A5" s="11">
        <f>&gt; Tapez le noeud de vos donnees (ex: 47) dans la cellule jaune/rouge B3</f>
        <v/>
      </c>
    </row>
    <row r="7">
      <c r="A7" s="4" t="inlineStr">
        <is>
          <t>Nom du cas</t>
        </is>
      </c>
      <c r="B7" s="4" t="inlineStr">
        <is>
          <t>FX [daN]</t>
        </is>
      </c>
      <c r="C7" s="4" t="inlineStr">
        <is>
          <t>FY [daN]</t>
        </is>
      </c>
      <c r="D7" s="4" t="inlineStr">
        <is>
          <t>FZ [daN]</t>
        </is>
      </c>
      <c r="E7" s="4" t="inlineStr">
        <is>
          <t>Note</t>
        </is>
      </c>
    </row>
    <row r="8">
      <c r="A8" s="12" t="inlineStr">
        <is>
          <t>Couverture</t>
        </is>
      </c>
      <c r="B8" s="13">
        <f>IF($B$3="","",IFERROR(LET(v,FILTER(SAISIE!$C$5:$C$504,(VALUE(TRIM(LEFT(SAISIE!$A$5:$A$504,SEARCH("/",SAISIE!$A$5:$A$504&amp;"/")-1)))=$B$3)*(OR(ISNUMBER(SEARCH("Couverture",SAISIE!$B$5:$B$504)),LEFT(SAISIE!$B$5:$B$504,2)="G "))*(SAISIE!$E$5:$E$504&lt;&gt;"")),IF(COUNT(v)=0,"-",INDEX(v,1))),"-"))</f>
        <v/>
      </c>
      <c r="C8" s="13">
        <f>IF(OR($B$3="",$B$4&lt;&gt;"Oui"),"",IF($B$3="","",IFERROR(LET(v,FILTER(SAISIE!$D$5:$D$504,(VALUE(TRIM(LEFT(SAISIE!$A$5:$A$504,SEARCH("/",SAISIE!$A$5:$A$504&amp;"/")-1)))=$B$3)*(OR(ISNUMBER(SEARCH("Couverture",SAISIE!$B$5:$B$504)),LEFT(SAISIE!$B$5:$B$504,2)="G "))*(SAISIE!$E$5:$E$504&lt;&gt;"")),IF(COUNT(v)=0,"-",INDEX(v,1))),"-")))</f>
        <v/>
      </c>
      <c r="D8" s="13">
        <f>IF($B$3="","",IFERROR(LET(v,FILTER(SAISIE!$E$5:$E$504,(VALUE(TRIM(LEFT(SAISIE!$A$5:$A$504,SEARCH("/",SAISIE!$A$5:$A$504&amp;"/")-1)))=$B$3)*(OR(ISNUMBER(SEARCH("Couverture",SAISIE!$B$5:$B$504)),LEFT(SAISIE!$B$5:$B$504,2)="G "))*(SAISIE!$E$5:$E$504&lt;&gt;"")),IF(COUNT(v)=0,"-",INDEX(v,1))),"-"))</f>
        <v/>
      </c>
      <c r="E8" s="13" t="inlineStr"/>
    </row>
    <row r="9">
      <c r="A9" s="12" t="inlineStr">
        <is>
          <t>Vent G/D maxi</t>
        </is>
      </c>
      <c r="B9" s="13">
        <f>IF($B$3="","",IFERROR(LET(fx,FILTER(SAISIE!$C$5:$C$504,(VALUE(TRIM(LEFT(SAISIE!$A$5:$A$504,SEARCH("/",SAISIE!$A$5:$A$504&amp;"/")-1)))=$B$3)*(ISNUMBER(SEARCH("Vent G/D",SAISIE!$B$5:$B$504)))*(SAISIE!$E$5:$E$504&lt;&gt;"")),fz,FILTER(SAISIE!$E$5:$E$504,(VALUE(TRIM(LEFT(SAISIE!$A$5:$A$504,SEARCH("/",SAISIE!$A$5:$A$504&amp;"/")-1)))=$B$3)*(ISNUMBER(SEARCH("Vent G/D",SAISIE!$B$5:$B$504)))*(SAISIE!$E$5:$E$504&lt;&gt;"")),mf,MIN(fz),IF(COUNT(fz)=0,"-",IF(MIN(fz)&gt;=0,INDEX(fx,MATCH(MAX(fx),fx,0)),INDEX(fx,MATCH(mf,fz,0))))),"-"))</f>
        <v/>
      </c>
      <c r="C9" s="13">
        <f>IF(OR($B$3="",$B$4&lt;&gt;"Oui"),"",IFERROR(LET(fy,FILTER(SAISIE!$D$5:$D$504,(VALUE(TRIM(LEFT(SAISIE!$A$5:$A$504,SEARCH("/",SAISIE!$A$5:$A$504&amp;"/")-1)))=$B$3)*(ISNUMBER(SEARCH("Vent G/D",SAISIE!$B$5:$B$504)))*(SAISIE!$E$5:$E$504&lt;&gt;"")),fx,FILTER(SAISIE!$C$5:$C$504,(VALUE(TRIM(LEFT(SAISIE!$A$5:$A$504,SEARCH("/",SAISIE!$A$5:$A$504&amp;"/")-1)))=$B$3)*(ISNUMBER(SEARCH("Vent G/D",SAISIE!$B$5:$B$504)))*(SAISIE!$E$5:$E$504&lt;&gt;"")),fz,FILTER(SAISIE!$E$5:$E$504,(VALUE(TRIM(LEFT(SAISIE!$A$5:$A$504,SEARCH("/",SAISIE!$A$5:$A$504&amp;"/")-1)))=$B$3)*(ISNUMBER(SEARCH("Vent G/D",SAISIE!$B$5:$B$504)))*(SAISIE!$E$5:$E$504&lt;&gt;"")),mf,MIN(fz),IF(COUNT(fz)=0,"-",IF(MIN(fz)&gt;=0,INDEX(fy,MATCH(MAX(fx),fx,0)),INDEX(fy,MATCH(mf,fz,0))))),"-"))</f>
        <v/>
      </c>
      <c r="D9" s="13">
        <f>IF($B$3="","",IFERROR(LET(fz,FILTER(SAISIE!$E$5:$E$504,(VALUE(TRIM(LEFT(SAISIE!$A$5:$A$504,SEARCH("/",SAISIE!$A$5:$A$504&amp;"/")-1)))=$B$3)*(ISNUMBER(SEARCH("Vent G/D",SAISIE!$B$5:$B$504)))*(SAISIE!$E$5:$E$504&lt;&gt;"")),IF(COUNT(fz)=0,"-",IF(MIN(fz)&gt;=0,0,MIN(fz)))),"-"))</f>
        <v/>
      </c>
      <c r="E9" s="13" t="inlineStr">
        <is>
          <t>(compression)</t>
        </is>
      </c>
    </row>
    <row r="10">
      <c r="A10" s="12" t="inlineStr">
        <is>
          <t>Vent G/D mini</t>
        </is>
      </c>
      <c r="B10" s="13">
        <f>IF($B$3="","",IFERROR(LET(fx,FILTER(SAISIE!$C$5:$C$504,(VALUE(TRIM(LEFT(SAISIE!$A$5:$A$504,SEARCH("/",SAISIE!$A$5:$A$504&amp;"/")-1)))=$B$3)*(ISNUMBER(SEARCH("Vent G/D",SAISIE!$B$5:$B$504)))*(SAISIE!$E$5:$E$504&lt;&gt;"")),fz,FILTER(SAISIE!$E$5:$E$504,(VALUE(TRIM(LEFT(SAISIE!$A$5:$A$504,SEARCH("/",SAISIE!$A$5:$A$504&amp;"/")-1)))=$B$3)*(ISNUMBER(SEARCH("Vent G/D",SAISIE!$B$5:$B$504)))*(SAISIE!$E$5:$E$504&lt;&gt;"")),Mf,MAX(fz),INDEX(fx,MATCH(Mf,fz,0))),"-"))</f>
        <v/>
      </c>
      <c r="C10" s="13">
        <f>IF(OR($B$3="",$B$4&lt;&gt;"Oui"),"",IFERROR(LET(fy,FILTER(SAISIE!$D$5:$D$504,(VALUE(TRIM(LEFT(SAISIE!$A$5:$A$504,SEARCH("/",SAISIE!$A$5:$A$504&amp;"/")-1)))=$B$3)*(ISNUMBER(SEARCH("Vent G/D",SAISIE!$B$5:$B$504)))*(SAISIE!$E$5:$E$504&lt;&gt;"")),fz,FILTER(SAISIE!$E$5:$E$504,(VALUE(TRIM(LEFT(SAISIE!$A$5:$A$504,SEARCH("/",SAISIE!$A$5:$A$504&amp;"/")-1)))=$B$3)*(ISNUMBER(SEARCH("Vent G/D",SAISIE!$B$5:$B$504)))*(SAISIE!$E$5:$E$504&lt;&gt;"")),Mf,MAX(fz),INDEX(fy,MATCH(Mf,fz,0))),"-"))</f>
        <v/>
      </c>
      <c r="D10" s="13">
        <f>IF($B$3="","",IFERROR(LET(fz,FILTER(SAISIE!$E$5:$E$504,(VALUE(TRIM(LEFT(SAISIE!$A$5:$A$504,SEARCH("/",SAISIE!$A$5:$A$504&amp;"/")-1)))=$B$3)*(ISNUMBER(SEARCH("Vent G/D",SAISIE!$B$5:$B$504)))*(SAISIE!$E$5:$E$504&lt;&gt;"")),IF(COUNT(fz)=0,"-",MAX(fz))),"-"))</f>
        <v/>
      </c>
      <c r="E10" s="13" t="inlineStr">
        <is>
          <t>(soulevement)</t>
        </is>
      </c>
    </row>
    <row r="11">
      <c r="A11" s="12" t="inlineStr">
        <is>
          <t>Vent D/ G maxi</t>
        </is>
      </c>
      <c r="B11" s="13">
        <f>IF($B$3="","",IFERROR(LET(fx,FILTER(SAISIE!$C$5:$C$504,(VALUE(TRIM(LEFT(SAISIE!$A$5:$A$504,SEARCH("/",SAISIE!$A$5:$A$504&amp;"/")-1)))=$B$3)*(ISNUMBER(SEARCH("Vent D/G",SAISIE!$B$5:$B$504)))*(SAISIE!$E$5:$E$504&lt;&gt;"")),fz,FILTER(SAISIE!$E$5:$E$504,(VALUE(TRIM(LEFT(SAISIE!$A$5:$A$504,SEARCH("/",SAISIE!$A$5:$A$504&amp;"/")-1)))=$B$3)*(ISNUMBER(SEARCH("Vent D/G",SAISIE!$B$5:$B$504)))*(SAISIE!$E$5:$E$504&lt;&gt;"")),mf,MIN(fz),IF(COUNT(fz)=0,"-",IF(MIN(fz)&gt;=0,INDEX(fx,MATCH(MAX(fx),fx,0)),INDEX(fx,MATCH(mf,fz,0))))),"-"))</f>
        <v/>
      </c>
      <c r="C11" s="13">
        <f>IF(OR($B$3="",$B$4&lt;&gt;"Oui"),"",IFERROR(LET(fy,FILTER(SAISIE!$D$5:$D$504,(VALUE(TRIM(LEFT(SAISIE!$A$5:$A$504,SEARCH("/",SAISIE!$A$5:$A$504&amp;"/")-1)))=$B$3)*(ISNUMBER(SEARCH("Vent D/G",SAISIE!$B$5:$B$504)))*(SAISIE!$E$5:$E$504&lt;&gt;"")),fx,FILTER(SAISIE!$C$5:$C$504,(VALUE(TRIM(LEFT(SAISIE!$A$5:$A$504,SEARCH("/",SAISIE!$A$5:$A$504&amp;"/")-1)))=$B$3)*(ISNUMBER(SEARCH("Vent D/G",SAISIE!$B$5:$B$504)))*(SAISIE!$E$5:$E$504&lt;&gt;"")),fz,FILTER(SAISIE!$E$5:$E$504,(VALUE(TRIM(LEFT(SAISIE!$A$5:$A$504,SEARCH("/",SAISIE!$A$5:$A$504&amp;"/")-1)))=$B$3)*(ISNUMBER(SEARCH("Vent D/G",SAISIE!$B$5:$B$504)))*(SAISIE!$E$5:$E$504&lt;&gt;"")),mf,MIN(fz),IF(COUNT(fz)=0,"-",IF(MIN(fz)&gt;=0,INDEX(fy,MATCH(MAX(fx),fx,0)),INDEX(fy,MATCH(mf,fz,0))))),"-"))</f>
        <v/>
      </c>
      <c r="D11" s="13">
        <f>IF($B$3="","",IFERROR(LET(fz,FILTER(SAISIE!$E$5:$E$504,(VALUE(TRIM(LEFT(SAISIE!$A$5:$A$504,SEARCH("/",SAISIE!$A$5:$A$504&amp;"/")-1)))=$B$3)*(ISNUMBER(SEARCH("Vent D/G",SAISIE!$B$5:$B$504)))*(SAISIE!$E$5:$E$504&lt;&gt;"")),IF(COUNT(fz)=0,"-",IF(MIN(fz)&gt;=0,0,MIN(fz)))),"-"))</f>
        <v/>
      </c>
      <c r="E11" s="13" t="inlineStr">
        <is>
          <t>(compression)</t>
        </is>
      </c>
    </row>
    <row r="12">
      <c r="A12" s="12" t="inlineStr">
        <is>
          <t>Vent D/G mini</t>
        </is>
      </c>
      <c r="B12" s="13">
        <f>IF($B$3="","",IFERROR(LET(fx,FILTER(SAISIE!$C$5:$C$504,(VALUE(TRIM(LEFT(SAISIE!$A$5:$A$504,SEARCH("/",SAISIE!$A$5:$A$504&amp;"/")-1)))=$B$3)*(ISNUMBER(SEARCH("Vent D/G",SAISIE!$B$5:$B$504)))*(SAISIE!$E$5:$E$504&lt;&gt;"")),fz,FILTER(SAISIE!$E$5:$E$504,(VALUE(TRIM(LEFT(SAISIE!$A$5:$A$504,SEARCH("/",SAISIE!$A$5:$A$504&amp;"/")-1)))=$B$3)*(ISNUMBER(SEARCH("Vent D/G",SAISIE!$B$5:$B$504)))*(SAISIE!$E$5:$E$504&lt;&gt;"")),Mf,MAX(fz),INDEX(fx,MATCH(Mf,fz,0))),"-"))</f>
        <v/>
      </c>
      <c r="C12" s="13">
        <f>IF(OR($B$3="",$B$4&lt;&gt;"Oui"),"",IFERROR(LET(fy,FILTER(SAISIE!$D$5:$D$504,(VALUE(TRIM(LEFT(SAISIE!$A$5:$A$504,SEARCH("/",SAISIE!$A$5:$A$504&amp;"/")-1)))=$B$3)*(ISNUMBER(SEARCH("Vent D/G",SAISIE!$B$5:$B$504)))*(SAISIE!$E$5:$E$504&lt;&gt;"")),fz,FILTER(SAISIE!$E$5:$E$504,(VALUE(TRIM(LEFT(SAISIE!$A$5:$A$504,SEARCH("/",SAISIE!$A$5:$A$504&amp;"/")-1)))=$B$3)*(ISNUMBER(SEARCH("Vent D/G",SAISIE!$B$5:$B$504)))*(SAISIE!$E$5:$E$504&lt;&gt;"")),Mf,MAX(fz),INDEX(fy,MATCH(Mf,fz,0))),"-"))</f>
        <v/>
      </c>
      <c r="D12" s="13">
        <f>IF($B$3="","",IFERROR(LET(fz,FILTER(SAISIE!$E$5:$E$504,(VALUE(TRIM(LEFT(SAISIE!$A$5:$A$504,SEARCH("/",SAISIE!$A$5:$A$504&amp;"/")-1)))=$B$3)*(ISNUMBER(SEARCH("Vent D/G",SAISIE!$B$5:$B$504)))*(SAISIE!$E$5:$E$504&lt;&gt;"")),IF(COUNT(fz)=0,"-",MAX(fz))),"-"))</f>
        <v/>
      </c>
      <c r="E12" s="13" t="inlineStr">
        <is>
          <t>(soulevement)</t>
        </is>
      </c>
    </row>
    <row r="13">
      <c r="A13" s="12" t="inlineStr">
        <is>
          <t>Vent Av./Arr. maxi</t>
        </is>
      </c>
      <c r="B13" s="13">
        <f>IF($B$3="","",IFERROR(LET(fx,FILTER(SAISIE!$C$5:$C$504,(VALUE(TRIM(LEFT(SAISIE!$A$5:$A$504,SEARCH("/",SAISIE!$A$5:$A$504&amp;"/")-1)))=$B$3)*(ISNUMBER(SEARCH("Vent Av./Arr.",SAISIE!$B$5:$B$504)))*(SAISIE!$E$5:$E$504&lt;&gt;"")),fz,FILTER(SAISIE!$E$5:$E$504,(VALUE(TRIM(LEFT(SAISIE!$A$5:$A$504,SEARCH("/",SAISIE!$A$5:$A$504&amp;"/")-1)))=$B$3)*(ISNUMBER(SEARCH("Vent Av./Arr.",SAISIE!$B$5:$B$504)))*(SAISIE!$E$5:$E$504&lt;&gt;"")),mf,MIN(fz),IF(COUNT(fz)=0,"-",IF(MIN(fz)&gt;=0,INDEX(fx,MATCH(MAX(fx),fx,0)),INDEX(fx,MATCH(mf,fz,0))))),"-"))</f>
        <v/>
      </c>
      <c r="C13" s="13">
        <f>IF(OR($B$3="",$B$4&lt;&gt;"Oui"),"",IFERROR(LET(fy,FILTER(SAISIE!$D$5:$D$504,(VALUE(TRIM(LEFT(SAISIE!$A$5:$A$504,SEARCH("/",SAISIE!$A$5:$A$504&amp;"/")-1)))=$B$3)*(ISNUMBER(SEARCH("Vent Av./Arr.",SAISIE!$B$5:$B$504)))*(SAISIE!$E$5:$E$504&lt;&gt;"")),fx,FILTER(SAISIE!$C$5:$C$504,(VALUE(TRIM(LEFT(SAISIE!$A$5:$A$504,SEARCH("/",SAISIE!$A$5:$A$504&amp;"/")-1)))=$B$3)*(ISNUMBER(SEARCH("Vent Av./Arr.",SAISIE!$B$5:$B$504)))*(SAISIE!$E$5:$E$504&lt;&gt;"")),fz,FILTER(SAISIE!$E$5:$E$504,(VALUE(TRIM(LEFT(SAISIE!$A$5:$A$504,SEARCH("/",SAISIE!$A$5:$A$504&amp;"/")-1)))=$B$3)*(ISNUMBER(SEARCH("Vent Av./Arr.",SAISIE!$B$5:$B$504)))*(SAISIE!$E$5:$E$504&lt;&gt;"")),mf,MIN(fz),IF(COUNT(fz)=0,"-",IF(MIN(fz)&gt;=0,INDEX(fy,MATCH(MAX(fx),fx,0)),INDEX(fy,MATCH(mf,fz,0))))),"-"))</f>
        <v/>
      </c>
      <c r="D13" s="13">
        <f>IF($B$3="","",IFERROR(LET(fz,FILTER(SAISIE!$E$5:$E$504,(VALUE(TRIM(LEFT(SAISIE!$A$5:$A$504,SEARCH("/",SAISIE!$A$5:$A$504&amp;"/")-1)))=$B$3)*(ISNUMBER(SEARCH("Vent Av./Arr.",SAISIE!$B$5:$B$504)))*(SAISIE!$E$5:$E$504&lt;&gt;"")),IF(COUNT(fz)=0,"-",IF(MIN(fz)&gt;=0,0,MIN(fz)))),"-"))</f>
        <v/>
      </c>
      <c r="E13" s="13" t="inlineStr">
        <is>
          <t>(compression)</t>
        </is>
      </c>
    </row>
    <row r="14">
      <c r="A14" s="12" t="inlineStr">
        <is>
          <t>Vent Av./Arr. mini</t>
        </is>
      </c>
      <c r="B14" s="13">
        <f>IF($B$3="","",IFERROR(LET(fx,FILTER(SAISIE!$C$5:$C$504,(VALUE(TRIM(LEFT(SAISIE!$A$5:$A$504,SEARCH("/",SAISIE!$A$5:$A$504&amp;"/")-1)))=$B$3)*(ISNUMBER(SEARCH("Vent Av./Arr.",SAISIE!$B$5:$B$504)))*(SAISIE!$E$5:$E$504&lt;&gt;"")),fz,FILTER(SAISIE!$E$5:$E$504,(VALUE(TRIM(LEFT(SAISIE!$A$5:$A$504,SEARCH("/",SAISIE!$A$5:$A$504&amp;"/")-1)))=$B$3)*(ISNUMBER(SEARCH("Vent Av./Arr.",SAISIE!$B$5:$B$504)))*(SAISIE!$E$5:$E$504&lt;&gt;"")),Mf,MAX(fz),INDEX(fx,MATCH(Mf,fz,0))),"-"))</f>
        <v/>
      </c>
      <c r="C14" s="13">
        <f>IF(OR($B$3="",$B$4&lt;&gt;"Oui"),"",IFERROR(LET(fy,FILTER(SAISIE!$D$5:$D$504,(VALUE(TRIM(LEFT(SAISIE!$A$5:$A$504,SEARCH("/",SAISIE!$A$5:$A$504&amp;"/")-1)))=$B$3)*(ISNUMBER(SEARCH("Vent Av./Arr.",SAISIE!$B$5:$B$504)))*(SAISIE!$E$5:$E$504&lt;&gt;"")),fz,FILTER(SAISIE!$E$5:$E$504,(VALUE(TRIM(LEFT(SAISIE!$A$5:$A$504,SEARCH("/",SAISIE!$A$5:$A$504&amp;"/")-1)))=$B$3)*(ISNUMBER(SEARCH("Vent Av./Arr.",SAISIE!$B$5:$B$504)))*(SAISIE!$E$5:$E$504&lt;&gt;"")),Mf,MAX(fz),INDEX(fy,MATCH(Mf,fz,0))),"-"))</f>
        <v/>
      </c>
      <c r="D14" s="13">
        <f>IF($B$3="","",IFERROR(LET(fz,FILTER(SAISIE!$E$5:$E$504,(VALUE(TRIM(LEFT(SAISIE!$A$5:$A$504,SEARCH("/",SAISIE!$A$5:$A$504&amp;"/")-1)))=$B$3)*(ISNUMBER(SEARCH("Vent Av./Arr.",SAISIE!$B$5:$B$504)))*(SAISIE!$E$5:$E$504&lt;&gt;"")),IF(COUNT(fz)=0,"-",MAX(fz))),"-"))</f>
        <v/>
      </c>
      <c r="E14" s="13" t="inlineStr">
        <is>
          <t>(soulevement)</t>
        </is>
      </c>
    </row>
    <row r="15">
      <c r="A15" s="12" t="inlineStr">
        <is>
          <t>Vent Arr./Av maxi</t>
        </is>
      </c>
      <c r="B15" s="13">
        <f>IF($B$3="","",IFERROR(LET(fx,FILTER(SAISIE!$C$5:$C$504,(VALUE(TRIM(LEFT(SAISIE!$A$5:$A$504,SEARCH("/",SAISIE!$A$5:$A$504&amp;"/")-1)))=$B$3)*(ISNUMBER(SEARCH("Vent Arr./Av.",SAISIE!$B$5:$B$504)))*(SAISIE!$E$5:$E$504&lt;&gt;"")),fz,FILTER(SAISIE!$E$5:$E$504,(VALUE(TRIM(LEFT(SAISIE!$A$5:$A$504,SEARCH("/",SAISIE!$A$5:$A$504&amp;"/")-1)))=$B$3)*(ISNUMBER(SEARCH("Vent Arr./Av.",SAISIE!$B$5:$B$504)))*(SAISIE!$E$5:$E$504&lt;&gt;"")),mf,MIN(fz),IF(COUNT(fz)=0,"-",IF(MIN(fz)&gt;=0,INDEX(fx,MATCH(MAX(fx),fx,0)),INDEX(fx,MATCH(mf,fz,0))))),"-"))</f>
        <v/>
      </c>
      <c r="C15" s="13">
        <f>IF(OR($B$3="",$B$4&lt;&gt;"Oui"),"",IFERROR(LET(fy,FILTER(SAISIE!$D$5:$D$504,(VALUE(TRIM(LEFT(SAISIE!$A$5:$A$504,SEARCH("/",SAISIE!$A$5:$A$504&amp;"/")-1)))=$B$3)*(ISNUMBER(SEARCH("Vent Arr./Av.",SAISIE!$B$5:$B$504)))*(SAISIE!$E$5:$E$504&lt;&gt;"")),fx,FILTER(SAISIE!$C$5:$C$504,(VALUE(TRIM(LEFT(SAISIE!$A$5:$A$504,SEARCH("/",SAISIE!$A$5:$A$504&amp;"/")-1)))=$B$3)*(ISNUMBER(SEARCH("Vent Arr./Av.",SAISIE!$B$5:$B$504)))*(SAISIE!$E$5:$E$504&lt;&gt;"")),fz,FILTER(SAISIE!$E$5:$E$504,(VALUE(TRIM(LEFT(SAISIE!$A$5:$A$504,SEARCH("/",SAISIE!$A$5:$A$504&amp;"/")-1)))=$B$3)*(ISNUMBER(SEARCH("Vent Arr./Av.",SAISIE!$B$5:$B$504)))*(SAISIE!$E$5:$E$504&lt;&gt;"")),mf,MIN(fz),IF(COUNT(fz)=0,"-",IF(MIN(fz)&gt;=0,INDEX(fy,MATCH(MAX(fx),fx,0)),INDEX(fy,MATCH(mf,fz,0))))),"-"))</f>
        <v/>
      </c>
      <c r="D15" s="13">
        <f>IF($B$3="","",IFERROR(LET(fz,FILTER(SAISIE!$E$5:$E$504,(VALUE(TRIM(LEFT(SAISIE!$A$5:$A$504,SEARCH("/",SAISIE!$A$5:$A$504&amp;"/")-1)))=$B$3)*(ISNUMBER(SEARCH("Vent Arr./Av.",SAISIE!$B$5:$B$504)))*(SAISIE!$E$5:$E$504&lt;&gt;"")),IF(COUNT(fz)=0,"-",IF(MIN(fz)&gt;=0,0,MIN(fz)))),"-"))</f>
        <v/>
      </c>
      <c r="E15" s="13" t="inlineStr">
        <is>
          <t>(compression)</t>
        </is>
      </c>
    </row>
    <row r="16">
      <c r="A16" s="12" t="inlineStr">
        <is>
          <t>Vent Arr./Av mini</t>
        </is>
      </c>
      <c r="B16" s="13">
        <f>IF($B$3="","",IFERROR(LET(fx,FILTER(SAISIE!$C$5:$C$504,(VALUE(TRIM(LEFT(SAISIE!$A$5:$A$504,SEARCH("/",SAISIE!$A$5:$A$504&amp;"/")-1)))=$B$3)*(ISNUMBER(SEARCH("Vent Arr./Av.",SAISIE!$B$5:$B$504)))*(SAISIE!$E$5:$E$504&lt;&gt;"")),fz,FILTER(SAISIE!$E$5:$E$504,(VALUE(TRIM(LEFT(SAISIE!$A$5:$A$504,SEARCH("/",SAISIE!$A$5:$A$504&amp;"/")-1)))=$B$3)*(ISNUMBER(SEARCH("Vent Arr./Av.",SAISIE!$B$5:$B$504)))*(SAISIE!$E$5:$E$504&lt;&gt;"")),Mf,MAX(fz),INDEX(fx,MATCH(Mf,fz,0))),"-"))</f>
        <v/>
      </c>
      <c r="C16" s="13">
        <f>IF(OR($B$3="",$B$4&lt;&gt;"Oui"),"",IFERROR(LET(fy,FILTER(SAISIE!$D$5:$D$504,(VALUE(TRIM(LEFT(SAISIE!$A$5:$A$504,SEARCH("/",SAISIE!$A$5:$A$504&amp;"/")-1)))=$B$3)*(ISNUMBER(SEARCH("Vent Arr./Av.",SAISIE!$B$5:$B$504)))*(SAISIE!$E$5:$E$504&lt;&gt;"")),fz,FILTER(SAISIE!$E$5:$E$504,(VALUE(TRIM(LEFT(SAISIE!$A$5:$A$504,SEARCH("/",SAISIE!$A$5:$A$504&amp;"/")-1)))=$B$3)*(ISNUMBER(SEARCH("Vent Arr./Av.",SAISIE!$B$5:$B$504)))*(SAISIE!$E$5:$E$504&lt;&gt;"")),Mf,MAX(fz),INDEX(fy,MATCH(Mf,fz,0))),"-"))</f>
        <v/>
      </c>
      <c r="D16" s="13">
        <f>IF($B$3="","",IFERROR(LET(fz,FILTER(SAISIE!$E$5:$E$504,(VALUE(TRIM(LEFT(SAISIE!$A$5:$A$504,SEARCH("/",SAISIE!$A$5:$A$504&amp;"/")-1)))=$B$3)*(ISNUMBER(SEARCH("Vent Arr./Av.",SAISIE!$B$5:$B$504)))*(SAISIE!$E$5:$E$504&lt;&gt;"")),IF(COUNT(fz)=0,"-",MAX(fz))),"-"))</f>
        <v/>
      </c>
      <c r="E16" s="13" t="inlineStr">
        <is>
          <t>(soulevement)</t>
        </is>
      </c>
    </row>
    <row r="17">
      <c r="A17" s="12" t="inlineStr">
        <is>
          <t>Neige normale</t>
        </is>
      </c>
      <c r="B17" s="13">
        <f>IF($B$3="","",IFERROR(LET(v,FILTER(SAISIE!$C$5:$C$504,(VALUE(TRIM(LEFT(SAISIE!$A$5:$A$504,SEARCH("/",SAISIE!$A$5:$A$504&amp;"/")-1)))=$B$3)*(ISNUMBER(SEARCH("Neige",SAISIE!$B$5:$B$504))*(NOT(ISNUMBER(SEARCH("accidentel",SAISIE!$B$5:$B$504)))))*(SAISIE!$E$5:$E$504&lt;&gt;"")),fz,FILTER(SAISIE!$E$5:$E$504,(VALUE(TRIM(LEFT(SAISIE!$A$5:$A$504,SEARCH("/",SAISIE!$A$5:$A$504&amp;"/")-1)))=$B$3)*(ISNUMBER(SEARCH("Neige",SAISIE!$B$5:$B$504))*(NOT(ISNUMBER(SEARCH("accidentel",SAISIE!$B$5:$B$504)))))*(SAISIE!$E$5:$E$504&lt;&gt;"")),IF(COUNT(fz)=0,"-",INDEX(v,MATCH(MIN(fz),fz,0)))),"-"))</f>
        <v/>
      </c>
      <c r="C17" s="13">
        <f>IF(OR($B$3="",$B$4&lt;&gt;"Oui"),",IFERROR(LET(v,FILTER(SAISIE!$D$5:$D$504,(VALUE(TRIM(LEFT(SAISIE!$A$5:$A$504,SEARCH("/",SAISIE!$A$5:$A$504&amp;"/")-1)))=$B$3)*(ISNUMBER(SEARCH("Neige",SAISIE!$B$5:$B$504))*(NOT(ISNUMBER(SEARCH("accidentel",SAISIE!$B$5:$B$504)))))*(SAISIE!$E$5:$E$504&lt;&gt;"")),fz,FILTER(SAISIE!$E$5:$E$504,(VALUE(TRIM(LEFT(SAISIE!$A$5:$A$504,SEARCH("/",SAISIE!$A$5:$A$504&amp;"/")-1)))=$B$3)*(ISNUMBER(SEARCH("Neige",SAISIE!$B$5:$B$504))*(NOT(ISNUMBER(SEARCH("accidentel",SAISIE!$B$5:$B$504)))))*(SAISIE!$E$5:$E$504&lt;&gt;"")),IF(COUNT(fz)=0,"-",INDEX(v,MATCH(MIN(fz),fz,0)))),"-"))</f>
        <v/>
      </c>
      <c r="D17" s="13">
        <f>IF($B$3="","",IFERROR(LET(v,FILTER(SAISIE!$E$5:$E$504,(VALUE(TRIM(LEFT(SAISIE!$A$5:$A$504,SEARCH("/",SAISIE!$A$5:$A$504&amp;"/")-1)))=$B$3)*(ISNUMBER(SEARCH("Neige",SAISIE!$B$5:$B$504))*(NOT(ISNUMBER(SEARCH("accidentel",SAISIE!$B$5:$B$504)))))*(SAISIE!$E$5:$E$504&lt;&gt;"")),fz,FILTER(SAISIE!$E$5:$E$504,(VALUE(TRIM(LEFT(SAISIE!$A$5:$A$504,SEARCH("/",SAISIE!$A$5:$A$504&amp;"/")-1)))=$B$3)*(ISNUMBER(SEARCH("Neige",SAISIE!$B$5:$B$504))*(NOT(ISNUMBER(SEARCH("accidentel",SAISIE!$B$5:$B$504)))))*(SAISIE!$E$5:$E$504&lt;&gt;"")),IF(COUNT(fz)=0,"-",INDEX(v,MATCH(MIN(fz),fz,0)))),"-"))</f>
        <v/>
      </c>
      <c r="E17" s="13" t="inlineStr"/>
    </row>
    <row r="18">
      <c r="A18" s="12" t="inlineStr">
        <is>
          <t>Neige accidentelle</t>
        </is>
      </c>
      <c r="B18" s="13">
        <f>IF($B$3="","",IFERROR(LET(v,FILTER(SAISIE!$C$5:$C$504,(VALUE(TRIM(LEFT(SAISIE!$A$5:$A$504,SEARCH("/",SAISIE!$A$5:$A$504&amp;"/")-1)))=$B$3)*(ISNUMBER(SEARCH("accidentel",SAISIE!$B$5:$B$504)))*(SAISIE!$E$5:$E$504&lt;&gt;"")),IF(COUNT(v)=0,"-",INDEX(v,1))),"-"))</f>
        <v/>
      </c>
      <c r="C18" s="13">
        <f>IF(OR($B$3="",$B$4&lt;&gt;"Oui"),",IFERROR(LET(v,FILTER(SAISIE!$D$5:$D$504,(VALUE(TRIM(LEFT(SAISIE!$A$5:$A$504,SEARCH("/",SAISIE!$A$5:$A$504&amp;"/")-1)))=$B$3)*(ISNUMBER(SEARCH("accidentel",SAISIE!$B$5:$B$504)))*(SAISIE!$E$5:$E$504&lt;&gt;"")),IF(COUNT(v)=0,"-",INDEX(v,1))),"-"))</f>
        <v/>
      </c>
      <c r="D18" s="13">
        <f>IF($B$3="","",IFERROR(LET(v,FILTER(SAISIE!$E$5:$E$504,(VALUE(TRIM(LEFT(SAISIE!$A$5:$A$504,SEARCH("/",SAISIE!$A$5:$A$504&amp;"/")-1)))=$B$3)*(ISNUMBER(SEARCH("accidentel",SAISIE!$B$5:$B$504)))*(SAISIE!$E$5:$E$504&lt;&gt;"")),IF(COUNT(v)=0,"-",INDEX(v,1))),"-"))</f>
        <v/>
      </c>
      <c r="E18" s="13" t="inlineStr"/>
    </row>
  </sheetData>
  <mergeCells count="2">
    <mergeCell ref="A5:E5"/>
    <mergeCell ref="A1:G1"/>
  </mergeCells>
  <dataValidations count="1">
    <dataValidation sqref="B4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3 — RECAP MULTI-NOEUDS</t>
        </is>
      </c>
    </row>
    <row r="4">
      <c r="A4" s="4" t="inlineStr">
        <is>
          <t>Noeud</t>
        </is>
      </c>
      <c r="B4" s="4" t="inlineStr">
        <is>
          <t>Couv FX</t>
        </is>
      </c>
      <c r="C4" s="4" t="inlineStr">
        <is>
          <t>Couv FZ</t>
        </is>
      </c>
      <c r="D4" s="4" t="inlineStr">
        <is>
          <t>VGD max FX</t>
        </is>
      </c>
      <c r="E4" s="4" t="inlineStr">
        <is>
          <t>VGD max FZ</t>
        </is>
      </c>
      <c r="F4" s="4" t="inlineStr">
        <is>
          <t>VGD min FX</t>
        </is>
      </c>
      <c r="G4" s="4" t="inlineStr">
        <is>
          <t>VGD min FZ</t>
        </is>
      </c>
      <c r="H4" s="4" t="inlineStr">
        <is>
          <t>VDG max FX</t>
        </is>
      </c>
      <c r="I4" s="4" t="inlineStr">
        <is>
          <t>VDG max FZ</t>
        </is>
      </c>
      <c r="J4" s="4" t="inlineStr">
        <is>
          <t>VDG min FX</t>
        </is>
      </c>
      <c r="K4" s="4" t="inlineStr">
        <is>
          <t>VDG min FZ</t>
        </is>
      </c>
      <c r="L4" s="4" t="inlineStr">
        <is>
          <t>Neige N FX</t>
        </is>
      </c>
      <c r="M4" s="4" t="inlineStr">
        <is>
          <t>Neige N FZ</t>
        </is>
      </c>
      <c r="N4" s="4" t="inlineStr">
        <is>
          <t>Neige Acc FX</t>
        </is>
      </c>
      <c r="O4" s="4" t="inlineStr">
        <is>
          <t>Neige Acc FZ</t>
        </is>
      </c>
    </row>
    <row r="5">
      <c r="A5" s="14">
        <f>IFERROR(INDEX(IFERROR(UNIQUE(FILTER(VALUE(TRIM(LEFT(SAISIE!$A$5:$A$504,SEARCH("/",SAISIE!$A$5:$A$504&amp;"/")-1))),SAISIE!$A$5:$A$504&lt;&gt;"")),""),1),"")</f>
        <v/>
      </c>
      <c r="B5" s="13">
        <f>IF($A5="","",IFERROR(LET(v,FILTER(SAISIE!$C$5:$C$504,(VALUE(TRIM(LEFT(SAISIE!$A$5:$A$504,SEARCH("/",SAISIE!$A$5:$A$504&amp;"/")-1)))=$A5)*(OR(ISNUMBER(SEARCH("Couverture",SAISIE!$B$5:$B$504)),LEFT(SAISIE!$B$5:$B$504,2)="G "))),IF(COUNT(v)=0,"-",INDEX(v,1))),"-"))</f>
        <v/>
      </c>
      <c r="C5" s="13">
        <f>IF($A5="","",IFERROR(LET(v,FILTER(SAISIE!$E$5:$E$504,(VALUE(TRIM(LEFT(SAISIE!$A$5:$A$504,SEARCH("/",SAISIE!$A$5:$A$504&amp;"/")-1)))=$A5)*(OR(ISNUMBER(SEARCH("Couverture",SAISIE!$B$5:$B$504)),LEFT(SAISIE!$B$5:$B$504,2)="G "))),IF(COUNT(v)=0,"-",INDEX(v,1))),"-"))</f>
        <v/>
      </c>
      <c r="D5" s="13">
        <f>IF($A5="","",IFERROR(LET(fx,FILTER(SAISIE!$C$5:$C$504,(VALUE(TRIM(LEFT(SAISIE!$A$5:$A$504,SEARCH("/",SAISIE!$A$5:$A$504&amp;"/")-1)))=$A5)*(ISNUMBER(SEARCH("Vent G/D",SAISIE!$B$5:$B$504)))*(SAISIE!$E$5:$E$504&lt;&gt;"")),fz,FILTER(SAISIE!$E$5:$E$504,(VALUE(TRIM(LEFT(SAISIE!$A$5:$A$504,SEARCH("/",SAISIE!$A$5:$A$504&amp;"/")-1)))=$A5)*(ISNUMBER(SEARCH("Vent G/D",SAISIE!$B$5:$B$504)))*(SAISIE!$E$5:$E$504&lt;&gt;"")),mf,MIN(fz),IF(COUNT(fz)=0,"-",IF(MIN(fz)&gt;=0,INDEX(fx,MATCH(MAX(fx),fx,0)),INDEX(fx,MATCH(mf,fz,0))))),"-"))</f>
        <v/>
      </c>
      <c r="E5" s="13">
        <f>IF($A5="","",IFERROR(LET(fz,FILTER(SAISIE!$E$5:$E$504,(VALUE(TRIM(LEFT(SAISIE!$A$5:$A$504,SEARCH("/",SAISIE!$A$5:$A$504&amp;"/")-1)))=$A5)*(ISNUMBER(SEARCH("Vent G/D",SAISIE!$B$5:$B$504)))*(SAISIE!$E$5:$E$504&lt;&gt;"")),IF(COUNT(fz)=0,"-",IF(MIN(fz)&gt;=0,0,MIN(fz)))),"-"))</f>
        <v/>
      </c>
      <c r="F5" s="13">
        <f>IF($A5="","",IFERROR(LET(fx,FILTER(SAISIE!$C$5:$C$504,(VALUE(TRIM(LEFT(SAISIE!$A$5:$A$504,SEARCH("/",SAISIE!$A$5:$A$504&amp;"/")-1)))=$A5)*(ISNUMBER(SEARCH("Vent G/D",SAISIE!$B$5:$B$504)))*(SAISIE!$E$5:$E$504&lt;&gt;"")),fz,FILTER(SAISIE!$E$5:$E$504,(VALUE(TRIM(LEFT(SAISIE!$A$5:$A$504,SEARCH("/",SAISIE!$A$5:$A$504&amp;"/")-1)))=$A5)*(ISNUMBER(SEARCH("Vent G/D",SAISIE!$B$5:$B$504)))*(SAISIE!$E$5:$E$504&lt;&gt;"")),Mf,MAX(fz),INDEX(fx,MATCH(Mf,fz,0))),"-"))</f>
        <v/>
      </c>
      <c r="G5" s="13">
        <f>IF($A5="","",IFERROR(LET(fz,FILTER(SAISIE!$E$5:$E$504,(VALUE(TRIM(LEFT(SAISIE!$A$5:$A$504,SEARCH("/",SAISIE!$A$5:$A$504&amp;"/")-1)))=$A5)*(ISNUMBER(SEARCH("Vent G/D",SAISIE!$B$5:$B$504)))*(SAISIE!$E$5:$E$504&lt;&gt;"")),IF(COUNT(fz)=0,"-",MAX(fz))),"-"))</f>
        <v/>
      </c>
      <c r="H5" s="13">
        <f>IF($A5="","",IFERROR(LET(fx,FILTER(SAISIE!$C$5:$C$504,(VALUE(TRIM(LEFT(SAISIE!$A$5:$A$504,SEARCH("/",SAISIE!$A$5:$A$504&amp;"/")-1)))=$A5)*(ISNUMBER(SEARCH("Vent D/G",SAISIE!$B$5:$B$504)))*(SAISIE!$E$5:$E$504&lt;&gt;"")),fz,FILTER(SAISIE!$E$5:$E$504,(VALUE(TRIM(LEFT(SAISIE!$A$5:$A$504,SEARCH("/",SAISIE!$A$5:$A$504&amp;"/")-1)))=$A5)*(ISNUMBER(SEARCH("Vent D/G",SAISIE!$B$5:$B$504)))*(SAISIE!$E$5:$E$504&lt;&gt;"")),mf,MIN(fz),IF(COUNT(fz)=0,"-",IF(MIN(fz)&gt;=0,INDEX(fx,MATCH(MAX(fx),fx,0)),INDEX(fx,MATCH(mf,fz,0))))),"-"))</f>
        <v/>
      </c>
      <c r="I5" s="13">
        <f>IF($A5="","",IFERROR(LET(fz,FILTER(SAISIE!$E$5:$E$504,(VALUE(TRIM(LEFT(SAISIE!$A$5:$A$504,SEARCH("/",SAISIE!$A$5:$A$504&amp;"/")-1)))=$A5)*(ISNUMBER(SEARCH("Vent D/G",SAISIE!$B$5:$B$504)))*(SAISIE!$E$5:$E$504&lt;&gt;"")),IF(COUNT(fz)=0,"-",IF(MIN(fz)&gt;=0,0,MIN(fz)))),"-"))</f>
        <v/>
      </c>
      <c r="J5" s="13">
        <f>IF($A5="","",IFERROR(LET(fx,FILTER(SAISIE!$C$5:$C$504,(VALUE(TRIM(LEFT(SAISIE!$A$5:$A$504,SEARCH("/",SAISIE!$A$5:$A$504&amp;"/")-1)))=$A5)*(ISNUMBER(SEARCH("Vent D/G",SAISIE!$B$5:$B$504)))*(SAISIE!$E$5:$E$504&lt;&gt;"")),fz,FILTER(SAISIE!$E$5:$E$504,(VALUE(TRIM(LEFT(SAISIE!$A$5:$A$504,SEARCH("/",SAISIE!$A$5:$A$504&amp;"/")-1)))=$A5)*(ISNUMBER(SEARCH("Vent D/G",SAISIE!$B$5:$B$504)))*(SAISIE!$E$5:$E$504&lt;&gt;"")),Mf,MAX(fz),INDEX(fx,MATCH(Mf,fz,0))),"-"))</f>
        <v/>
      </c>
      <c r="K5" s="13">
        <f>IF($A5="","",IFERROR(LET(fz,FILTER(SAISIE!$E$5:$E$504,(VALUE(TRIM(LEFT(SAISIE!$A$5:$A$504,SEARCH("/",SAISIE!$A$5:$A$504&amp;"/")-1)))=$A5)*(ISNUMBER(SEARCH("Vent D/G",SAISIE!$B$5:$B$504)))*(SAISIE!$E$5:$E$504&lt;&gt;"")),IF(COUNT(fz)=0,"-",MAX(fz))),"-"))</f>
        <v/>
      </c>
      <c r="L5" s="13">
        <f>IF($A5="","",IFERROR(LET(v,FILTER(SAISIE!$C$5:$C$504,(VALUE(TRIM(LEFT(SAISIE!$A$5:$A$504,SEARCH("/",SAISIE!$A$5:$A$504&amp;"/")-1)))=$A5)*(ISNUMBER(SEARCH("Neige",SAISIE!$B$5:$B$504))*(NOT(ISNUMBER(SEARCH("accidentel",SAISIE!$B$5:$B$504)))))*(SAISIE!$E$5:$E$504&lt;&gt;"")),fz,FILTER(SAISIE!$E$5:$E$504,(VALUE(TRIM(LEFT(SAISIE!$A$5:$A$504,SEARCH("/",SAISIE!$A$5:$A$504&amp;"/")-1)))=$A5)*(ISNUMBER(SEARCH("Neige",SAISIE!$B$5:$B$504))*(NOT(ISNUMBER(SEARCH("accidentel",SAISIE!$B$5:$B$504)))))*(SAISIE!$E$5:$E$504&lt;&gt;"")),IF(COUNT(fz)=0,"-",INDEX(v,MATCH(MIN(fz),fz,0)))),"-"))</f>
        <v/>
      </c>
      <c r="M5" s="13">
        <f>IF($A5="","",IFERROR(LET(v,FILTER(SAISIE!$E$5:$E$504,(VALUE(TRIM(LEFT(SAISIE!$A$5:$A$504,SEARCH("/",SAISIE!$A$5:$A$504&amp;"/")-1)))=$A5)*(ISNUMBER(SEARCH("Neige",SAISIE!$B$5:$B$504))*(NOT(ISNUMBER(SEARCH("accidentel",SAISIE!$B$5:$B$504)))))*(SAISIE!$E$5:$E$504&lt;&gt;"")),IF(COUNT(v)=0,"-",MIN(v))),"-"))</f>
        <v/>
      </c>
      <c r="N5" s="13">
        <f>IF($A5="","",IFERROR(LET(v,FILTER(SAISIE!$C$5:$C$504,(VALUE(TRIM(LEFT(SAISIE!$A$5:$A$504,SEARCH("/",SAISIE!$A$5:$A$504&amp;"/")-1)))=$A5)*(ISNUMBER(SEARCH("accidentel",SAISIE!$B$5:$B$504)))*(SAISIE!$E$5:$E$504&lt;&gt;"")),IF(COUNT(v)=0,"-",INDEX(v,1))),"-"))</f>
        <v/>
      </c>
      <c r="O5" s="13">
        <f>IF($A5="","",IFERROR(LET(v,FILTER(SAISIE!$E$5:$E$504,(VALUE(TRIM(LEFT(SAISIE!$A$5:$A$504,SEARCH("/",SAISIE!$A$5:$A$504&amp;"/")-1)))=$A5)*(ISNUMBER(SEARCH("accidentel",SAISIE!$B$5:$B$504)))*(SAISIE!$E$5:$E$504&lt;&gt;"")),IF(COUNT(v)=0,"-",INDEX(v,1))),"-"))</f>
        <v/>
      </c>
    </row>
    <row r="6">
      <c r="A6" s="14">
        <f>IFERROR(INDEX(IFERROR(UNIQUE(FILTER(VALUE(TRIM(LEFT(SAISIE!$A$5:$A$504,SEARCH("/",SAISIE!$A$5:$A$504&amp;"/")-1))),SAISIE!$A$5:$A$504&lt;&gt;"")),""),2),"")</f>
        <v/>
      </c>
      <c r="B6" s="13">
        <f>IF($A6="","",IFERROR(LET(v,FILTER(SAISIE!$C$5:$C$504,(VALUE(TRIM(LEFT(SAISIE!$A$5:$A$504,SEARCH("/",SAISIE!$A$5:$A$504&amp;"/")-1)))=$A6)*(OR(ISNUMBER(SEARCH("Couverture",SAISIE!$B$5:$B$504)),LEFT(SAISIE!$B$5:$B$504,2)="G "))),IF(COUNT(v)=0,"-",INDEX(v,1))),"-"))</f>
        <v/>
      </c>
      <c r="C6" s="13">
        <f>IF($A6="","",IFERROR(LET(v,FILTER(SAISIE!$E$5:$E$504,(VALUE(TRIM(LEFT(SAISIE!$A$5:$A$504,SEARCH("/",SAISIE!$A$5:$A$504&amp;"/")-1)))=$A6)*(OR(ISNUMBER(SEARCH("Couverture",SAISIE!$B$5:$B$504)),LEFT(SAISIE!$B$5:$B$504,2)="G "))),IF(COUNT(v)=0,"-",INDEX(v,1))),"-"))</f>
        <v/>
      </c>
      <c r="D6" s="13">
        <f>IF($A6="","",IFERROR(LET(fx,FILTER(SAISIE!$C$5:$C$504,(VALUE(TRIM(LEFT(SAISIE!$A$5:$A$504,SEARCH("/",SAISIE!$A$5:$A$504&amp;"/")-1)))=$A6)*(ISNUMBER(SEARCH("Vent G/D",SAISIE!$B$5:$B$504)))*(SAISIE!$E$5:$E$504&lt;&gt;"")),fz,FILTER(SAISIE!$E$5:$E$504,(VALUE(TRIM(LEFT(SAISIE!$A$5:$A$504,SEARCH("/",SAISIE!$A$5:$A$504&amp;"/")-1)))=$A6)*(ISNUMBER(SEARCH("Vent G/D",SAISIE!$B$5:$B$504)))*(SAISIE!$E$5:$E$504&lt;&gt;"")),mf,MIN(fz),IF(COUNT(fz)=0,"-",IF(MIN(fz)&gt;=0,INDEX(fx,MATCH(MAX(fx),fx,0)),INDEX(fx,MATCH(mf,fz,0))))),"-"))</f>
        <v/>
      </c>
      <c r="E6" s="13">
        <f>IF($A6="","",IFERROR(LET(fz,FILTER(SAISIE!$E$5:$E$504,(VALUE(TRIM(LEFT(SAISIE!$A$5:$A$504,SEARCH("/",SAISIE!$A$5:$A$504&amp;"/")-1)))=$A6)*(ISNUMBER(SEARCH("Vent G/D",SAISIE!$B$5:$B$504)))*(SAISIE!$E$5:$E$504&lt;&gt;"")),IF(COUNT(fz)=0,"-",IF(MIN(fz)&gt;=0,0,MIN(fz)))),"-"))</f>
        <v/>
      </c>
      <c r="F6" s="13">
        <f>IF($A6="","",IFERROR(LET(fx,FILTER(SAISIE!$C$5:$C$504,(VALUE(TRIM(LEFT(SAISIE!$A$5:$A$504,SEARCH("/",SAISIE!$A$5:$A$504&amp;"/")-1)))=$A6)*(ISNUMBER(SEARCH("Vent G/D",SAISIE!$B$5:$B$504)))*(SAISIE!$E$5:$E$504&lt;&gt;"")),fz,FILTER(SAISIE!$E$5:$E$504,(VALUE(TRIM(LEFT(SAISIE!$A$5:$A$504,SEARCH("/",SAISIE!$A$5:$A$504&amp;"/")-1)))=$A6)*(ISNUMBER(SEARCH("Vent G/D",SAISIE!$B$5:$B$504)))*(SAISIE!$E$5:$E$504&lt;&gt;"")),Mf,MAX(fz),INDEX(fx,MATCH(Mf,fz,0))),"-"))</f>
        <v/>
      </c>
      <c r="G6" s="13">
        <f>IF($A6="","",IFERROR(LET(fz,FILTER(SAISIE!$E$5:$E$504,(VALUE(TRIM(LEFT(SAISIE!$A$5:$A$504,SEARCH("/",SAISIE!$A$5:$A$504&amp;"/")-1)))=$A6)*(ISNUMBER(SEARCH("Vent G/D",SAISIE!$B$5:$B$504)))*(SAISIE!$E$5:$E$504&lt;&gt;"")),IF(COUNT(fz)=0,"-",MAX(fz))),"-"))</f>
        <v/>
      </c>
      <c r="H6" s="13">
        <f>IF($A6="","",IFERROR(LET(fx,FILTER(SAISIE!$C$5:$C$504,(VALUE(TRIM(LEFT(SAISIE!$A$5:$A$504,SEARCH("/",SAISIE!$A$5:$A$504&amp;"/")-1)))=$A6)*(ISNUMBER(SEARCH("Vent D/G",SAISIE!$B$5:$B$504)))*(SAISIE!$E$5:$E$504&lt;&gt;"")),fz,FILTER(SAISIE!$E$5:$E$504,(VALUE(TRIM(LEFT(SAISIE!$A$5:$A$504,SEARCH("/",SAISIE!$A$5:$A$504&amp;"/")-1)))=$A6)*(ISNUMBER(SEARCH("Vent D/G",SAISIE!$B$5:$B$504)))*(SAISIE!$E$5:$E$504&lt;&gt;"")),mf,MIN(fz),IF(COUNT(fz)=0,"-",IF(MIN(fz)&gt;=0,INDEX(fx,MATCH(MAX(fx),fx,0)),INDEX(fx,MATCH(mf,fz,0))))),"-"))</f>
        <v/>
      </c>
      <c r="I6" s="13">
        <f>IF($A6="","",IFERROR(LET(fz,FILTER(SAISIE!$E$5:$E$504,(VALUE(TRIM(LEFT(SAISIE!$A$5:$A$504,SEARCH("/",SAISIE!$A$5:$A$504&amp;"/")-1)))=$A6)*(ISNUMBER(SEARCH("Vent D/G",SAISIE!$B$5:$B$504)))*(SAISIE!$E$5:$E$504&lt;&gt;"")),IF(COUNT(fz)=0,"-",IF(MIN(fz)&gt;=0,0,MIN(fz)))),"-"))</f>
        <v/>
      </c>
      <c r="J6" s="13">
        <f>IF($A6="","",IFERROR(LET(fx,FILTER(SAISIE!$C$5:$C$504,(VALUE(TRIM(LEFT(SAISIE!$A$5:$A$504,SEARCH("/",SAISIE!$A$5:$A$504&amp;"/")-1)))=$A6)*(ISNUMBER(SEARCH("Vent D/G",SAISIE!$B$5:$B$504)))*(SAISIE!$E$5:$E$504&lt;&gt;"")),fz,FILTER(SAISIE!$E$5:$E$504,(VALUE(TRIM(LEFT(SAISIE!$A$5:$A$504,SEARCH("/",SAISIE!$A$5:$A$504&amp;"/")-1)))=$A6)*(ISNUMBER(SEARCH("Vent D/G",SAISIE!$B$5:$B$504)))*(SAISIE!$E$5:$E$504&lt;&gt;"")),Mf,MAX(fz),INDEX(fx,MATCH(Mf,fz,0))),"-"))</f>
        <v/>
      </c>
      <c r="K6" s="13">
        <f>IF($A6="","",IFERROR(LET(fz,FILTER(SAISIE!$E$5:$E$504,(VALUE(TRIM(LEFT(SAISIE!$A$5:$A$504,SEARCH("/",SAISIE!$A$5:$A$504&amp;"/")-1)))=$A6)*(ISNUMBER(SEARCH("Vent D/G",SAISIE!$B$5:$B$504)))*(SAISIE!$E$5:$E$504&lt;&gt;"")),IF(COUNT(fz)=0,"-",MAX(fz))),"-"))</f>
        <v/>
      </c>
      <c r="L6" s="13">
        <f>IF($A6="","",IFERROR(LET(v,FILTER(SAISIE!$C$5:$C$504,(VALUE(TRIM(LEFT(SAISIE!$A$5:$A$504,SEARCH("/",SAISIE!$A$5:$A$504&amp;"/")-1)))=$A6)*(ISNUMBER(SEARCH("Neige",SAISIE!$B$5:$B$504))*(NOT(ISNUMBER(SEARCH("accidentel",SAISIE!$B$5:$B$504)))))*(SAISIE!$E$5:$E$504&lt;&gt;"")),fz,FILTER(SAISIE!$E$5:$E$504,(VALUE(TRIM(LEFT(SAISIE!$A$5:$A$504,SEARCH("/",SAISIE!$A$5:$A$504&amp;"/")-1)))=$A6)*(ISNUMBER(SEARCH("Neige",SAISIE!$B$5:$B$504))*(NOT(ISNUMBER(SEARCH("accidentel",SAISIE!$B$5:$B$504)))))*(SAISIE!$E$5:$E$504&lt;&gt;"")),IF(COUNT(fz)=0,"-",INDEX(v,MATCH(MIN(fz),fz,0)))),"-"))</f>
        <v/>
      </c>
      <c r="M6" s="13">
        <f>IF($A6="","",IFERROR(LET(v,FILTER(SAISIE!$E$5:$E$504,(VALUE(TRIM(LEFT(SAISIE!$A$5:$A$504,SEARCH("/",SAISIE!$A$5:$A$504&amp;"/")-1)))=$A6)*(ISNUMBER(SEARCH("Neige",SAISIE!$B$5:$B$504))*(NOT(ISNUMBER(SEARCH("accidentel",SAISIE!$B$5:$B$504)))))*(SAISIE!$E$5:$E$504&lt;&gt;"")),IF(COUNT(v)=0,"-",MIN(v))),"-"))</f>
        <v/>
      </c>
      <c r="N6" s="13">
        <f>IF($A6="","",IFERROR(LET(v,FILTER(SAISIE!$C$5:$C$504,(VALUE(TRIM(LEFT(SAISIE!$A$5:$A$504,SEARCH("/",SAISIE!$A$5:$A$504&amp;"/")-1)))=$A6)*(ISNUMBER(SEARCH("accidentel",SAISIE!$B$5:$B$504)))*(SAISIE!$E$5:$E$504&lt;&gt;"")),IF(COUNT(v)=0,"-",INDEX(v,1))),"-"))</f>
        <v/>
      </c>
      <c r="O6" s="13">
        <f>IF($A6="","",IFERROR(LET(v,FILTER(SAISIE!$E$5:$E$504,(VALUE(TRIM(LEFT(SAISIE!$A$5:$A$504,SEARCH("/",SAISIE!$A$5:$A$504&amp;"/")-1)))=$A6)*(ISNUMBER(SEARCH("accidentel",SAISIE!$B$5:$B$504)))*(SAISIE!$E$5:$E$504&lt;&gt;"")),IF(COUNT(v)=0,"-",INDEX(v,1))),"-"))</f>
        <v/>
      </c>
    </row>
    <row r="7">
      <c r="A7" s="14">
        <f>IFERROR(INDEX(IFERROR(UNIQUE(FILTER(VALUE(TRIM(LEFT(SAISIE!$A$5:$A$504,SEARCH("/",SAISIE!$A$5:$A$504&amp;"/")-1))),SAISIE!$A$5:$A$504&lt;&gt;"")),""),3),"")</f>
        <v/>
      </c>
      <c r="B7" s="13">
        <f>IF($A7="","",IFERROR(LET(v,FILTER(SAISIE!$C$5:$C$504,(VALUE(TRIM(LEFT(SAISIE!$A$5:$A$504,SEARCH("/",SAISIE!$A$5:$A$504&amp;"/")-1)))=$A7)*(OR(ISNUMBER(SEARCH("Couverture",SAISIE!$B$5:$B$504)),LEFT(SAISIE!$B$5:$B$504,2)="G "))),IF(COUNT(v)=0,"-",INDEX(v,1))),"-"))</f>
        <v/>
      </c>
      <c r="C7" s="13">
        <f>IF($A7="","",IFERROR(LET(v,FILTER(SAISIE!$E$5:$E$504,(VALUE(TRIM(LEFT(SAISIE!$A$5:$A$504,SEARCH("/",SAISIE!$A$5:$A$504&amp;"/")-1)))=$A7)*(OR(ISNUMBER(SEARCH("Couverture",SAISIE!$B$5:$B$504)),LEFT(SAISIE!$B$5:$B$504,2)="G "))),IF(COUNT(v)=0,"-",INDEX(v,1))),"-"))</f>
        <v/>
      </c>
      <c r="D7" s="13">
        <f>IF($A7="","",IFERROR(LET(fx,FILTER(SAISIE!$C$5:$C$504,(VALUE(TRIM(LEFT(SAISIE!$A$5:$A$504,SEARCH("/",SAISIE!$A$5:$A$504&amp;"/")-1)))=$A7)*(ISNUMBER(SEARCH("Vent G/D",SAISIE!$B$5:$B$504)))*(SAISIE!$E$5:$E$504&lt;&gt;"")),fz,FILTER(SAISIE!$E$5:$E$504,(VALUE(TRIM(LEFT(SAISIE!$A$5:$A$504,SEARCH("/",SAISIE!$A$5:$A$504&amp;"/")-1)))=$A7)*(ISNUMBER(SEARCH("Vent G/D",SAISIE!$B$5:$B$504)))*(SAISIE!$E$5:$E$504&lt;&gt;"")),mf,MIN(fz),IF(COUNT(fz)=0,"-",IF(MIN(fz)&gt;=0,INDEX(fx,MATCH(MAX(fx),fx,0)),INDEX(fx,MATCH(mf,fz,0))))),"-"))</f>
        <v/>
      </c>
      <c r="E7" s="13">
        <f>IF($A7="","",IFERROR(LET(fz,FILTER(SAISIE!$E$5:$E$504,(VALUE(TRIM(LEFT(SAISIE!$A$5:$A$504,SEARCH("/",SAISIE!$A$5:$A$504&amp;"/")-1)))=$A7)*(ISNUMBER(SEARCH("Vent G/D",SAISIE!$B$5:$B$504)))*(SAISIE!$E$5:$E$504&lt;&gt;"")),IF(COUNT(fz)=0,"-",IF(MIN(fz)&gt;=0,0,MIN(fz)))),"-"))</f>
        <v/>
      </c>
      <c r="F7" s="13">
        <f>IF($A7="","",IFERROR(LET(fx,FILTER(SAISIE!$C$5:$C$504,(VALUE(TRIM(LEFT(SAISIE!$A$5:$A$504,SEARCH("/",SAISIE!$A$5:$A$504&amp;"/")-1)))=$A7)*(ISNUMBER(SEARCH("Vent G/D",SAISIE!$B$5:$B$504)))*(SAISIE!$E$5:$E$504&lt;&gt;"")),fz,FILTER(SAISIE!$E$5:$E$504,(VALUE(TRIM(LEFT(SAISIE!$A$5:$A$504,SEARCH("/",SAISIE!$A$5:$A$504&amp;"/")-1)))=$A7)*(ISNUMBER(SEARCH("Vent G/D",SAISIE!$B$5:$B$504)))*(SAISIE!$E$5:$E$504&lt;&gt;"")),Mf,MAX(fz),INDEX(fx,MATCH(Mf,fz,0))),"-"))</f>
        <v/>
      </c>
      <c r="G7" s="13">
        <f>IF($A7="","",IFERROR(LET(fz,FILTER(SAISIE!$E$5:$E$504,(VALUE(TRIM(LEFT(SAISIE!$A$5:$A$504,SEARCH("/",SAISIE!$A$5:$A$504&amp;"/")-1)))=$A7)*(ISNUMBER(SEARCH("Vent G/D",SAISIE!$B$5:$B$504)))*(SAISIE!$E$5:$E$504&lt;&gt;"")),IF(COUNT(fz)=0,"-",MAX(fz))),"-"))</f>
        <v/>
      </c>
      <c r="H7" s="13">
        <f>IF($A7="","",IFERROR(LET(fx,FILTER(SAISIE!$C$5:$C$504,(VALUE(TRIM(LEFT(SAISIE!$A$5:$A$504,SEARCH("/",SAISIE!$A$5:$A$504&amp;"/")-1)))=$A7)*(ISNUMBER(SEARCH("Vent D/G",SAISIE!$B$5:$B$504)))*(SAISIE!$E$5:$E$504&lt;&gt;"")),fz,FILTER(SAISIE!$E$5:$E$504,(VALUE(TRIM(LEFT(SAISIE!$A$5:$A$504,SEARCH("/",SAISIE!$A$5:$A$504&amp;"/")-1)))=$A7)*(ISNUMBER(SEARCH("Vent D/G",SAISIE!$B$5:$B$504)))*(SAISIE!$E$5:$E$504&lt;&gt;"")),mf,MIN(fz),IF(COUNT(fz)=0,"-",IF(MIN(fz)&gt;=0,INDEX(fx,MATCH(MAX(fx),fx,0)),INDEX(fx,MATCH(mf,fz,0))))),"-"))</f>
        <v/>
      </c>
      <c r="I7" s="13">
        <f>IF($A7="","",IFERROR(LET(fz,FILTER(SAISIE!$E$5:$E$504,(VALUE(TRIM(LEFT(SAISIE!$A$5:$A$504,SEARCH("/",SAISIE!$A$5:$A$504&amp;"/")-1)))=$A7)*(ISNUMBER(SEARCH("Vent D/G",SAISIE!$B$5:$B$504)))*(SAISIE!$E$5:$E$504&lt;&gt;"")),IF(COUNT(fz)=0,"-",IF(MIN(fz)&gt;=0,0,MIN(fz)))),"-"))</f>
        <v/>
      </c>
      <c r="J7" s="13">
        <f>IF($A7="","",IFERROR(LET(fx,FILTER(SAISIE!$C$5:$C$504,(VALUE(TRIM(LEFT(SAISIE!$A$5:$A$504,SEARCH("/",SAISIE!$A$5:$A$504&amp;"/")-1)))=$A7)*(ISNUMBER(SEARCH("Vent D/G",SAISIE!$B$5:$B$504)))*(SAISIE!$E$5:$E$504&lt;&gt;"")),fz,FILTER(SAISIE!$E$5:$E$504,(VALUE(TRIM(LEFT(SAISIE!$A$5:$A$504,SEARCH("/",SAISIE!$A$5:$A$504&amp;"/")-1)))=$A7)*(ISNUMBER(SEARCH("Vent D/G",SAISIE!$B$5:$B$504)))*(SAISIE!$E$5:$E$504&lt;&gt;"")),Mf,MAX(fz),INDEX(fx,MATCH(Mf,fz,0))),"-"))</f>
        <v/>
      </c>
      <c r="K7" s="13">
        <f>IF($A7="","",IFERROR(LET(fz,FILTER(SAISIE!$E$5:$E$504,(VALUE(TRIM(LEFT(SAISIE!$A$5:$A$504,SEARCH("/",SAISIE!$A$5:$A$504&amp;"/")-1)))=$A7)*(ISNUMBER(SEARCH("Vent D/G",SAISIE!$B$5:$B$504)))*(SAISIE!$E$5:$E$504&lt;&gt;"")),IF(COUNT(fz)=0,"-",MAX(fz))),"-"))</f>
        <v/>
      </c>
      <c r="L7" s="13">
        <f>IF($A7="","",IFERROR(LET(v,FILTER(SAISIE!$C$5:$C$504,(VALUE(TRIM(LEFT(SAISIE!$A$5:$A$504,SEARCH("/",SAISIE!$A$5:$A$504&amp;"/")-1)))=$A7)*(ISNUMBER(SEARCH("Neige",SAISIE!$B$5:$B$504))*(NOT(ISNUMBER(SEARCH("accidentel",SAISIE!$B$5:$B$504)))))*(SAISIE!$E$5:$E$504&lt;&gt;"")),fz,FILTER(SAISIE!$E$5:$E$504,(VALUE(TRIM(LEFT(SAISIE!$A$5:$A$504,SEARCH("/",SAISIE!$A$5:$A$504&amp;"/")-1)))=$A7)*(ISNUMBER(SEARCH("Neige",SAISIE!$B$5:$B$504))*(NOT(ISNUMBER(SEARCH("accidentel",SAISIE!$B$5:$B$504)))))*(SAISIE!$E$5:$E$504&lt;&gt;"")),IF(COUNT(fz)=0,"-",INDEX(v,MATCH(MIN(fz),fz,0)))),"-"))</f>
        <v/>
      </c>
      <c r="M7" s="13">
        <f>IF($A7="","",IFERROR(LET(v,FILTER(SAISIE!$E$5:$E$504,(VALUE(TRIM(LEFT(SAISIE!$A$5:$A$504,SEARCH("/",SAISIE!$A$5:$A$504&amp;"/")-1)))=$A7)*(ISNUMBER(SEARCH("Neige",SAISIE!$B$5:$B$504))*(NOT(ISNUMBER(SEARCH("accidentel",SAISIE!$B$5:$B$504)))))*(SAISIE!$E$5:$E$504&lt;&gt;"")),IF(COUNT(v)=0,"-",MIN(v))),"-"))</f>
        <v/>
      </c>
      <c r="N7" s="13">
        <f>IF($A7="","",IFERROR(LET(v,FILTER(SAISIE!$C$5:$C$504,(VALUE(TRIM(LEFT(SAISIE!$A$5:$A$504,SEARCH("/",SAISIE!$A$5:$A$504&amp;"/")-1)))=$A7)*(ISNUMBER(SEARCH("accidentel",SAISIE!$B$5:$B$504)))*(SAISIE!$E$5:$E$504&lt;&gt;"")),IF(COUNT(v)=0,"-",INDEX(v,1))),"-"))</f>
        <v/>
      </c>
      <c r="O7" s="13">
        <f>IF($A7="","",IFERROR(LET(v,FILTER(SAISIE!$E$5:$E$504,(VALUE(TRIM(LEFT(SAISIE!$A$5:$A$504,SEARCH("/",SAISIE!$A$5:$A$504&amp;"/")-1)))=$A7)*(ISNUMBER(SEARCH("accidentel",SAISIE!$B$5:$B$504)))*(SAISIE!$E$5:$E$504&lt;&gt;"")),IF(COUNT(v)=0,"-",INDEX(v,1))),"-"))</f>
        <v/>
      </c>
    </row>
    <row r="8">
      <c r="A8" s="14">
        <f>IFERROR(INDEX(IFERROR(UNIQUE(FILTER(VALUE(TRIM(LEFT(SAISIE!$A$5:$A$504,SEARCH("/",SAISIE!$A$5:$A$504&amp;"/")-1))),SAISIE!$A$5:$A$504&lt;&gt;"")),""),4),"")</f>
        <v/>
      </c>
      <c r="B8" s="13">
        <f>IF($A8="","",IFERROR(LET(v,FILTER(SAISIE!$C$5:$C$504,(VALUE(TRIM(LEFT(SAISIE!$A$5:$A$504,SEARCH("/",SAISIE!$A$5:$A$504&amp;"/")-1)))=$A8)*(OR(ISNUMBER(SEARCH("Couverture",SAISIE!$B$5:$B$504)),LEFT(SAISIE!$B$5:$B$504,2)="G "))),IF(COUNT(v)=0,"-",INDEX(v,1))),"-"))</f>
        <v/>
      </c>
      <c r="C8" s="13">
        <f>IF($A8="","",IFERROR(LET(v,FILTER(SAISIE!$E$5:$E$504,(VALUE(TRIM(LEFT(SAISIE!$A$5:$A$504,SEARCH("/",SAISIE!$A$5:$A$504&amp;"/")-1)))=$A8)*(OR(ISNUMBER(SEARCH("Couverture",SAISIE!$B$5:$B$504)),LEFT(SAISIE!$B$5:$B$504,2)="G "))),IF(COUNT(v)=0,"-",INDEX(v,1))),"-"))</f>
        <v/>
      </c>
      <c r="D8" s="13">
        <f>IF($A8="","",IFERROR(LET(fx,FILTER(SAISIE!$C$5:$C$504,(VALUE(TRIM(LEFT(SAISIE!$A$5:$A$504,SEARCH("/",SAISIE!$A$5:$A$504&amp;"/")-1)))=$A8)*(ISNUMBER(SEARCH("Vent G/D",SAISIE!$B$5:$B$504)))*(SAISIE!$E$5:$E$504&lt;&gt;"")),fz,FILTER(SAISIE!$E$5:$E$504,(VALUE(TRIM(LEFT(SAISIE!$A$5:$A$504,SEARCH("/",SAISIE!$A$5:$A$504&amp;"/")-1)))=$A8)*(ISNUMBER(SEARCH("Vent G/D",SAISIE!$B$5:$B$504)))*(SAISIE!$E$5:$E$504&lt;&gt;"")),mf,MIN(fz),IF(COUNT(fz)=0,"-",IF(MIN(fz)&gt;=0,INDEX(fx,MATCH(MAX(fx),fx,0)),INDEX(fx,MATCH(mf,fz,0))))),"-"))</f>
        <v/>
      </c>
      <c r="E8" s="13">
        <f>IF($A8="","",IFERROR(LET(fz,FILTER(SAISIE!$E$5:$E$504,(VALUE(TRIM(LEFT(SAISIE!$A$5:$A$504,SEARCH("/",SAISIE!$A$5:$A$504&amp;"/")-1)))=$A8)*(ISNUMBER(SEARCH("Vent G/D",SAISIE!$B$5:$B$504)))*(SAISIE!$E$5:$E$504&lt;&gt;"")),IF(COUNT(fz)=0,"-",IF(MIN(fz)&gt;=0,0,MIN(fz)))),"-"))</f>
        <v/>
      </c>
      <c r="F8" s="13">
        <f>IF($A8="","",IFERROR(LET(fx,FILTER(SAISIE!$C$5:$C$504,(VALUE(TRIM(LEFT(SAISIE!$A$5:$A$504,SEARCH("/",SAISIE!$A$5:$A$504&amp;"/")-1)))=$A8)*(ISNUMBER(SEARCH("Vent G/D",SAISIE!$B$5:$B$504)))*(SAISIE!$E$5:$E$504&lt;&gt;"")),fz,FILTER(SAISIE!$E$5:$E$504,(VALUE(TRIM(LEFT(SAISIE!$A$5:$A$504,SEARCH("/",SAISIE!$A$5:$A$504&amp;"/")-1)))=$A8)*(ISNUMBER(SEARCH("Vent G/D",SAISIE!$B$5:$B$504)))*(SAISIE!$E$5:$E$504&lt;&gt;"")),Mf,MAX(fz),INDEX(fx,MATCH(Mf,fz,0))),"-"))</f>
        <v/>
      </c>
      <c r="G8" s="13">
        <f>IF($A8="","",IFERROR(LET(fz,FILTER(SAISIE!$E$5:$E$504,(VALUE(TRIM(LEFT(SAISIE!$A$5:$A$504,SEARCH("/",SAISIE!$A$5:$A$504&amp;"/")-1)))=$A8)*(ISNUMBER(SEARCH("Vent G/D",SAISIE!$B$5:$B$504)))*(SAISIE!$E$5:$E$504&lt;&gt;"")),IF(COUNT(fz)=0,"-",MAX(fz))),"-"))</f>
        <v/>
      </c>
      <c r="H8" s="13">
        <f>IF($A8="","",IFERROR(LET(fx,FILTER(SAISIE!$C$5:$C$504,(VALUE(TRIM(LEFT(SAISIE!$A$5:$A$504,SEARCH("/",SAISIE!$A$5:$A$504&amp;"/")-1)))=$A8)*(ISNUMBER(SEARCH("Vent D/G",SAISIE!$B$5:$B$504)))*(SAISIE!$E$5:$E$504&lt;&gt;"")),fz,FILTER(SAISIE!$E$5:$E$504,(VALUE(TRIM(LEFT(SAISIE!$A$5:$A$504,SEARCH("/",SAISIE!$A$5:$A$504&amp;"/")-1)))=$A8)*(ISNUMBER(SEARCH("Vent D/G",SAISIE!$B$5:$B$504)))*(SAISIE!$E$5:$E$504&lt;&gt;"")),mf,MIN(fz),IF(COUNT(fz)=0,"-",IF(MIN(fz)&gt;=0,INDEX(fx,MATCH(MAX(fx),fx,0)),INDEX(fx,MATCH(mf,fz,0))))),"-"))</f>
        <v/>
      </c>
      <c r="I8" s="13">
        <f>IF($A8="","",IFERROR(LET(fz,FILTER(SAISIE!$E$5:$E$504,(VALUE(TRIM(LEFT(SAISIE!$A$5:$A$504,SEARCH("/",SAISIE!$A$5:$A$504&amp;"/")-1)))=$A8)*(ISNUMBER(SEARCH("Vent D/G",SAISIE!$B$5:$B$504)))*(SAISIE!$E$5:$E$504&lt;&gt;"")),IF(COUNT(fz)=0,"-",IF(MIN(fz)&gt;=0,0,MIN(fz)))),"-"))</f>
        <v/>
      </c>
      <c r="J8" s="13">
        <f>IF($A8="","",IFERROR(LET(fx,FILTER(SAISIE!$C$5:$C$504,(VALUE(TRIM(LEFT(SAISIE!$A$5:$A$504,SEARCH("/",SAISIE!$A$5:$A$504&amp;"/")-1)))=$A8)*(ISNUMBER(SEARCH("Vent D/G",SAISIE!$B$5:$B$504)))*(SAISIE!$E$5:$E$504&lt;&gt;"")),fz,FILTER(SAISIE!$E$5:$E$504,(VALUE(TRIM(LEFT(SAISIE!$A$5:$A$504,SEARCH("/",SAISIE!$A$5:$A$504&amp;"/")-1)))=$A8)*(ISNUMBER(SEARCH("Vent D/G",SAISIE!$B$5:$B$504)))*(SAISIE!$E$5:$E$504&lt;&gt;"")),Mf,MAX(fz),INDEX(fx,MATCH(Mf,fz,0))),"-"))</f>
        <v/>
      </c>
      <c r="K8" s="13">
        <f>IF($A8="","",IFERROR(LET(fz,FILTER(SAISIE!$E$5:$E$504,(VALUE(TRIM(LEFT(SAISIE!$A$5:$A$504,SEARCH("/",SAISIE!$A$5:$A$504&amp;"/")-1)))=$A8)*(ISNUMBER(SEARCH("Vent D/G",SAISIE!$B$5:$B$504)))*(SAISIE!$E$5:$E$504&lt;&gt;"")),IF(COUNT(fz)=0,"-",MAX(fz))),"-"))</f>
        <v/>
      </c>
      <c r="L8" s="13">
        <f>IF($A8="","",IFERROR(LET(v,FILTER(SAISIE!$C$5:$C$504,(VALUE(TRIM(LEFT(SAISIE!$A$5:$A$504,SEARCH("/",SAISIE!$A$5:$A$504&amp;"/")-1)))=$A8)*(ISNUMBER(SEARCH("Neige",SAISIE!$B$5:$B$504))*(NOT(ISNUMBER(SEARCH("accidentel",SAISIE!$B$5:$B$504)))))*(SAISIE!$E$5:$E$504&lt;&gt;"")),fz,FILTER(SAISIE!$E$5:$E$504,(VALUE(TRIM(LEFT(SAISIE!$A$5:$A$504,SEARCH("/",SAISIE!$A$5:$A$504&amp;"/")-1)))=$A8)*(ISNUMBER(SEARCH("Neige",SAISIE!$B$5:$B$504))*(NOT(ISNUMBER(SEARCH("accidentel",SAISIE!$B$5:$B$504)))))*(SAISIE!$E$5:$E$504&lt;&gt;"")),IF(COUNT(fz)=0,"-",INDEX(v,MATCH(MIN(fz),fz,0)))),"-"))</f>
        <v/>
      </c>
      <c r="M8" s="13">
        <f>IF($A8="","",IFERROR(LET(v,FILTER(SAISIE!$E$5:$E$504,(VALUE(TRIM(LEFT(SAISIE!$A$5:$A$504,SEARCH("/",SAISIE!$A$5:$A$504&amp;"/")-1)))=$A8)*(ISNUMBER(SEARCH("Neige",SAISIE!$B$5:$B$504))*(NOT(ISNUMBER(SEARCH("accidentel",SAISIE!$B$5:$B$504)))))*(SAISIE!$E$5:$E$504&lt;&gt;"")),IF(COUNT(v)=0,"-",MIN(v))),"-"))</f>
        <v/>
      </c>
      <c r="N8" s="13">
        <f>IF($A8="","",IFERROR(LET(v,FILTER(SAISIE!$C$5:$C$504,(VALUE(TRIM(LEFT(SAISIE!$A$5:$A$504,SEARCH("/",SAISIE!$A$5:$A$504&amp;"/")-1)))=$A8)*(ISNUMBER(SEARCH("accidentel",SAISIE!$B$5:$B$504)))*(SAISIE!$E$5:$E$504&lt;&gt;"")),IF(COUNT(v)=0,"-",INDEX(v,1))),"-"))</f>
        <v/>
      </c>
      <c r="O8" s="13">
        <f>IF($A8="","",IFERROR(LET(v,FILTER(SAISIE!$E$5:$E$504,(VALUE(TRIM(LEFT(SAISIE!$A$5:$A$504,SEARCH("/",SAISIE!$A$5:$A$504&amp;"/")-1)))=$A8)*(ISNUMBER(SEARCH("accidentel",SAISIE!$B$5:$B$504)))*(SAISIE!$E$5:$E$504&lt;&gt;"")),IF(COUNT(v)=0,"-",INDEX(v,1))),"-"))</f>
        <v/>
      </c>
    </row>
    <row r="9">
      <c r="A9" s="14">
        <f>IFERROR(INDEX(IFERROR(UNIQUE(FILTER(VALUE(TRIM(LEFT(SAISIE!$A$5:$A$504,SEARCH("/",SAISIE!$A$5:$A$504&amp;"/")-1))),SAISIE!$A$5:$A$504&lt;&gt;"")),""),5),"")</f>
        <v/>
      </c>
      <c r="B9" s="13">
        <f>IF($A9="","",IFERROR(LET(v,FILTER(SAISIE!$C$5:$C$504,(VALUE(TRIM(LEFT(SAISIE!$A$5:$A$504,SEARCH("/",SAISIE!$A$5:$A$504&amp;"/")-1)))=$A9)*(OR(ISNUMBER(SEARCH("Couverture",SAISIE!$B$5:$B$504)),LEFT(SAISIE!$B$5:$B$504,2)="G "))),IF(COUNT(v)=0,"-",INDEX(v,1))),"-"))</f>
        <v/>
      </c>
      <c r="C9" s="13">
        <f>IF($A9="","",IFERROR(LET(v,FILTER(SAISIE!$E$5:$E$504,(VALUE(TRIM(LEFT(SAISIE!$A$5:$A$504,SEARCH("/",SAISIE!$A$5:$A$504&amp;"/")-1)))=$A9)*(OR(ISNUMBER(SEARCH("Couverture",SAISIE!$B$5:$B$504)),LEFT(SAISIE!$B$5:$B$504,2)="G "))),IF(COUNT(v)=0,"-",INDEX(v,1))),"-"))</f>
        <v/>
      </c>
      <c r="D9" s="13">
        <f>IF($A9="","",IFERROR(LET(fx,FILTER(SAISIE!$C$5:$C$504,(VALUE(TRIM(LEFT(SAISIE!$A$5:$A$504,SEARCH("/",SAISIE!$A$5:$A$504&amp;"/")-1)))=$A9)*(ISNUMBER(SEARCH("Vent G/D",SAISIE!$B$5:$B$504)))*(SAISIE!$E$5:$E$504&lt;&gt;"")),fz,FILTER(SAISIE!$E$5:$E$504,(VALUE(TRIM(LEFT(SAISIE!$A$5:$A$504,SEARCH("/",SAISIE!$A$5:$A$504&amp;"/")-1)))=$A9)*(ISNUMBER(SEARCH("Vent G/D",SAISIE!$B$5:$B$504)))*(SAISIE!$E$5:$E$504&lt;&gt;"")),mf,MIN(fz),IF(COUNT(fz)=0,"-",IF(MIN(fz)&gt;=0,INDEX(fx,MATCH(MAX(fx),fx,0)),INDEX(fx,MATCH(mf,fz,0))))),"-"))</f>
        <v/>
      </c>
      <c r="E9" s="13">
        <f>IF($A9="","",IFERROR(LET(fz,FILTER(SAISIE!$E$5:$E$504,(VALUE(TRIM(LEFT(SAISIE!$A$5:$A$504,SEARCH("/",SAISIE!$A$5:$A$504&amp;"/")-1)))=$A9)*(ISNUMBER(SEARCH("Vent G/D",SAISIE!$B$5:$B$504)))*(SAISIE!$E$5:$E$504&lt;&gt;"")),IF(COUNT(fz)=0,"-",IF(MIN(fz)&gt;=0,0,MIN(fz)))),"-"))</f>
        <v/>
      </c>
      <c r="F9" s="13">
        <f>IF($A9="","",IFERROR(LET(fx,FILTER(SAISIE!$C$5:$C$504,(VALUE(TRIM(LEFT(SAISIE!$A$5:$A$504,SEARCH("/",SAISIE!$A$5:$A$504&amp;"/")-1)))=$A9)*(ISNUMBER(SEARCH("Vent G/D",SAISIE!$B$5:$B$504)))*(SAISIE!$E$5:$E$504&lt;&gt;"")),fz,FILTER(SAISIE!$E$5:$E$504,(VALUE(TRIM(LEFT(SAISIE!$A$5:$A$504,SEARCH("/",SAISIE!$A$5:$A$504&amp;"/")-1)))=$A9)*(ISNUMBER(SEARCH("Vent G/D",SAISIE!$B$5:$B$504)))*(SAISIE!$E$5:$E$504&lt;&gt;"")),Mf,MAX(fz),INDEX(fx,MATCH(Mf,fz,0))),"-"))</f>
        <v/>
      </c>
      <c r="G9" s="13">
        <f>IF($A9="","",IFERROR(LET(fz,FILTER(SAISIE!$E$5:$E$504,(VALUE(TRIM(LEFT(SAISIE!$A$5:$A$504,SEARCH("/",SAISIE!$A$5:$A$504&amp;"/")-1)))=$A9)*(ISNUMBER(SEARCH("Vent G/D",SAISIE!$B$5:$B$504)))*(SAISIE!$E$5:$E$504&lt;&gt;"")),IF(COUNT(fz)=0,"-",MAX(fz))),"-"))</f>
        <v/>
      </c>
      <c r="H9" s="13">
        <f>IF($A9="","",IFERROR(LET(fx,FILTER(SAISIE!$C$5:$C$504,(VALUE(TRIM(LEFT(SAISIE!$A$5:$A$504,SEARCH("/",SAISIE!$A$5:$A$504&amp;"/")-1)))=$A9)*(ISNUMBER(SEARCH("Vent D/G",SAISIE!$B$5:$B$504)))*(SAISIE!$E$5:$E$504&lt;&gt;"")),fz,FILTER(SAISIE!$E$5:$E$504,(VALUE(TRIM(LEFT(SAISIE!$A$5:$A$504,SEARCH("/",SAISIE!$A$5:$A$504&amp;"/")-1)))=$A9)*(ISNUMBER(SEARCH("Vent D/G",SAISIE!$B$5:$B$504)))*(SAISIE!$E$5:$E$504&lt;&gt;"")),mf,MIN(fz),IF(COUNT(fz)=0,"-",IF(MIN(fz)&gt;=0,INDEX(fx,MATCH(MAX(fx),fx,0)),INDEX(fx,MATCH(mf,fz,0))))),"-"))</f>
        <v/>
      </c>
      <c r="I9" s="13">
        <f>IF($A9="","",IFERROR(LET(fz,FILTER(SAISIE!$E$5:$E$504,(VALUE(TRIM(LEFT(SAISIE!$A$5:$A$504,SEARCH("/",SAISIE!$A$5:$A$504&amp;"/")-1)))=$A9)*(ISNUMBER(SEARCH("Vent D/G",SAISIE!$B$5:$B$504)))*(SAISIE!$E$5:$E$504&lt;&gt;"")),IF(COUNT(fz)=0,"-",IF(MIN(fz)&gt;=0,0,MIN(fz)))),"-"))</f>
        <v/>
      </c>
      <c r="J9" s="13">
        <f>IF($A9="","",IFERROR(LET(fx,FILTER(SAISIE!$C$5:$C$504,(VALUE(TRIM(LEFT(SAISIE!$A$5:$A$504,SEARCH("/",SAISIE!$A$5:$A$504&amp;"/")-1)))=$A9)*(ISNUMBER(SEARCH("Vent D/G",SAISIE!$B$5:$B$504)))*(SAISIE!$E$5:$E$504&lt;&gt;"")),fz,FILTER(SAISIE!$E$5:$E$504,(VALUE(TRIM(LEFT(SAISIE!$A$5:$A$504,SEARCH("/",SAISIE!$A$5:$A$504&amp;"/")-1)))=$A9)*(ISNUMBER(SEARCH("Vent D/G",SAISIE!$B$5:$B$504)))*(SAISIE!$E$5:$E$504&lt;&gt;"")),Mf,MAX(fz),INDEX(fx,MATCH(Mf,fz,0))),"-"))</f>
        <v/>
      </c>
      <c r="K9" s="13">
        <f>IF($A9="","",IFERROR(LET(fz,FILTER(SAISIE!$E$5:$E$504,(VALUE(TRIM(LEFT(SAISIE!$A$5:$A$504,SEARCH("/",SAISIE!$A$5:$A$504&amp;"/")-1)))=$A9)*(ISNUMBER(SEARCH("Vent D/G",SAISIE!$B$5:$B$504)))*(SAISIE!$E$5:$E$504&lt;&gt;"")),IF(COUNT(fz)=0,"-",MAX(fz))),"-"))</f>
        <v/>
      </c>
      <c r="L9" s="13">
        <f>IF($A9="","",IFERROR(LET(v,FILTER(SAISIE!$C$5:$C$504,(VALUE(TRIM(LEFT(SAISIE!$A$5:$A$504,SEARCH("/",SAISIE!$A$5:$A$504&amp;"/")-1)))=$A9)*(ISNUMBER(SEARCH("Neige",SAISIE!$B$5:$B$504))*(NOT(ISNUMBER(SEARCH("accidentel",SAISIE!$B$5:$B$504)))))*(SAISIE!$E$5:$E$504&lt;&gt;"")),fz,FILTER(SAISIE!$E$5:$E$504,(VALUE(TRIM(LEFT(SAISIE!$A$5:$A$504,SEARCH("/",SAISIE!$A$5:$A$504&amp;"/")-1)))=$A9)*(ISNUMBER(SEARCH("Neige",SAISIE!$B$5:$B$504))*(NOT(ISNUMBER(SEARCH("accidentel",SAISIE!$B$5:$B$504)))))*(SAISIE!$E$5:$E$504&lt;&gt;"")),IF(COUNT(fz)=0,"-",INDEX(v,MATCH(MIN(fz),fz,0)))),"-"))</f>
        <v/>
      </c>
      <c r="M9" s="13">
        <f>IF($A9="","",IFERROR(LET(v,FILTER(SAISIE!$E$5:$E$504,(VALUE(TRIM(LEFT(SAISIE!$A$5:$A$504,SEARCH("/",SAISIE!$A$5:$A$504&amp;"/")-1)))=$A9)*(ISNUMBER(SEARCH("Neige",SAISIE!$B$5:$B$504))*(NOT(ISNUMBER(SEARCH("accidentel",SAISIE!$B$5:$B$504)))))*(SAISIE!$E$5:$E$504&lt;&gt;"")),IF(COUNT(v)=0,"-",MIN(v))),"-"))</f>
        <v/>
      </c>
      <c r="N9" s="13">
        <f>IF($A9="","",IFERROR(LET(v,FILTER(SAISIE!$C$5:$C$504,(VALUE(TRIM(LEFT(SAISIE!$A$5:$A$504,SEARCH("/",SAISIE!$A$5:$A$504&amp;"/")-1)))=$A9)*(ISNUMBER(SEARCH("accidentel",SAISIE!$B$5:$B$504)))*(SAISIE!$E$5:$E$504&lt;&gt;"")),IF(COUNT(v)=0,"-",INDEX(v,1))),"-"))</f>
        <v/>
      </c>
      <c r="O9" s="13">
        <f>IF($A9="","",IFERROR(LET(v,FILTER(SAISIE!$E$5:$E$504,(VALUE(TRIM(LEFT(SAISIE!$A$5:$A$504,SEARCH("/",SAISIE!$A$5:$A$504&amp;"/")-1)))=$A9)*(ISNUMBER(SEARCH("accidentel",SAISIE!$B$5:$B$504)))*(SAISIE!$E$5:$E$504&lt;&gt;"")),IF(COUNT(v)=0,"-",INDEX(v,1))),"-"))</f>
        <v/>
      </c>
    </row>
    <row r="10">
      <c r="A10" s="14">
        <f>IFERROR(INDEX(IFERROR(UNIQUE(FILTER(VALUE(TRIM(LEFT(SAISIE!$A$5:$A$504,SEARCH("/",SAISIE!$A$5:$A$504&amp;"/")-1))),SAISIE!$A$5:$A$504&lt;&gt;"")),""),6),"")</f>
        <v/>
      </c>
      <c r="B10" s="13">
        <f>IF($A10="","",IFERROR(LET(v,FILTER(SAISIE!$C$5:$C$504,(VALUE(TRIM(LEFT(SAISIE!$A$5:$A$504,SEARCH("/",SAISIE!$A$5:$A$504&amp;"/")-1)))=$A10)*(OR(ISNUMBER(SEARCH("Couverture",SAISIE!$B$5:$B$504)),LEFT(SAISIE!$B$5:$B$504,2)="G "))),IF(COUNT(v)=0,"-",INDEX(v,1))),"-"))</f>
        <v/>
      </c>
      <c r="C10" s="13">
        <f>IF($A10="","",IFERROR(LET(v,FILTER(SAISIE!$E$5:$E$504,(VALUE(TRIM(LEFT(SAISIE!$A$5:$A$504,SEARCH("/",SAISIE!$A$5:$A$504&amp;"/")-1)))=$A10)*(OR(ISNUMBER(SEARCH("Couverture",SAISIE!$B$5:$B$504)),LEFT(SAISIE!$B$5:$B$504,2)="G "))),IF(COUNT(v)=0,"-",INDEX(v,1))),"-"))</f>
        <v/>
      </c>
      <c r="D10" s="13">
        <f>IF($A10="","",IFERROR(LET(fx,FILTER(SAISIE!$C$5:$C$504,(VALUE(TRIM(LEFT(SAISIE!$A$5:$A$504,SEARCH("/",SAISIE!$A$5:$A$504&amp;"/")-1)))=$A10)*(ISNUMBER(SEARCH("Vent G/D",SAISIE!$B$5:$B$504)))*(SAISIE!$E$5:$E$504&lt;&gt;"")),fz,FILTER(SAISIE!$E$5:$E$504,(VALUE(TRIM(LEFT(SAISIE!$A$5:$A$504,SEARCH("/",SAISIE!$A$5:$A$504&amp;"/")-1)))=$A10)*(ISNUMBER(SEARCH("Vent G/D",SAISIE!$B$5:$B$504)))*(SAISIE!$E$5:$E$504&lt;&gt;"")),mf,MIN(fz),IF(COUNT(fz)=0,"-",IF(MIN(fz)&gt;=0,INDEX(fx,MATCH(MAX(fx),fx,0)),INDEX(fx,MATCH(mf,fz,0))))),"-"))</f>
        <v/>
      </c>
      <c r="E10" s="13">
        <f>IF($A10="","",IFERROR(LET(fz,FILTER(SAISIE!$E$5:$E$504,(VALUE(TRIM(LEFT(SAISIE!$A$5:$A$504,SEARCH("/",SAISIE!$A$5:$A$504&amp;"/")-1)))=$A10)*(ISNUMBER(SEARCH("Vent G/D",SAISIE!$B$5:$B$504)))*(SAISIE!$E$5:$E$504&lt;&gt;"")),IF(COUNT(fz)=0,"-",IF(MIN(fz)&gt;=0,0,MIN(fz)))),"-"))</f>
        <v/>
      </c>
      <c r="F10" s="13">
        <f>IF($A10="","",IFERROR(LET(fx,FILTER(SAISIE!$C$5:$C$504,(VALUE(TRIM(LEFT(SAISIE!$A$5:$A$504,SEARCH("/",SAISIE!$A$5:$A$504&amp;"/")-1)))=$A10)*(ISNUMBER(SEARCH("Vent G/D",SAISIE!$B$5:$B$504)))*(SAISIE!$E$5:$E$504&lt;&gt;"")),fz,FILTER(SAISIE!$E$5:$E$504,(VALUE(TRIM(LEFT(SAISIE!$A$5:$A$504,SEARCH("/",SAISIE!$A$5:$A$504&amp;"/")-1)))=$A10)*(ISNUMBER(SEARCH("Vent G/D",SAISIE!$B$5:$B$504)))*(SAISIE!$E$5:$E$504&lt;&gt;"")),Mf,MAX(fz),INDEX(fx,MATCH(Mf,fz,0))),"-"))</f>
        <v/>
      </c>
      <c r="G10" s="13">
        <f>IF($A10="","",IFERROR(LET(fz,FILTER(SAISIE!$E$5:$E$504,(VALUE(TRIM(LEFT(SAISIE!$A$5:$A$504,SEARCH("/",SAISIE!$A$5:$A$504&amp;"/")-1)))=$A10)*(ISNUMBER(SEARCH("Vent G/D",SAISIE!$B$5:$B$504)))*(SAISIE!$E$5:$E$504&lt;&gt;"")),IF(COUNT(fz)=0,"-",MAX(fz))),"-"))</f>
        <v/>
      </c>
      <c r="H10" s="13">
        <f>IF($A10="","",IFERROR(LET(fx,FILTER(SAISIE!$C$5:$C$504,(VALUE(TRIM(LEFT(SAISIE!$A$5:$A$504,SEARCH("/",SAISIE!$A$5:$A$504&amp;"/")-1)))=$A10)*(ISNUMBER(SEARCH("Vent D/G",SAISIE!$B$5:$B$504)))*(SAISIE!$E$5:$E$504&lt;&gt;"")),fz,FILTER(SAISIE!$E$5:$E$504,(VALUE(TRIM(LEFT(SAISIE!$A$5:$A$504,SEARCH("/",SAISIE!$A$5:$A$504&amp;"/")-1)))=$A10)*(ISNUMBER(SEARCH("Vent D/G",SAISIE!$B$5:$B$504)))*(SAISIE!$E$5:$E$504&lt;&gt;"")),mf,MIN(fz),IF(COUNT(fz)=0,"-",IF(MIN(fz)&gt;=0,INDEX(fx,MATCH(MAX(fx),fx,0)),INDEX(fx,MATCH(mf,fz,0))))),"-"))</f>
        <v/>
      </c>
      <c r="I10" s="13">
        <f>IF($A10="","",IFERROR(LET(fz,FILTER(SAISIE!$E$5:$E$504,(VALUE(TRIM(LEFT(SAISIE!$A$5:$A$504,SEARCH("/",SAISIE!$A$5:$A$504&amp;"/")-1)))=$A10)*(ISNUMBER(SEARCH("Vent D/G",SAISIE!$B$5:$B$504)))*(SAISIE!$E$5:$E$504&lt;&gt;"")),IF(COUNT(fz)=0,"-",IF(MIN(fz)&gt;=0,0,MIN(fz)))),"-"))</f>
        <v/>
      </c>
      <c r="J10" s="13">
        <f>IF($A10="","",IFERROR(LET(fx,FILTER(SAISIE!$C$5:$C$504,(VALUE(TRIM(LEFT(SAISIE!$A$5:$A$504,SEARCH("/",SAISIE!$A$5:$A$504&amp;"/")-1)))=$A10)*(ISNUMBER(SEARCH("Vent D/G",SAISIE!$B$5:$B$504)))*(SAISIE!$E$5:$E$504&lt;&gt;"")),fz,FILTER(SAISIE!$E$5:$E$504,(VALUE(TRIM(LEFT(SAISIE!$A$5:$A$504,SEARCH("/",SAISIE!$A$5:$A$504&amp;"/")-1)))=$A10)*(ISNUMBER(SEARCH("Vent D/G",SAISIE!$B$5:$B$504)))*(SAISIE!$E$5:$E$504&lt;&gt;"")),Mf,MAX(fz),INDEX(fx,MATCH(Mf,fz,0))),"-"))</f>
        <v/>
      </c>
      <c r="K10" s="13">
        <f>IF($A10="","",IFERROR(LET(fz,FILTER(SAISIE!$E$5:$E$504,(VALUE(TRIM(LEFT(SAISIE!$A$5:$A$504,SEARCH("/",SAISIE!$A$5:$A$504&amp;"/")-1)))=$A10)*(ISNUMBER(SEARCH("Vent D/G",SAISIE!$B$5:$B$504)))*(SAISIE!$E$5:$E$504&lt;&gt;"")),IF(COUNT(fz)=0,"-",MAX(fz))),"-"))</f>
        <v/>
      </c>
      <c r="L10" s="13">
        <f>IF($A10="","",IFERROR(LET(v,FILTER(SAISIE!$C$5:$C$504,(VALUE(TRIM(LEFT(SAISIE!$A$5:$A$504,SEARCH("/",SAISIE!$A$5:$A$504&amp;"/")-1)))=$A10)*(ISNUMBER(SEARCH("Neige",SAISIE!$B$5:$B$504))*(NOT(ISNUMBER(SEARCH("accidentel",SAISIE!$B$5:$B$504)))))*(SAISIE!$E$5:$E$504&lt;&gt;"")),fz,FILTER(SAISIE!$E$5:$E$504,(VALUE(TRIM(LEFT(SAISIE!$A$5:$A$504,SEARCH("/",SAISIE!$A$5:$A$504&amp;"/")-1)))=$A10)*(ISNUMBER(SEARCH("Neige",SAISIE!$B$5:$B$504))*(NOT(ISNUMBER(SEARCH("accidentel",SAISIE!$B$5:$B$504)))))*(SAISIE!$E$5:$E$504&lt;&gt;"")),IF(COUNT(fz)=0,"-",INDEX(v,MATCH(MIN(fz),fz,0)))),"-"))</f>
        <v/>
      </c>
      <c r="M10" s="13">
        <f>IF($A10="","",IFERROR(LET(v,FILTER(SAISIE!$E$5:$E$504,(VALUE(TRIM(LEFT(SAISIE!$A$5:$A$504,SEARCH("/",SAISIE!$A$5:$A$504&amp;"/")-1)))=$A10)*(ISNUMBER(SEARCH("Neige",SAISIE!$B$5:$B$504))*(NOT(ISNUMBER(SEARCH("accidentel",SAISIE!$B$5:$B$504)))))*(SAISIE!$E$5:$E$504&lt;&gt;"")),IF(COUNT(v)=0,"-",MIN(v))),"-"))</f>
        <v/>
      </c>
      <c r="N10" s="13">
        <f>IF($A10="","",IFERROR(LET(v,FILTER(SAISIE!$C$5:$C$504,(VALUE(TRIM(LEFT(SAISIE!$A$5:$A$504,SEARCH("/",SAISIE!$A$5:$A$504&amp;"/")-1)))=$A10)*(ISNUMBER(SEARCH("accidentel",SAISIE!$B$5:$B$504)))*(SAISIE!$E$5:$E$504&lt;&gt;"")),IF(COUNT(v)=0,"-",INDEX(v,1))),"-"))</f>
        <v/>
      </c>
      <c r="O10" s="13">
        <f>IF($A10="","",IFERROR(LET(v,FILTER(SAISIE!$E$5:$E$504,(VALUE(TRIM(LEFT(SAISIE!$A$5:$A$504,SEARCH("/",SAISIE!$A$5:$A$504&amp;"/")-1)))=$A10)*(ISNUMBER(SEARCH("accidentel",SAISIE!$B$5:$B$504)))*(SAISIE!$E$5:$E$504&lt;&gt;"")),IF(COUNT(v)=0,"-",INDEX(v,1))),"-"))</f>
        <v/>
      </c>
    </row>
    <row r="11">
      <c r="A11" s="14">
        <f>IFERROR(INDEX(IFERROR(UNIQUE(FILTER(VALUE(TRIM(LEFT(SAISIE!$A$5:$A$504,SEARCH("/",SAISIE!$A$5:$A$504&amp;"/")-1))),SAISIE!$A$5:$A$504&lt;&gt;"")),""),7),"")</f>
        <v/>
      </c>
      <c r="B11" s="13">
        <f>IF($A11="","",IFERROR(LET(v,FILTER(SAISIE!$C$5:$C$504,(VALUE(TRIM(LEFT(SAISIE!$A$5:$A$504,SEARCH("/",SAISIE!$A$5:$A$504&amp;"/")-1)))=$A11)*(OR(ISNUMBER(SEARCH("Couverture",SAISIE!$B$5:$B$504)),LEFT(SAISIE!$B$5:$B$504,2)="G "))),IF(COUNT(v)=0,"-",INDEX(v,1))),"-"))</f>
        <v/>
      </c>
      <c r="C11" s="13">
        <f>IF($A11="","",IFERROR(LET(v,FILTER(SAISIE!$E$5:$E$504,(VALUE(TRIM(LEFT(SAISIE!$A$5:$A$504,SEARCH("/",SAISIE!$A$5:$A$504&amp;"/")-1)))=$A11)*(OR(ISNUMBER(SEARCH("Couverture",SAISIE!$B$5:$B$504)),LEFT(SAISIE!$B$5:$B$504,2)="G "))),IF(COUNT(v)=0,"-",INDEX(v,1))),"-"))</f>
        <v/>
      </c>
      <c r="D11" s="13">
        <f>IF($A11="","",IFERROR(LET(fx,FILTER(SAISIE!$C$5:$C$504,(VALUE(TRIM(LEFT(SAISIE!$A$5:$A$504,SEARCH("/",SAISIE!$A$5:$A$504&amp;"/")-1)))=$A11)*(ISNUMBER(SEARCH("Vent G/D",SAISIE!$B$5:$B$504)))*(SAISIE!$E$5:$E$504&lt;&gt;"")),fz,FILTER(SAISIE!$E$5:$E$504,(VALUE(TRIM(LEFT(SAISIE!$A$5:$A$504,SEARCH("/",SAISIE!$A$5:$A$504&amp;"/")-1)))=$A11)*(ISNUMBER(SEARCH("Vent G/D",SAISIE!$B$5:$B$504)))*(SAISIE!$E$5:$E$504&lt;&gt;"")),mf,MIN(fz),IF(COUNT(fz)=0,"-",IF(MIN(fz)&gt;=0,INDEX(fx,MATCH(MAX(fx),fx,0)),INDEX(fx,MATCH(mf,fz,0))))),"-"))</f>
        <v/>
      </c>
      <c r="E11" s="13">
        <f>IF($A11="","",IFERROR(LET(fz,FILTER(SAISIE!$E$5:$E$504,(VALUE(TRIM(LEFT(SAISIE!$A$5:$A$504,SEARCH("/",SAISIE!$A$5:$A$504&amp;"/")-1)))=$A11)*(ISNUMBER(SEARCH("Vent G/D",SAISIE!$B$5:$B$504)))*(SAISIE!$E$5:$E$504&lt;&gt;"")),IF(COUNT(fz)=0,"-",IF(MIN(fz)&gt;=0,0,MIN(fz)))),"-"))</f>
        <v/>
      </c>
      <c r="F11" s="13">
        <f>IF($A11="","",IFERROR(LET(fx,FILTER(SAISIE!$C$5:$C$504,(VALUE(TRIM(LEFT(SAISIE!$A$5:$A$504,SEARCH("/",SAISIE!$A$5:$A$504&amp;"/")-1)))=$A11)*(ISNUMBER(SEARCH("Vent G/D",SAISIE!$B$5:$B$504)))*(SAISIE!$E$5:$E$504&lt;&gt;"")),fz,FILTER(SAISIE!$E$5:$E$504,(VALUE(TRIM(LEFT(SAISIE!$A$5:$A$504,SEARCH("/",SAISIE!$A$5:$A$504&amp;"/")-1)))=$A11)*(ISNUMBER(SEARCH("Vent G/D",SAISIE!$B$5:$B$504)))*(SAISIE!$E$5:$E$504&lt;&gt;"")),Mf,MAX(fz),INDEX(fx,MATCH(Mf,fz,0))),"-"))</f>
        <v/>
      </c>
      <c r="G11" s="13">
        <f>IF($A11="","",IFERROR(LET(fz,FILTER(SAISIE!$E$5:$E$504,(VALUE(TRIM(LEFT(SAISIE!$A$5:$A$504,SEARCH("/",SAISIE!$A$5:$A$504&amp;"/")-1)))=$A11)*(ISNUMBER(SEARCH("Vent G/D",SAISIE!$B$5:$B$504)))*(SAISIE!$E$5:$E$504&lt;&gt;"")),IF(COUNT(fz)=0,"-",MAX(fz))),"-"))</f>
        <v/>
      </c>
      <c r="H11" s="13">
        <f>IF($A11="","",IFERROR(LET(fx,FILTER(SAISIE!$C$5:$C$504,(VALUE(TRIM(LEFT(SAISIE!$A$5:$A$504,SEARCH("/",SAISIE!$A$5:$A$504&amp;"/")-1)))=$A11)*(ISNUMBER(SEARCH("Vent D/G",SAISIE!$B$5:$B$504)))*(SAISIE!$E$5:$E$504&lt;&gt;"")),fz,FILTER(SAISIE!$E$5:$E$504,(VALUE(TRIM(LEFT(SAISIE!$A$5:$A$504,SEARCH("/",SAISIE!$A$5:$A$504&amp;"/")-1)))=$A11)*(ISNUMBER(SEARCH("Vent D/G",SAISIE!$B$5:$B$504)))*(SAISIE!$E$5:$E$504&lt;&gt;"")),mf,MIN(fz),IF(COUNT(fz)=0,"-",IF(MIN(fz)&gt;=0,INDEX(fx,MATCH(MAX(fx),fx,0)),INDEX(fx,MATCH(mf,fz,0))))),"-"))</f>
        <v/>
      </c>
      <c r="I11" s="13">
        <f>IF($A11="","",IFERROR(LET(fz,FILTER(SAISIE!$E$5:$E$504,(VALUE(TRIM(LEFT(SAISIE!$A$5:$A$504,SEARCH("/",SAISIE!$A$5:$A$504&amp;"/")-1)))=$A11)*(ISNUMBER(SEARCH("Vent D/G",SAISIE!$B$5:$B$504)))*(SAISIE!$E$5:$E$504&lt;&gt;"")),IF(COUNT(fz)=0,"-",IF(MIN(fz)&gt;=0,0,MIN(fz)))),"-"))</f>
        <v/>
      </c>
      <c r="J11" s="13">
        <f>IF($A11="","",IFERROR(LET(fx,FILTER(SAISIE!$C$5:$C$504,(VALUE(TRIM(LEFT(SAISIE!$A$5:$A$504,SEARCH("/",SAISIE!$A$5:$A$504&amp;"/")-1)))=$A11)*(ISNUMBER(SEARCH("Vent D/G",SAISIE!$B$5:$B$504)))*(SAISIE!$E$5:$E$504&lt;&gt;"")),fz,FILTER(SAISIE!$E$5:$E$504,(VALUE(TRIM(LEFT(SAISIE!$A$5:$A$504,SEARCH("/",SAISIE!$A$5:$A$504&amp;"/")-1)))=$A11)*(ISNUMBER(SEARCH("Vent D/G",SAISIE!$B$5:$B$504)))*(SAISIE!$E$5:$E$504&lt;&gt;"")),Mf,MAX(fz),INDEX(fx,MATCH(Mf,fz,0))),"-"))</f>
        <v/>
      </c>
      <c r="K11" s="13">
        <f>IF($A11="","",IFERROR(LET(fz,FILTER(SAISIE!$E$5:$E$504,(VALUE(TRIM(LEFT(SAISIE!$A$5:$A$504,SEARCH("/",SAISIE!$A$5:$A$504&amp;"/")-1)))=$A11)*(ISNUMBER(SEARCH("Vent D/G",SAISIE!$B$5:$B$504)))*(SAISIE!$E$5:$E$504&lt;&gt;"")),IF(COUNT(fz)=0,"-",MAX(fz))),"-"))</f>
        <v/>
      </c>
      <c r="L11" s="13">
        <f>IF($A11="","",IFERROR(LET(v,FILTER(SAISIE!$C$5:$C$504,(VALUE(TRIM(LEFT(SAISIE!$A$5:$A$504,SEARCH("/",SAISIE!$A$5:$A$504&amp;"/")-1)))=$A11)*(ISNUMBER(SEARCH("Neige",SAISIE!$B$5:$B$504))*(NOT(ISNUMBER(SEARCH("accidentel",SAISIE!$B$5:$B$504)))))*(SAISIE!$E$5:$E$504&lt;&gt;"")),fz,FILTER(SAISIE!$E$5:$E$504,(VALUE(TRIM(LEFT(SAISIE!$A$5:$A$504,SEARCH("/",SAISIE!$A$5:$A$504&amp;"/")-1)))=$A11)*(ISNUMBER(SEARCH("Neige",SAISIE!$B$5:$B$504))*(NOT(ISNUMBER(SEARCH("accidentel",SAISIE!$B$5:$B$504)))))*(SAISIE!$E$5:$E$504&lt;&gt;"")),IF(COUNT(fz)=0,"-",INDEX(v,MATCH(MIN(fz),fz,0)))),"-"))</f>
        <v/>
      </c>
      <c r="M11" s="13">
        <f>IF($A11="","",IFERROR(LET(v,FILTER(SAISIE!$E$5:$E$504,(VALUE(TRIM(LEFT(SAISIE!$A$5:$A$504,SEARCH("/",SAISIE!$A$5:$A$504&amp;"/")-1)))=$A11)*(ISNUMBER(SEARCH("Neige",SAISIE!$B$5:$B$504))*(NOT(ISNUMBER(SEARCH("accidentel",SAISIE!$B$5:$B$504)))))*(SAISIE!$E$5:$E$504&lt;&gt;"")),IF(COUNT(v)=0,"-",MIN(v))),"-"))</f>
        <v/>
      </c>
      <c r="N11" s="13">
        <f>IF($A11="","",IFERROR(LET(v,FILTER(SAISIE!$C$5:$C$504,(VALUE(TRIM(LEFT(SAISIE!$A$5:$A$504,SEARCH("/",SAISIE!$A$5:$A$504&amp;"/")-1)))=$A11)*(ISNUMBER(SEARCH("accidentel",SAISIE!$B$5:$B$504)))*(SAISIE!$E$5:$E$504&lt;&gt;"")),IF(COUNT(v)=0,"-",INDEX(v,1))),"-"))</f>
        <v/>
      </c>
      <c r="O11" s="13">
        <f>IF($A11="","",IFERROR(LET(v,FILTER(SAISIE!$E$5:$E$504,(VALUE(TRIM(LEFT(SAISIE!$A$5:$A$504,SEARCH("/",SAISIE!$A$5:$A$504&amp;"/")-1)))=$A11)*(ISNUMBER(SEARCH("accidentel",SAISIE!$B$5:$B$504)))*(SAISIE!$E$5:$E$504&lt;&gt;"")),IF(COUNT(v)=0,"-",INDEX(v,1))),"-"))</f>
        <v/>
      </c>
    </row>
    <row r="12">
      <c r="A12" s="14">
        <f>IFERROR(INDEX(IFERROR(UNIQUE(FILTER(VALUE(TRIM(LEFT(SAISIE!$A$5:$A$504,SEARCH("/",SAISIE!$A$5:$A$504&amp;"/")-1))),SAISIE!$A$5:$A$504&lt;&gt;"")),""),8),"")</f>
        <v/>
      </c>
      <c r="B12" s="13">
        <f>IF($A12="","",IFERROR(LET(v,FILTER(SAISIE!$C$5:$C$504,(VALUE(TRIM(LEFT(SAISIE!$A$5:$A$504,SEARCH("/",SAISIE!$A$5:$A$504&amp;"/")-1)))=$A12)*(OR(ISNUMBER(SEARCH("Couverture",SAISIE!$B$5:$B$504)),LEFT(SAISIE!$B$5:$B$504,2)="G "))),IF(COUNT(v)=0,"-",INDEX(v,1))),"-"))</f>
        <v/>
      </c>
      <c r="C12" s="13">
        <f>IF($A12="","",IFERROR(LET(v,FILTER(SAISIE!$E$5:$E$504,(VALUE(TRIM(LEFT(SAISIE!$A$5:$A$504,SEARCH("/",SAISIE!$A$5:$A$504&amp;"/")-1)))=$A12)*(OR(ISNUMBER(SEARCH("Couverture",SAISIE!$B$5:$B$504)),LEFT(SAISIE!$B$5:$B$504,2)="G "))),IF(COUNT(v)=0,"-",INDEX(v,1))),"-"))</f>
        <v/>
      </c>
      <c r="D12" s="13">
        <f>IF($A12="","",IFERROR(LET(fx,FILTER(SAISIE!$C$5:$C$504,(VALUE(TRIM(LEFT(SAISIE!$A$5:$A$504,SEARCH("/",SAISIE!$A$5:$A$504&amp;"/")-1)))=$A12)*(ISNUMBER(SEARCH("Vent G/D",SAISIE!$B$5:$B$504)))*(SAISIE!$E$5:$E$504&lt;&gt;"")),fz,FILTER(SAISIE!$E$5:$E$504,(VALUE(TRIM(LEFT(SAISIE!$A$5:$A$504,SEARCH("/",SAISIE!$A$5:$A$504&amp;"/")-1)))=$A12)*(ISNUMBER(SEARCH("Vent G/D",SAISIE!$B$5:$B$504)))*(SAISIE!$E$5:$E$504&lt;&gt;"")),mf,MIN(fz),IF(COUNT(fz)=0,"-",IF(MIN(fz)&gt;=0,INDEX(fx,MATCH(MAX(fx),fx,0)),INDEX(fx,MATCH(mf,fz,0))))),"-"))</f>
        <v/>
      </c>
      <c r="E12" s="13">
        <f>IF($A12="","",IFERROR(LET(fz,FILTER(SAISIE!$E$5:$E$504,(VALUE(TRIM(LEFT(SAISIE!$A$5:$A$504,SEARCH("/",SAISIE!$A$5:$A$504&amp;"/")-1)))=$A12)*(ISNUMBER(SEARCH("Vent G/D",SAISIE!$B$5:$B$504)))*(SAISIE!$E$5:$E$504&lt;&gt;"")),IF(COUNT(fz)=0,"-",IF(MIN(fz)&gt;=0,0,MIN(fz)))),"-"))</f>
        <v/>
      </c>
      <c r="F12" s="13">
        <f>IF($A12="","",IFERROR(LET(fx,FILTER(SAISIE!$C$5:$C$504,(VALUE(TRIM(LEFT(SAISIE!$A$5:$A$504,SEARCH("/",SAISIE!$A$5:$A$504&amp;"/")-1)))=$A12)*(ISNUMBER(SEARCH("Vent G/D",SAISIE!$B$5:$B$504)))*(SAISIE!$E$5:$E$504&lt;&gt;"")),fz,FILTER(SAISIE!$E$5:$E$504,(VALUE(TRIM(LEFT(SAISIE!$A$5:$A$504,SEARCH("/",SAISIE!$A$5:$A$504&amp;"/")-1)))=$A12)*(ISNUMBER(SEARCH("Vent G/D",SAISIE!$B$5:$B$504)))*(SAISIE!$E$5:$E$504&lt;&gt;"")),Mf,MAX(fz),INDEX(fx,MATCH(Mf,fz,0))),"-"))</f>
        <v/>
      </c>
      <c r="G12" s="13">
        <f>IF($A12="","",IFERROR(LET(fz,FILTER(SAISIE!$E$5:$E$504,(VALUE(TRIM(LEFT(SAISIE!$A$5:$A$504,SEARCH("/",SAISIE!$A$5:$A$504&amp;"/")-1)))=$A12)*(ISNUMBER(SEARCH("Vent G/D",SAISIE!$B$5:$B$504)))*(SAISIE!$E$5:$E$504&lt;&gt;"")),IF(COUNT(fz)=0,"-",MAX(fz))),"-"))</f>
        <v/>
      </c>
      <c r="H12" s="13">
        <f>IF($A12="","",IFERROR(LET(fx,FILTER(SAISIE!$C$5:$C$504,(VALUE(TRIM(LEFT(SAISIE!$A$5:$A$504,SEARCH("/",SAISIE!$A$5:$A$504&amp;"/")-1)))=$A12)*(ISNUMBER(SEARCH("Vent D/G",SAISIE!$B$5:$B$504)))*(SAISIE!$E$5:$E$504&lt;&gt;"")),fz,FILTER(SAISIE!$E$5:$E$504,(VALUE(TRIM(LEFT(SAISIE!$A$5:$A$504,SEARCH("/",SAISIE!$A$5:$A$504&amp;"/")-1)))=$A12)*(ISNUMBER(SEARCH("Vent D/G",SAISIE!$B$5:$B$504)))*(SAISIE!$E$5:$E$504&lt;&gt;"")),mf,MIN(fz),IF(COUNT(fz)=0,"-",IF(MIN(fz)&gt;=0,INDEX(fx,MATCH(MAX(fx),fx,0)),INDEX(fx,MATCH(mf,fz,0))))),"-"))</f>
        <v/>
      </c>
      <c r="I12" s="13">
        <f>IF($A12="","",IFERROR(LET(fz,FILTER(SAISIE!$E$5:$E$504,(VALUE(TRIM(LEFT(SAISIE!$A$5:$A$504,SEARCH("/",SAISIE!$A$5:$A$504&amp;"/")-1)))=$A12)*(ISNUMBER(SEARCH("Vent D/G",SAISIE!$B$5:$B$504)))*(SAISIE!$E$5:$E$504&lt;&gt;"")),IF(COUNT(fz)=0,"-",IF(MIN(fz)&gt;=0,0,MIN(fz)))),"-"))</f>
        <v/>
      </c>
      <c r="J12" s="13">
        <f>IF($A12="","",IFERROR(LET(fx,FILTER(SAISIE!$C$5:$C$504,(VALUE(TRIM(LEFT(SAISIE!$A$5:$A$504,SEARCH("/",SAISIE!$A$5:$A$504&amp;"/")-1)))=$A12)*(ISNUMBER(SEARCH("Vent D/G",SAISIE!$B$5:$B$504)))*(SAISIE!$E$5:$E$504&lt;&gt;"")),fz,FILTER(SAISIE!$E$5:$E$504,(VALUE(TRIM(LEFT(SAISIE!$A$5:$A$504,SEARCH("/",SAISIE!$A$5:$A$504&amp;"/")-1)))=$A12)*(ISNUMBER(SEARCH("Vent D/G",SAISIE!$B$5:$B$504)))*(SAISIE!$E$5:$E$504&lt;&gt;"")),Mf,MAX(fz),INDEX(fx,MATCH(Mf,fz,0))),"-"))</f>
        <v/>
      </c>
      <c r="K12" s="13">
        <f>IF($A12="","",IFERROR(LET(fz,FILTER(SAISIE!$E$5:$E$504,(VALUE(TRIM(LEFT(SAISIE!$A$5:$A$504,SEARCH("/",SAISIE!$A$5:$A$504&amp;"/")-1)))=$A12)*(ISNUMBER(SEARCH("Vent D/G",SAISIE!$B$5:$B$504)))*(SAISIE!$E$5:$E$504&lt;&gt;"")),IF(COUNT(fz)=0,"-",MAX(fz))),"-"))</f>
        <v/>
      </c>
      <c r="L12" s="13">
        <f>IF($A12="","",IFERROR(LET(v,FILTER(SAISIE!$C$5:$C$504,(VALUE(TRIM(LEFT(SAISIE!$A$5:$A$504,SEARCH("/",SAISIE!$A$5:$A$504&amp;"/")-1)))=$A12)*(ISNUMBER(SEARCH("Neige",SAISIE!$B$5:$B$504))*(NOT(ISNUMBER(SEARCH("accidentel",SAISIE!$B$5:$B$504)))))*(SAISIE!$E$5:$E$504&lt;&gt;"")),fz,FILTER(SAISIE!$E$5:$E$504,(VALUE(TRIM(LEFT(SAISIE!$A$5:$A$504,SEARCH("/",SAISIE!$A$5:$A$504&amp;"/")-1)))=$A12)*(ISNUMBER(SEARCH("Neige",SAISIE!$B$5:$B$504))*(NOT(ISNUMBER(SEARCH("accidentel",SAISIE!$B$5:$B$504)))))*(SAISIE!$E$5:$E$504&lt;&gt;"")),IF(COUNT(fz)=0,"-",INDEX(v,MATCH(MIN(fz),fz,0)))),"-"))</f>
        <v/>
      </c>
      <c r="M12" s="13">
        <f>IF($A12="","",IFERROR(LET(v,FILTER(SAISIE!$E$5:$E$504,(VALUE(TRIM(LEFT(SAISIE!$A$5:$A$504,SEARCH("/",SAISIE!$A$5:$A$504&amp;"/")-1)))=$A12)*(ISNUMBER(SEARCH("Neige",SAISIE!$B$5:$B$504))*(NOT(ISNUMBER(SEARCH("accidentel",SAISIE!$B$5:$B$504)))))*(SAISIE!$E$5:$E$504&lt;&gt;"")),IF(COUNT(v)=0,"-",MIN(v))),"-"))</f>
        <v/>
      </c>
      <c r="N12" s="13">
        <f>IF($A12="","",IFERROR(LET(v,FILTER(SAISIE!$C$5:$C$504,(VALUE(TRIM(LEFT(SAISIE!$A$5:$A$504,SEARCH("/",SAISIE!$A$5:$A$504&amp;"/")-1)))=$A12)*(ISNUMBER(SEARCH("accidentel",SAISIE!$B$5:$B$504)))*(SAISIE!$E$5:$E$504&lt;&gt;"")),IF(COUNT(v)=0,"-",INDEX(v,1))),"-"))</f>
        <v/>
      </c>
      <c r="O12" s="13">
        <f>IF($A12="","",IFERROR(LET(v,FILTER(SAISIE!$E$5:$E$504,(VALUE(TRIM(LEFT(SAISIE!$A$5:$A$504,SEARCH("/",SAISIE!$A$5:$A$504&amp;"/")-1)))=$A12)*(ISNUMBER(SEARCH("accidentel",SAISIE!$B$5:$B$504)))*(SAISIE!$E$5:$E$504&lt;&gt;"")),IF(COUNT(v)=0,"-",INDEX(v,1))),"-"))</f>
        <v/>
      </c>
    </row>
    <row r="13">
      <c r="A13" s="14">
        <f>IFERROR(INDEX(IFERROR(UNIQUE(FILTER(VALUE(TRIM(LEFT(SAISIE!$A$5:$A$504,SEARCH("/",SAISIE!$A$5:$A$504&amp;"/")-1))),SAISIE!$A$5:$A$504&lt;&gt;"")),""),9),"")</f>
        <v/>
      </c>
      <c r="B13" s="13">
        <f>IF($A13="","",IFERROR(LET(v,FILTER(SAISIE!$C$5:$C$504,(VALUE(TRIM(LEFT(SAISIE!$A$5:$A$504,SEARCH("/",SAISIE!$A$5:$A$504&amp;"/")-1)))=$A13)*(OR(ISNUMBER(SEARCH("Couverture",SAISIE!$B$5:$B$504)),LEFT(SAISIE!$B$5:$B$504,2)="G "))),IF(COUNT(v)=0,"-",INDEX(v,1))),"-"))</f>
        <v/>
      </c>
      <c r="C13" s="13">
        <f>IF($A13="","",IFERROR(LET(v,FILTER(SAISIE!$E$5:$E$504,(VALUE(TRIM(LEFT(SAISIE!$A$5:$A$504,SEARCH("/",SAISIE!$A$5:$A$504&amp;"/")-1)))=$A13)*(OR(ISNUMBER(SEARCH("Couverture",SAISIE!$B$5:$B$504)),LEFT(SAISIE!$B$5:$B$504,2)="G "))),IF(COUNT(v)=0,"-",INDEX(v,1))),"-"))</f>
        <v/>
      </c>
      <c r="D13" s="13">
        <f>IF($A13="","",IFERROR(LET(fx,FILTER(SAISIE!$C$5:$C$504,(VALUE(TRIM(LEFT(SAISIE!$A$5:$A$504,SEARCH("/",SAISIE!$A$5:$A$504&amp;"/")-1)))=$A13)*(ISNUMBER(SEARCH("Vent G/D",SAISIE!$B$5:$B$504)))*(SAISIE!$E$5:$E$504&lt;&gt;"")),fz,FILTER(SAISIE!$E$5:$E$504,(VALUE(TRIM(LEFT(SAISIE!$A$5:$A$504,SEARCH("/",SAISIE!$A$5:$A$504&amp;"/")-1)))=$A13)*(ISNUMBER(SEARCH("Vent G/D",SAISIE!$B$5:$B$504)))*(SAISIE!$E$5:$E$504&lt;&gt;"")),mf,MIN(fz),IF(COUNT(fz)=0,"-",IF(MIN(fz)&gt;=0,INDEX(fx,MATCH(MAX(fx),fx,0)),INDEX(fx,MATCH(mf,fz,0))))),"-"))</f>
        <v/>
      </c>
      <c r="E13" s="13">
        <f>IF($A13="","",IFERROR(LET(fz,FILTER(SAISIE!$E$5:$E$504,(VALUE(TRIM(LEFT(SAISIE!$A$5:$A$504,SEARCH("/",SAISIE!$A$5:$A$504&amp;"/")-1)))=$A13)*(ISNUMBER(SEARCH("Vent G/D",SAISIE!$B$5:$B$504)))*(SAISIE!$E$5:$E$504&lt;&gt;"")),IF(COUNT(fz)=0,"-",IF(MIN(fz)&gt;=0,0,MIN(fz)))),"-"))</f>
        <v/>
      </c>
      <c r="F13" s="13">
        <f>IF($A13="","",IFERROR(LET(fx,FILTER(SAISIE!$C$5:$C$504,(VALUE(TRIM(LEFT(SAISIE!$A$5:$A$504,SEARCH("/",SAISIE!$A$5:$A$504&amp;"/")-1)))=$A13)*(ISNUMBER(SEARCH("Vent G/D",SAISIE!$B$5:$B$504)))*(SAISIE!$E$5:$E$504&lt;&gt;"")),fz,FILTER(SAISIE!$E$5:$E$504,(VALUE(TRIM(LEFT(SAISIE!$A$5:$A$504,SEARCH("/",SAISIE!$A$5:$A$504&amp;"/")-1)))=$A13)*(ISNUMBER(SEARCH("Vent G/D",SAISIE!$B$5:$B$504)))*(SAISIE!$E$5:$E$504&lt;&gt;"")),Mf,MAX(fz),INDEX(fx,MATCH(Mf,fz,0))),"-"))</f>
        <v/>
      </c>
      <c r="G13" s="13">
        <f>IF($A13="","",IFERROR(LET(fz,FILTER(SAISIE!$E$5:$E$504,(VALUE(TRIM(LEFT(SAISIE!$A$5:$A$504,SEARCH("/",SAISIE!$A$5:$A$504&amp;"/")-1)))=$A13)*(ISNUMBER(SEARCH("Vent G/D",SAISIE!$B$5:$B$504)))*(SAISIE!$E$5:$E$504&lt;&gt;"")),IF(COUNT(fz)=0,"-",MAX(fz))),"-"))</f>
        <v/>
      </c>
      <c r="H13" s="13">
        <f>IF($A13="","",IFERROR(LET(fx,FILTER(SAISIE!$C$5:$C$504,(VALUE(TRIM(LEFT(SAISIE!$A$5:$A$504,SEARCH("/",SAISIE!$A$5:$A$504&amp;"/")-1)))=$A13)*(ISNUMBER(SEARCH("Vent D/G",SAISIE!$B$5:$B$504)))*(SAISIE!$E$5:$E$504&lt;&gt;"")),fz,FILTER(SAISIE!$E$5:$E$504,(VALUE(TRIM(LEFT(SAISIE!$A$5:$A$504,SEARCH("/",SAISIE!$A$5:$A$504&amp;"/")-1)))=$A13)*(ISNUMBER(SEARCH("Vent D/G",SAISIE!$B$5:$B$504)))*(SAISIE!$E$5:$E$504&lt;&gt;"")),mf,MIN(fz),IF(COUNT(fz)=0,"-",IF(MIN(fz)&gt;=0,INDEX(fx,MATCH(MAX(fx),fx,0)),INDEX(fx,MATCH(mf,fz,0))))),"-"))</f>
        <v/>
      </c>
      <c r="I13" s="13">
        <f>IF($A13="","",IFERROR(LET(fz,FILTER(SAISIE!$E$5:$E$504,(VALUE(TRIM(LEFT(SAISIE!$A$5:$A$504,SEARCH("/",SAISIE!$A$5:$A$504&amp;"/")-1)))=$A13)*(ISNUMBER(SEARCH("Vent D/G",SAISIE!$B$5:$B$504)))*(SAISIE!$E$5:$E$504&lt;&gt;"")),IF(COUNT(fz)=0,"-",IF(MIN(fz)&gt;=0,0,MIN(fz)))),"-"))</f>
        <v/>
      </c>
      <c r="J13" s="13">
        <f>IF($A13="","",IFERROR(LET(fx,FILTER(SAISIE!$C$5:$C$504,(VALUE(TRIM(LEFT(SAISIE!$A$5:$A$504,SEARCH("/",SAISIE!$A$5:$A$504&amp;"/")-1)))=$A13)*(ISNUMBER(SEARCH("Vent D/G",SAISIE!$B$5:$B$504)))*(SAISIE!$E$5:$E$504&lt;&gt;"")),fz,FILTER(SAISIE!$E$5:$E$504,(VALUE(TRIM(LEFT(SAISIE!$A$5:$A$504,SEARCH("/",SAISIE!$A$5:$A$504&amp;"/")-1)))=$A13)*(ISNUMBER(SEARCH("Vent D/G",SAISIE!$B$5:$B$504)))*(SAISIE!$E$5:$E$504&lt;&gt;"")),Mf,MAX(fz),INDEX(fx,MATCH(Mf,fz,0))),"-"))</f>
        <v/>
      </c>
      <c r="K13" s="13">
        <f>IF($A13="","",IFERROR(LET(fz,FILTER(SAISIE!$E$5:$E$504,(VALUE(TRIM(LEFT(SAISIE!$A$5:$A$504,SEARCH("/",SAISIE!$A$5:$A$504&amp;"/")-1)))=$A13)*(ISNUMBER(SEARCH("Vent D/G",SAISIE!$B$5:$B$504)))*(SAISIE!$E$5:$E$504&lt;&gt;"")),IF(COUNT(fz)=0,"-",MAX(fz))),"-"))</f>
        <v/>
      </c>
      <c r="L13" s="13">
        <f>IF($A13="","",IFERROR(LET(v,FILTER(SAISIE!$C$5:$C$504,(VALUE(TRIM(LEFT(SAISIE!$A$5:$A$504,SEARCH("/",SAISIE!$A$5:$A$504&amp;"/")-1)))=$A13)*(ISNUMBER(SEARCH("Neige",SAISIE!$B$5:$B$504))*(NOT(ISNUMBER(SEARCH("accidentel",SAISIE!$B$5:$B$504)))))*(SAISIE!$E$5:$E$504&lt;&gt;"")),fz,FILTER(SAISIE!$E$5:$E$504,(VALUE(TRIM(LEFT(SAISIE!$A$5:$A$504,SEARCH("/",SAISIE!$A$5:$A$504&amp;"/")-1)))=$A13)*(ISNUMBER(SEARCH("Neige",SAISIE!$B$5:$B$504))*(NOT(ISNUMBER(SEARCH("accidentel",SAISIE!$B$5:$B$504)))))*(SAISIE!$E$5:$E$504&lt;&gt;"")),IF(COUNT(fz)=0,"-",INDEX(v,MATCH(MIN(fz),fz,0)))),"-"))</f>
        <v/>
      </c>
      <c r="M13" s="13">
        <f>IF($A13="","",IFERROR(LET(v,FILTER(SAISIE!$E$5:$E$504,(VALUE(TRIM(LEFT(SAISIE!$A$5:$A$504,SEARCH("/",SAISIE!$A$5:$A$504&amp;"/")-1)))=$A13)*(ISNUMBER(SEARCH("Neige",SAISIE!$B$5:$B$504))*(NOT(ISNUMBER(SEARCH("accidentel",SAISIE!$B$5:$B$504)))))*(SAISIE!$E$5:$E$504&lt;&gt;"")),IF(COUNT(v)=0,"-",MIN(v))),"-"))</f>
        <v/>
      </c>
      <c r="N13" s="13">
        <f>IF($A13="","",IFERROR(LET(v,FILTER(SAISIE!$C$5:$C$504,(VALUE(TRIM(LEFT(SAISIE!$A$5:$A$504,SEARCH("/",SAISIE!$A$5:$A$504&amp;"/")-1)))=$A13)*(ISNUMBER(SEARCH("accidentel",SAISIE!$B$5:$B$504)))*(SAISIE!$E$5:$E$504&lt;&gt;"")),IF(COUNT(v)=0,"-",INDEX(v,1))),"-"))</f>
        <v/>
      </c>
      <c r="O13" s="13">
        <f>IF($A13="","",IFERROR(LET(v,FILTER(SAISIE!$E$5:$E$504,(VALUE(TRIM(LEFT(SAISIE!$A$5:$A$504,SEARCH("/",SAISIE!$A$5:$A$504&amp;"/")-1)))=$A13)*(ISNUMBER(SEARCH("accidentel",SAISIE!$B$5:$B$504)))*(SAISIE!$E$5:$E$504&lt;&gt;"")),IF(COUNT(v)=0,"-",INDEX(v,1))),"-"))</f>
        <v/>
      </c>
    </row>
    <row r="14">
      <c r="A14" s="14">
        <f>IFERROR(INDEX(IFERROR(UNIQUE(FILTER(VALUE(TRIM(LEFT(SAISIE!$A$5:$A$504,SEARCH("/",SAISIE!$A$5:$A$504&amp;"/")-1))),SAISIE!$A$5:$A$504&lt;&gt;"")),""),10),"")</f>
        <v/>
      </c>
      <c r="B14" s="13">
        <f>IF($A14="","",IFERROR(LET(v,FILTER(SAISIE!$C$5:$C$504,(VALUE(TRIM(LEFT(SAISIE!$A$5:$A$504,SEARCH("/",SAISIE!$A$5:$A$504&amp;"/")-1)))=$A14)*(OR(ISNUMBER(SEARCH("Couverture",SAISIE!$B$5:$B$504)),LEFT(SAISIE!$B$5:$B$504,2)="G "))),IF(COUNT(v)=0,"-",INDEX(v,1))),"-"))</f>
        <v/>
      </c>
      <c r="C14" s="13">
        <f>IF($A14="","",IFERROR(LET(v,FILTER(SAISIE!$E$5:$E$504,(VALUE(TRIM(LEFT(SAISIE!$A$5:$A$504,SEARCH("/",SAISIE!$A$5:$A$504&amp;"/")-1)))=$A14)*(OR(ISNUMBER(SEARCH("Couverture",SAISIE!$B$5:$B$504)),LEFT(SAISIE!$B$5:$B$504,2)="G "))),IF(COUNT(v)=0,"-",INDEX(v,1))),"-"))</f>
        <v/>
      </c>
      <c r="D14" s="13">
        <f>IF($A14="","",IFERROR(LET(fx,FILTER(SAISIE!$C$5:$C$504,(VALUE(TRIM(LEFT(SAISIE!$A$5:$A$504,SEARCH("/",SAISIE!$A$5:$A$504&amp;"/")-1)))=$A14)*(ISNUMBER(SEARCH("Vent G/D",SAISIE!$B$5:$B$504)))*(SAISIE!$E$5:$E$504&lt;&gt;"")),fz,FILTER(SAISIE!$E$5:$E$504,(VALUE(TRIM(LEFT(SAISIE!$A$5:$A$504,SEARCH("/",SAISIE!$A$5:$A$504&amp;"/")-1)))=$A14)*(ISNUMBER(SEARCH("Vent G/D",SAISIE!$B$5:$B$504)))*(SAISIE!$E$5:$E$504&lt;&gt;"")),mf,MIN(fz),IF(COUNT(fz)=0,"-",IF(MIN(fz)&gt;=0,INDEX(fx,MATCH(MAX(fx),fx,0)),INDEX(fx,MATCH(mf,fz,0))))),"-"))</f>
        <v/>
      </c>
      <c r="E14" s="13">
        <f>IF($A14="","",IFERROR(LET(fz,FILTER(SAISIE!$E$5:$E$504,(VALUE(TRIM(LEFT(SAISIE!$A$5:$A$504,SEARCH("/",SAISIE!$A$5:$A$504&amp;"/")-1)))=$A14)*(ISNUMBER(SEARCH("Vent G/D",SAISIE!$B$5:$B$504)))*(SAISIE!$E$5:$E$504&lt;&gt;"")),IF(COUNT(fz)=0,"-",IF(MIN(fz)&gt;=0,0,MIN(fz)))),"-"))</f>
        <v/>
      </c>
      <c r="F14" s="13">
        <f>IF($A14="","",IFERROR(LET(fx,FILTER(SAISIE!$C$5:$C$504,(VALUE(TRIM(LEFT(SAISIE!$A$5:$A$504,SEARCH("/",SAISIE!$A$5:$A$504&amp;"/")-1)))=$A14)*(ISNUMBER(SEARCH("Vent G/D",SAISIE!$B$5:$B$504)))*(SAISIE!$E$5:$E$504&lt;&gt;"")),fz,FILTER(SAISIE!$E$5:$E$504,(VALUE(TRIM(LEFT(SAISIE!$A$5:$A$504,SEARCH("/",SAISIE!$A$5:$A$504&amp;"/")-1)))=$A14)*(ISNUMBER(SEARCH("Vent G/D",SAISIE!$B$5:$B$504)))*(SAISIE!$E$5:$E$504&lt;&gt;"")),Mf,MAX(fz),INDEX(fx,MATCH(Mf,fz,0))),"-"))</f>
        <v/>
      </c>
      <c r="G14" s="13">
        <f>IF($A14="","",IFERROR(LET(fz,FILTER(SAISIE!$E$5:$E$504,(VALUE(TRIM(LEFT(SAISIE!$A$5:$A$504,SEARCH("/",SAISIE!$A$5:$A$504&amp;"/")-1)))=$A14)*(ISNUMBER(SEARCH("Vent G/D",SAISIE!$B$5:$B$504)))*(SAISIE!$E$5:$E$504&lt;&gt;"")),IF(COUNT(fz)=0,"-",MAX(fz))),"-"))</f>
        <v/>
      </c>
      <c r="H14" s="13">
        <f>IF($A14="","",IFERROR(LET(fx,FILTER(SAISIE!$C$5:$C$504,(VALUE(TRIM(LEFT(SAISIE!$A$5:$A$504,SEARCH("/",SAISIE!$A$5:$A$504&amp;"/")-1)))=$A14)*(ISNUMBER(SEARCH("Vent D/G",SAISIE!$B$5:$B$504)))*(SAISIE!$E$5:$E$504&lt;&gt;"")),fz,FILTER(SAISIE!$E$5:$E$504,(VALUE(TRIM(LEFT(SAISIE!$A$5:$A$504,SEARCH("/",SAISIE!$A$5:$A$504&amp;"/")-1)))=$A14)*(ISNUMBER(SEARCH("Vent D/G",SAISIE!$B$5:$B$504)))*(SAISIE!$E$5:$E$504&lt;&gt;"")),mf,MIN(fz),IF(COUNT(fz)=0,"-",IF(MIN(fz)&gt;=0,INDEX(fx,MATCH(MAX(fx),fx,0)),INDEX(fx,MATCH(mf,fz,0))))),"-"))</f>
        <v/>
      </c>
      <c r="I14" s="13">
        <f>IF($A14="","",IFERROR(LET(fz,FILTER(SAISIE!$E$5:$E$504,(VALUE(TRIM(LEFT(SAISIE!$A$5:$A$504,SEARCH("/",SAISIE!$A$5:$A$504&amp;"/")-1)))=$A14)*(ISNUMBER(SEARCH("Vent D/G",SAISIE!$B$5:$B$504)))*(SAISIE!$E$5:$E$504&lt;&gt;"")),IF(COUNT(fz)=0,"-",IF(MIN(fz)&gt;=0,0,MIN(fz)))),"-"))</f>
        <v/>
      </c>
      <c r="J14" s="13">
        <f>IF($A14="","",IFERROR(LET(fx,FILTER(SAISIE!$C$5:$C$504,(VALUE(TRIM(LEFT(SAISIE!$A$5:$A$504,SEARCH("/",SAISIE!$A$5:$A$504&amp;"/")-1)))=$A14)*(ISNUMBER(SEARCH("Vent D/G",SAISIE!$B$5:$B$504)))*(SAISIE!$E$5:$E$504&lt;&gt;"")),fz,FILTER(SAISIE!$E$5:$E$504,(VALUE(TRIM(LEFT(SAISIE!$A$5:$A$504,SEARCH("/",SAISIE!$A$5:$A$504&amp;"/")-1)))=$A14)*(ISNUMBER(SEARCH("Vent D/G",SAISIE!$B$5:$B$504)))*(SAISIE!$E$5:$E$504&lt;&gt;"")),Mf,MAX(fz),INDEX(fx,MATCH(Mf,fz,0))),"-"))</f>
        <v/>
      </c>
      <c r="K14" s="13">
        <f>IF($A14="","",IFERROR(LET(fz,FILTER(SAISIE!$E$5:$E$504,(VALUE(TRIM(LEFT(SAISIE!$A$5:$A$504,SEARCH("/",SAISIE!$A$5:$A$504&amp;"/")-1)))=$A14)*(ISNUMBER(SEARCH("Vent D/G",SAISIE!$B$5:$B$504)))*(SAISIE!$E$5:$E$504&lt;&gt;"")),IF(COUNT(fz)=0,"-",MAX(fz))),"-"))</f>
        <v/>
      </c>
      <c r="L14" s="13">
        <f>IF($A14="","",IFERROR(LET(v,FILTER(SAISIE!$C$5:$C$504,(VALUE(TRIM(LEFT(SAISIE!$A$5:$A$504,SEARCH("/",SAISIE!$A$5:$A$504&amp;"/")-1)))=$A14)*(ISNUMBER(SEARCH("Neige",SAISIE!$B$5:$B$504))*(NOT(ISNUMBER(SEARCH("accidentel",SAISIE!$B$5:$B$504)))))*(SAISIE!$E$5:$E$504&lt;&gt;"")),fz,FILTER(SAISIE!$E$5:$E$504,(VALUE(TRIM(LEFT(SAISIE!$A$5:$A$504,SEARCH("/",SAISIE!$A$5:$A$504&amp;"/")-1)))=$A14)*(ISNUMBER(SEARCH("Neige",SAISIE!$B$5:$B$504))*(NOT(ISNUMBER(SEARCH("accidentel",SAISIE!$B$5:$B$504)))))*(SAISIE!$E$5:$E$504&lt;&gt;"")),IF(COUNT(fz)=0,"-",INDEX(v,MATCH(MIN(fz),fz,0)))),"-"))</f>
        <v/>
      </c>
      <c r="M14" s="13">
        <f>IF($A14="","",IFERROR(LET(v,FILTER(SAISIE!$E$5:$E$504,(VALUE(TRIM(LEFT(SAISIE!$A$5:$A$504,SEARCH("/",SAISIE!$A$5:$A$504&amp;"/")-1)))=$A14)*(ISNUMBER(SEARCH("Neige",SAISIE!$B$5:$B$504))*(NOT(ISNUMBER(SEARCH("accidentel",SAISIE!$B$5:$B$504)))))*(SAISIE!$E$5:$E$504&lt;&gt;"")),IF(COUNT(v)=0,"-",MIN(v))),"-"))</f>
        <v/>
      </c>
      <c r="N14" s="13">
        <f>IF($A14="","",IFERROR(LET(v,FILTER(SAISIE!$C$5:$C$504,(VALUE(TRIM(LEFT(SAISIE!$A$5:$A$504,SEARCH("/",SAISIE!$A$5:$A$504&amp;"/")-1)))=$A14)*(ISNUMBER(SEARCH("accidentel",SAISIE!$B$5:$B$504)))*(SAISIE!$E$5:$E$504&lt;&gt;"")),IF(COUNT(v)=0,"-",INDEX(v,1))),"-"))</f>
        <v/>
      </c>
      <c r="O14" s="13">
        <f>IF($A14="","",IFERROR(LET(v,FILTER(SAISIE!$E$5:$E$504,(VALUE(TRIM(LEFT(SAISIE!$A$5:$A$504,SEARCH("/",SAISIE!$A$5:$A$504&amp;"/")-1)))=$A14)*(ISNUMBER(SEARCH("accidentel",SAISIE!$B$5:$B$504)))*(SAISIE!$E$5:$E$504&lt;&gt;"")),IF(COUNT(v)=0,"-",INDEX(v,1))),"-"))</f>
        <v/>
      </c>
    </row>
    <row r="15">
      <c r="A15" s="14">
        <f>IFERROR(INDEX(IFERROR(UNIQUE(FILTER(VALUE(TRIM(LEFT(SAISIE!$A$5:$A$504,SEARCH("/",SAISIE!$A$5:$A$504&amp;"/")-1))),SAISIE!$A$5:$A$504&lt;&gt;"")),""),11),"")</f>
        <v/>
      </c>
      <c r="B15" s="13">
        <f>IF($A15="","",IFERROR(LET(v,FILTER(SAISIE!$C$5:$C$504,(VALUE(TRIM(LEFT(SAISIE!$A$5:$A$504,SEARCH("/",SAISIE!$A$5:$A$504&amp;"/")-1)))=$A15)*(OR(ISNUMBER(SEARCH("Couverture",SAISIE!$B$5:$B$504)),LEFT(SAISIE!$B$5:$B$504,2)="G "))),IF(COUNT(v)=0,"-",INDEX(v,1))),"-"))</f>
        <v/>
      </c>
      <c r="C15" s="13">
        <f>IF($A15="","",IFERROR(LET(v,FILTER(SAISIE!$E$5:$E$504,(VALUE(TRIM(LEFT(SAISIE!$A$5:$A$504,SEARCH("/",SAISIE!$A$5:$A$504&amp;"/")-1)))=$A15)*(OR(ISNUMBER(SEARCH("Couverture",SAISIE!$B$5:$B$504)),LEFT(SAISIE!$B$5:$B$504,2)="G "))),IF(COUNT(v)=0,"-",INDEX(v,1))),"-"))</f>
        <v/>
      </c>
      <c r="D15" s="13">
        <f>IF($A15="","",IFERROR(LET(fx,FILTER(SAISIE!$C$5:$C$504,(VALUE(TRIM(LEFT(SAISIE!$A$5:$A$504,SEARCH("/",SAISIE!$A$5:$A$504&amp;"/")-1)))=$A15)*(ISNUMBER(SEARCH("Vent G/D",SAISIE!$B$5:$B$504)))*(SAISIE!$E$5:$E$504&lt;&gt;"")),fz,FILTER(SAISIE!$E$5:$E$504,(VALUE(TRIM(LEFT(SAISIE!$A$5:$A$504,SEARCH("/",SAISIE!$A$5:$A$504&amp;"/")-1)))=$A15)*(ISNUMBER(SEARCH("Vent G/D",SAISIE!$B$5:$B$504)))*(SAISIE!$E$5:$E$504&lt;&gt;"")),mf,MIN(fz),IF(COUNT(fz)=0,"-",IF(MIN(fz)&gt;=0,INDEX(fx,MATCH(MAX(fx),fx,0)),INDEX(fx,MATCH(mf,fz,0))))),"-"))</f>
        <v/>
      </c>
      <c r="E15" s="13">
        <f>IF($A15="","",IFERROR(LET(fz,FILTER(SAISIE!$E$5:$E$504,(VALUE(TRIM(LEFT(SAISIE!$A$5:$A$504,SEARCH("/",SAISIE!$A$5:$A$504&amp;"/")-1)))=$A15)*(ISNUMBER(SEARCH("Vent G/D",SAISIE!$B$5:$B$504)))*(SAISIE!$E$5:$E$504&lt;&gt;"")),IF(COUNT(fz)=0,"-",IF(MIN(fz)&gt;=0,0,MIN(fz)))),"-"))</f>
        <v/>
      </c>
      <c r="F15" s="13">
        <f>IF($A15="","",IFERROR(LET(fx,FILTER(SAISIE!$C$5:$C$504,(VALUE(TRIM(LEFT(SAISIE!$A$5:$A$504,SEARCH("/",SAISIE!$A$5:$A$504&amp;"/")-1)))=$A15)*(ISNUMBER(SEARCH("Vent G/D",SAISIE!$B$5:$B$504)))*(SAISIE!$E$5:$E$504&lt;&gt;"")),fz,FILTER(SAISIE!$E$5:$E$504,(VALUE(TRIM(LEFT(SAISIE!$A$5:$A$504,SEARCH("/",SAISIE!$A$5:$A$504&amp;"/")-1)))=$A15)*(ISNUMBER(SEARCH("Vent G/D",SAISIE!$B$5:$B$504)))*(SAISIE!$E$5:$E$504&lt;&gt;"")),Mf,MAX(fz),INDEX(fx,MATCH(Mf,fz,0))),"-"))</f>
        <v/>
      </c>
      <c r="G15" s="13">
        <f>IF($A15="","",IFERROR(LET(fz,FILTER(SAISIE!$E$5:$E$504,(VALUE(TRIM(LEFT(SAISIE!$A$5:$A$504,SEARCH("/",SAISIE!$A$5:$A$504&amp;"/")-1)))=$A15)*(ISNUMBER(SEARCH("Vent G/D",SAISIE!$B$5:$B$504)))*(SAISIE!$E$5:$E$504&lt;&gt;"")),IF(COUNT(fz)=0,"-",MAX(fz))),"-"))</f>
        <v/>
      </c>
      <c r="H15" s="13">
        <f>IF($A15="","",IFERROR(LET(fx,FILTER(SAISIE!$C$5:$C$504,(VALUE(TRIM(LEFT(SAISIE!$A$5:$A$504,SEARCH("/",SAISIE!$A$5:$A$504&amp;"/")-1)))=$A15)*(ISNUMBER(SEARCH("Vent D/G",SAISIE!$B$5:$B$504)))*(SAISIE!$E$5:$E$504&lt;&gt;"")),fz,FILTER(SAISIE!$E$5:$E$504,(VALUE(TRIM(LEFT(SAISIE!$A$5:$A$504,SEARCH("/",SAISIE!$A$5:$A$504&amp;"/")-1)))=$A15)*(ISNUMBER(SEARCH("Vent D/G",SAISIE!$B$5:$B$504)))*(SAISIE!$E$5:$E$504&lt;&gt;"")),mf,MIN(fz),IF(COUNT(fz)=0,"-",IF(MIN(fz)&gt;=0,INDEX(fx,MATCH(MAX(fx),fx,0)),INDEX(fx,MATCH(mf,fz,0))))),"-"))</f>
        <v/>
      </c>
      <c r="I15" s="13">
        <f>IF($A15="","",IFERROR(LET(fz,FILTER(SAISIE!$E$5:$E$504,(VALUE(TRIM(LEFT(SAISIE!$A$5:$A$504,SEARCH("/",SAISIE!$A$5:$A$504&amp;"/")-1)))=$A15)*(ISNUMBER(SEARCH("Vent D/G",SAISIE!$B$5:$B$504)))*(SAISIE!$E$5:$E$504&lt;&gt;"")),IF(COUNT(fz)=0,"-",IF(MIN(fz)&gt;=0,0,MIN(fz)))),"-"))</f>
        <v/>
      </c>
      <c r="J15" s="13">
        <f>IF($A15="","",IFERROR(LET(fx,FILTER(SAISIE!$C$5:$C$504,(VALUE(TRIM(LEFT(SAISIE!$A$5:$A$504,SEARCH("/",SAISIE!$A$5:$A$504&amp;"/")-1)))=$A15)*(ISNUMBER(SEARCH("Vent D/G",SAISIE!$B$5:$B$504)))*(SAISIE!$E$5:$E$504&lt;&gt;"")),fz,FILTER(SAISIE!$E$5:$E$504,(VALUE(TRIM(LEFT(SAISIE!$A$5:$A$504,SEARCH("/",SAISIE!$A$5:$A$504&amp;"/")-1)))=$A15)*(ISNUMBER(SEARCH("Vent D/G",SAISIE!$B$5:$B$504)))*(SAISIE!$E$5:$E$504&lt;&gt;"")),Mf,MAX(fz),INDEX(fx,MATCH(Mf,fz,0))),"-"))</f>
        <v/>
      </c>
      <c r="K15" s="13">
        <f>IF($A15="","",IFERROR(LET(fz,FILTER(SAISIE!$E$5:$E$504,(VALUE(TRIM(LEFT(SAISIE!$A$5:$A$504,SEARCH("/",SAISIE!$A$5:$A$504&amp;"/")-1)))=$A15)*(ISNUMBER(SEARCH("Vent D/G",SAISIE!$B$5:$B$504)))*(SAISIE!$E$5:$E$504&lt;&gt;"")),IF(COUNT(fz)=0,"-",MAX(fz))),"-"))</f>
        <v/>
      </c>
      <c r="L15" s="13">
        <f>IF($A15="","",IFERROR(LET(v,FILTER(SAISIE!$C$5:$C$504,(VALUE(TRIM(LEFT(SAISIE!$A$5:$A$504,SEARCH("/",SAISIE!$A$5:$A$504&amp;"/")-1)))=$A15)*(ISNUMBER(SEARCH("Neige",SAISIE!$B$5:$B$504))*(NOT(ISNUMBER(SEARCH("accidentel",SAISIE!$B$5:$B$504)))))*(SAISIE!$E$5:$E$504&lt;&gt;"")),fz,FILTER(SAISIE!$E$5:$E$504,(VALUE(TRIM(LEFT(SAISIE!$A$5:$A$504,SEARCH("/",SAISIE!$A$5:$A$504&amp;"/")-1)))=$A15)*(ISNUMBER(SEARCH("Neige",SAISIE!$B$5:$B$504))*(NOT(ISNUMBER(SEARCH("accidentel",SAISIE!$B$5:$B$504)))))*(SAISIE!$E$5:$E$504&lt;&gt;"")),IF(COUNT(fz)=0,"-",INDEX(v,MATCH(MIN(fz),fz,0)))),"-"))</f>
        <v/>
      </c>
      <c r="M15" s="13">
        <f>IF($A15="","",IFERROR(LET(v,FILTER(SAISIE!$E$5:$E$504,(VALUE(TRIM(LEFT(SAISIE!$A$5:$A$504,SEARCH("/",SAISIE!$A$5:$A$504&amp;"/")-1)))=$A15)*(ISNUMBER(SEARCH("Neige",SAISIE!$B$5:$B$504))*(NOT(ISNUMBER(SEARCH("accidentel",SAISIE!$B$5:$B$504)))))*(SAISIE!$E$5:$E$504&lt;&gt;"")),IF(COUNT(v)=0,"-",MIN(v))),"-"))</f>
        <v/>
      </c>
      <c r="N15" s="13">
        <f>IF($A15="","",IFERROR(LET(v,FILTER(SAISIE!$C$5:$C$504,(VALUE(TRIM(LEFT(SAISIE!$A$5:$A$504,SEARCH("/",SAISIE!$A$5:$A$504&amp;"/")-1)))=$A15)*(ISNUMBER(SEARCH("accidentel",SAISIE!$B$5:$B$504)))*(SAISIE!$E$5:$E$504&lt;&gt;"")),IF(COUNT(v)=0,"-",INDEX(v,1))),"-"))</f>
        <v/>
      </c>
      <c r="O15" s="13">
        <f>IF($A15="","",IFERROR(LET(v,FILTER(SAISIE!$E$5:$E$504,(VALUE(TRIM(LEFT(SAISIE!$A$5:$A$504,SEARCH("/",SAISIE!$A$5:$A$504&amp;"/")-1)))=$A15)*(ISNUMBER(SEARCH("accidentel",SAISIE!$B$5:$B$504)))*(SAISIE!$E$5:$E$504&lt;&gt;"")),IF(COUNT(v)=0,"-",INDEX(v,1))),"-"))</f>
        <v/>
      </c>
    </row>
    <row r="16">
      <c r="A16" s="14">
        <f>IFERROR(INDEX(IFERROR(UNIQUE(FILTER(VALUE(TRIM(LEFT(SAISIE!$A$5:$A$504,SEARCH("/",SAISIE!$A$5:$A$504&amp;"/")-1))),SAISIE!$A$5:$A$504&lt;&gt;"")),""),12),"")</f>
        <v/>
      </c>
      <c r="B16" s="13">
        <f>IF($A16="","",IFERROR(LET(v,FILTER(SAISIE!$C$5:$C$504,(VALUE(TRIM(LEFT(SAISIE!$A$5:$A$504,SEARCH("/",SAISIE!$A$5:$A$504&amp;"/")-1)))=$A16)*(OR(ISNUMBER(SEARCH("Couverture",SAISIE!$B$5:$B$504)),LEFT(SAISIE!$B$5:$B$504,2)="G "))),IF(COUNT(v)=0,"-",INDEX(v,1))),"-"))</f>
        <v/>
      </c>
      <c r="C16" s="13">
        <f>IF($A16="","",IFERROR(LET(v,FILTER(SAISIE!$E$5:$E$504,(VALUE(TRIM(LEFT(SAISIE!$A$5:$A$504,SEARCH("/",SAISIE!$A$5:$A$504&amp;"/")-1)))=$A16)*(OR(ISNUMBER(SEARCH("Couverture",SAISIE!$B$5:$B$504)),LEFT(SAISIE!$B$5:$B$504,2)="G "))),IF(COUNT(v)=0,"-",INDEX(v,1))),"-"))</f>
        <v/>
      </c>
      <c r="D16" s="13">
        <f>IF($A16="","",IFERROR(LET(fx,FILTER(SAISIE!$C$5:$C$504,(VALUE(TRIM(LEFT(SAISIE!$A$5:$A$504,SEARCH("/",SAISIE!$A$5:$A$504&amp;"/")-1)))=$A16)*(ISNUMBER(SEARCH("Vent G/D",SAISIE!$B$5:$B$504)))*(SAISIE!$E$5:$E$504&lt;&gt;"")),fz,FILTER(SAISIE!$E$5:$E$504,(VALUE(TRIM(LEFT(SAISIE!$A$5:$A$504,SEARCH("/",SAISIE!$A$5:$A$504&amp;"/")-1)))=$A16)*(ISNUMBER(SEARCH("Vent G/D",SAISIE!$B$5:$B$504)))*(SAISIE!$E$5:$E$504&lt;&gt;"")),mf,MIN(fz),IF(COUNT(fz)=0,"-",IF(MIN(fz)&gt;=0,INDEX(fx,MATCH(MAX(fx),fx,0)),INDEX(fx,MATCH(mf,fz,0))))),"-"))</f>
        <v/>
      </c>
      <c r="E16" s="13">
        <f>IF($A16="","",IFERROR(LET(fz,FILTER(SAISIE!$E$5:$E$504,(VALUE(TRIM(LEFT(SAISIE!$A$5:$A$504,SEARCH("/",SAISIE!$A$5:$A$504&amp;"/")-1)))=$A16)*(ISNUMBER(SEARCH("Vent G/D",SAISIE!$B$5:$B$504)))*(SAISIE!$E$5:$E$504&lt;&gt;"")),IF(COUNT(fz)=0,"-",IF(MIN(fz)&gt;=0,0,MIN(fz)))),"-"))</f>
        <v/>
      </c>
      <c r="F16" s="13">
        <f>IF($A16="","",IFERROR(LET(fx,FILTER(SAISIE!$C$5:$C$504,(VALUE(TRIM(LEFT(SAISIE!$A$5:$A$504,SEARCH("/",SAISIE!$A$5:$A$504&amp;"/")-1)))=$A16)*(ISNUMBER(SEARCH("Vent G/D",SAISIE!$B$5:$B$504)))*(SAISIE!$E$5:$E$504&lt;&gt;"")),fz,FILTER(SAISIE!$E$5:$E$504,(VALUE(TRIM(LEFT(SAISIE!$A$5:$A$504,SEARCH("/",SAISIE!$A$5:$A$504&amp;"/")-1)))=$A16)*(ISNUMBER(SEARCH("Vent G/D",SAISIE!$B$5:$B$504)))*(SAISIE!$E$5:$E$504&lt;&gt;"")),Mf,MAX(fz),INDEX(fx,MATCH(Mf,fz,0))),"-"))</f>
        <v/>
      </c>
      <c r="G16" s="13">
        <f>IF($A16="","",IFERROR(LET(fz,FILTER(SAISIE!$E$5:$E$504,(VALUE(TRIM(LEFT(SAISIE!$A$5:$A$504,SEARCH("/",SAISIE!$A$5:$A$504&amp;"/")-1)))=$A16)*(ISNUMBER(SEARCH("Vent G/D",SAISIE!$B$5:$B$504)))*(SAISIE!$E$5:$E$504&lt;&gt;"")),IF(COUNT(fz)=0,"-",MAX(fz))),"-"))</f>
        <v/>
      </c>
      <c r="H16" s="13">
        <f>IF($A16="","",IFERROR(LET(fx,FILTER(SAISIE!$C$5:$C$504,(VALUE(TRIM(LEFT(SAISIE!$A$5:$A$504,SEARCH("/",SAISIE!$A$5:$A$504&amp;"/")-1)))=$A16)*(ISNUMBER(SEARCH("Vent D/G",SAISIE!$B$5:$B$504)))*(SAISIE!$E$5:$E$504&lt;&gt;"")),fz,FILTER(SAISIE!$E$5:$E$504,(VALUE(TRIM(LEFT(SAISIE!$A$5:$A$504,SEARCH("/",SAISIE!$A$5:$A$504&amp;"/")-1)))=$A16)*(ISNUMBER(SEARCH("Vent D/G",SAISIE!$B$5:$B$504)))*(SAISIE!$E$5:$E$504&lt;&gt;"")),mf,MIN(fz),IF(COUNT(fz)=0,"-",IF(MIN(fz)&gt;=0,INDEX(fx,MATCH(MAX(fx),fx,0)),INDEX(fx,MATCH(mf,fz,0))))),"-"))</f>
        <v/>
      </c>
      <c r="I16" s="13">
        <f>IF($A16="","",IFERROR(LET(fz,FILTER(SAISIE!$E$5:$E$504,(VALUE(TRIM(LEFT(SAISIE!$A$5:$A$504,SEARCH("/",SAISIE!$A$5:$A$504&amp;"/")-1)))=$A16)*(ISNUMBER(SEARCH("Vent D/G",SAISIE!$B$5:$B$504)))*(SAISIE!$E$5:$E$504&lt;&gt;"")),IF(COUNT(fz)=0,"-",IF(MIN(fz)&gt;=0,0,MIN(fz)))),"-"))</f>
        <v/>
      </c>
      <c r="J16" s="13">
        <f>IF($A16="","",IFERROR(LET(fx,FILTER(SAISIE!$C$5:$C$504,(VALUE(TRIM(LEFT(SAISIE!$A$5:$A$504,SEARCH("/",SAISIE!$A$5:$A$504&amp;"/")-1)))=$A16)*(ISNUMBER(SEARCH("Vent D/G",SAISIE!$B$5:$B$504)))*(SAISIE!$E$5:$E$504&lt;&gt;"")),fz,FILTER(SAISIE!$E$5:$E$504,(VALUE(TRIM(LEFT(SAISIE!$A$5:$A$504,SEARCH("/",SAISIE!$A$5:$A$504&amp;"/")-1)))=$A16)*(ISNUMBER(SEARCH("Vent D/G",SAISIE!$B$5:$B$504)))*(SAISIE!$E$5:$E$504&lt;&gt;"")),Mf,MAX(fz),INDEX(fx,MATCH(Mf,fz,0))),"-"))</f>
        <v/>
      </c>
      <c r="K16" s="13">
        <f>IF($A16="","",IFERROR(LET(fz,FILTER(SAISIE!$E$5:$E$504,(VALUE(TRIM(LEFT(SAISIE!$A$5:$A$504,SEARCH("/",SAISIE!$A$5:$A$504&amp;"/")-1)))=$A16)*(ISNUMBER(SEARCH("Vent D/G",SAISIE!$B$5:$B$504)))*(SAISIE!$E$5:$E$504&lt;&gt;"")),IF(COUNT(fz)=0,"-",MAX(fz))),"-"))</f>
        <v/>
      </c>
      <c r="L16" s="13">
        <f>IF($A16="","",IFERROR(LET(v,FILTER(SAISIE!$C$5:$C$504,(VALUE(TRIM(LEFT(SAISIE!$A$5:$A$504,SEARCH("/",SAISIE!$A$5:$A$504&amp;"/")-1)))=$A16)*(ISNUMBER(SEARCH("Neige",SAISIE!$B$5:$B$504))*(NOT(ISNUMBER(SEARCH("accidentel",SAISIE!$B$5:$B$504)))))*(SAISIE!$E$5:$E$504&lt;&gt;"")),fz,FILTER(SAISIE!$E$5:$E$504,(VALUE(TRIM(LEFT(SAISIE!$A$5:$A$504,SEARCH("/",SAISIE!$A$5:$A$504&amp;"/")-1)))=$A16)*(ISNUMBER(SEARCH("Neige",SAISIE!$B$5:$B$504))*(NOT(ISNUMBER(SEARCH("accidentel",SAISIE!$B$5:$B$504)))))*(SAISIE!$E$5:$E$504&lt;&gt;"")),IF(COUNT(fz)=0,"-",INDEX(v,MATCH(MIN(fz),fz,0)))),"-"))</f>
        <v/>
      </c>
      <c r="M16" s="13">
        <f>IF($A16="","",IFERROR(LET(v,FILTER(SAISIE!$E$5:$E$504,(VALUE(TRIM(LEFT(SAISIE!$A$5:$A$504,SEARCH("/",SAISIE!$A$5:$A$504&amp;"/")-1)))=$A16)*(ISNUMBER(SEARCH("Neige",SAISIE!$B$5:$B$504))*(NOT(ISNUMBER(SEARCH("accidentel",SAISIE!$B$5:$B$504)))))*(SAISIE!$E$5:$E$504&lt;&gt;"")),IF(COUNT(v)=0,"-",MIN(v))),"-"))</f>
        <v/>
      </c>
      <c r="N16" s="13">
        <f>IF($A16="","",IFERROR(LET(v,FILTER(SAISIE!$C$5:$C$504,(VALUE(TRIM(LEFT(SAISIE!$A$5:$A$504,SEARCH("/",SAISIE!$A$5:$A$504&amp;"/")-1)))=$A16)*(ISNUMBER(SEARCH("accidentel",SAISIE!$B$5:$B$504)))*(SAISIE!$E$5:$E$504&lt;&gt;"")),IF(COUNT(v)=0,"-",INDEX(v,1))),"-"))</f>
        <v/>
      </c>
      <c r="O16" s="13">
        <f>IF($A16="","",IFERROR(LET(v,FILTER(SAISIE!$E$5:$E$504,(VALUE(TRIM(LEFT(SAISIE!$A$5:$A$504,SEARCH("/",SAISIE!$A$5:$A$504&amp;"/")-1)))=$A16)*(ISNUMBER(SEARCH("accidentel",SAISIE!$B$5:$B$504)))*(SAISIE!$E$5:$E$504&lt;&gt;"")),IF(COUNT(v)=0,"-",INDEX(v,1))),"-"))</f>
        <v/>
      </c>
    </row>
    <row r="17">
      <c r="A17" s="14">
        <f>IFERROR(INDEX(IFERROR(UNIQUE(FILTER(VALUE(TRIM(LEFT(SAISIE!$A$5:$A$504,SEARCH("/",SAISIE!$A$5:$A$504&amp;"/")-1))),SAISIE!$A$5:$A$504&lt;&gt;"")),""),13),"")</f>
        <v/>
      </c>
      <c r="B17" s="13">
        <f>IF($A17="","",IFERROR(LET(v,FILTER(SAISIE!$C$5:$C$504,(VALUE(TRIM(LEFT(SAISIE!$A$5:$A$504,SEARCH("/",SAISIE!$A$5:$A$504&amp;"/")-1)))=$A17)*(OR(ISNUMBER(SEARCH("Couverture",SAISIE!$B$5:$B$504)),LEFT(SAISIE!$B$5:$B$504,2)="G "))),IF(COUNT(v)=0,"-",INDEX(v,1))),"-"))</f>
        <v/>
      </c>
      <c r="C17" s="13">
        <f>IF($A17="","",IFERROR(LET(v,FILTER(SAISIE!$E$5:$E$504,(VALUE(TRIM(LEFT(SAISIE!$A$5:$A$504,SEARCH("/",SAISIE!$A$5:$A$504&amp;"/")-1)))=$A17)*(OR(ISNUMBER(SEARCH("Couverture",SAISIE!$B$5:$B$504)),LEFT(SAISIE!$B$5:$B$504,2)="G "))),IF(COUNT(v)=0,"-",INDEX(v,1))),"-"))</f>
        <v/>
      </c>
      <c r="D17" s="13">
        <f>IF($A17="","",IFERROR(LET(fx,FILTER(SAISIE!$C$5:$C$504,(VALUE(TRIM(LEFT(SAISIE!$A$5:$A$504,SEARCH("/",SAISIE!$A$5:$A$504&amp;"/")-1)))=$A17)*(ISNUMBER(SEARCH("Vent G/D",SAISIE!$B$5:$B$504)))*(SAISIE!$E$5:$E$504&lt;&gt;"")),fz,FILTER(SAISIE!$E$5:$E$504,(VALUE(TRIM(LEFT(SAISIE!$A$5:$A$504,SEARCH("/",SAISIE!$A$5:$A$504&amp;"/")-1)))=$A17)*(ISNUMBER(SEARCH("Vent G/D",SAISIE!$B$5:$B$504)))*(SAISIE!$E$5:$E$504&lt;&gt;"")),mf,MIN(fz),IF(COUNT(fz)=0,"-",IF(MIN(fz)&gt;=0,INDEX(fx,MATCH(MAX(fx),fx,0)),INDEX(fx,MATCH(mf,fz,0))))),"-"))</f>
        <v/>
      </c>
      <c r="E17" s="13">
        <f>IF($A17="","",IFERROR(LET(fz,FILTER(SAISIE!$E$5:$E$504,(VALUE(TRIM(LEFT(SAISIE!$A$5:$A$504,SEARCH("/",SAISIE!$A$5:$A$504&amp;"/")-1)))=$A17)*(ISNUMBER(SEARCH("Vent G/D",SAISIE!$B$5:$B$504)))*(SAISIE!$E$5:$E$504&lt;&gt;"")),IF(COUNT(fz)=0,"-",IF(MIN(fz)&gt;=0,0,MIN(fz)))),"-"))</f>
        <v/>
      </c>
      <c r="F17" s="13">
        <f>IF($A17="","",IFERROR(LET(fx,FILTER(SAISIE!$C$5:$C$504,(VALUE(TRIM(LEFT(SAISIE!$A$5:$A$504,SEARCH("/",SAISIE!$A$5:$A$504&amp;"/")-1)))=$A17)*(ISNUMBER(SEARCH("Vent G/D",SAISIE!$B$5:$B$504)))*(SAISIE!$E$5:$E$504&lt;&gt;"")),fz,FILTER(SAISIE!$E$5:$E$504,(VALUE(TRIM(LEFT(SAISIE!$A$5:$A$504,SEARCH("/",SAISIE!$A$5:$A$504&amp;"/")-1)))=$A17)*(ISNUMBER(SEARCH("Vent G/D",SAISIE!$B$5:$B$504)))*(SAISIE!$E$5:$E$504&lt;&gt;"")),Mf,MAX(fz),INDEX(fx,MATCH(Mf,fz,0))),"-"))</f>
        <v/>
      </c>
      <c r="G17" s="13">
        <f>IF($A17="","",IFERROR(LET(fz,FILTER(SAISIE!$E$5:$E$504,(VALUE(TRIM(LEFT(SAISIE!$A$5:$A$504,SEARCH("/",SAISIE!$A$5:$A$504&amp;"/")-1)))=$A17)*(ISNUMBER(SEARCH("Vent G/D",SAISIE!$B$5:$B$504)))*(SAISIE!$E$5:$E$504&lt;&gt;"")),IF(COUNT(fz)=0,"-",MAX(fz))),"-"))</f>
        <v/>
      </c>
      <c r="H17" s="13">
        <f>IF($A17="","",IFERROR(LET(fx,FILTER(SAISIE!$C$5:$C$504,(VALUE(TRIM(LEFT(SAISIE!$A$5:$A$504,SEARCH("/",SAISIE!$A$5:$A$504&amp;"/")-1)))=$A17)*(ISNUMBER(SEARCH("Vent D/G",SAISIE!$B$5:$B$504)))*(SAISIE!$E$5:$E$504&lt;&gt;"")),fz,FILTER(SAISIE!$E$5:$E$504,(VALUE(TRIM(LEFT(SAISIE!$A$5:$A$504,SEARCH("/",SAISIE!$A$5:$A$504&amp;"/")-1)))=$A17)*(ISNUMBER(SEARCH("Vent D/G",SAISIE!$B$5:$B$504)))*(SAISIE!$E$5:$E$504&lt;&gt;"")),mf,MIN(fz),IF(COUNT(fz)=0,"-",IF(MIN(fz)&gt;=0,INDEX(fx,MATCH(MAX(fx),fx,0)),INDEX(fx,MATCH(mf,fz,0))))),"-"))</f>
        <v/>
      </c>
      <c r="I17" s="13">
        <f>IF($A17="","",IFERROR(LET(fz,FILTER(SAISIE!$E$5:$E$504,(VALUE(TRIM(LEFT(SAISIE!$A$5:$A$504,SEARCH("/",SAISIE!$A$5:$A$504&amp;"/")-1)))=$A17)*(ISNUMBER(SEARCH("Vent D/G",SAISIE!$B$5:$B$504)))*(SAISIE!$E$5:$E$504&lt;&gt;"")),IF(COUNT(fz)=0,"-",IF(MIN(fz)&gt;=0,0,MIN(fz)))),"-"))</f>
        <v/>
      </c>
      <c r="J17" s="13">
        <f>IF($A17="","",IFERROR(LET(fx,FILTER(SAISIE!$C$5:$C$504,(VALUE(TRIM(LEFT(SAISIE!$A$5:$A$504,SEARCH("/",SAISIE!$A$5:$A$504&amp;"/")-1)))=$A17)*(ISNUMBER(SEARCH("Vent D/G",SAISIE!$B$5:$B$504)))*(SAISIE!$E$5:$E$504&lt;&gt;"")),fz,FILTER(SAISIE!$E$5:$E$504,(VALUE(TRIM(LEFT(SAISIE!$A$5:$A$504,SEARCH("/",SAISIE!$A$5:$A$504&amp;"/")-1)))=$A17)*(ISNUMBER(SEARCH("Vent D/G",SAISIE!$B$5:$B$504)))*(SAISIE!$E$5:$E$504&lt;&gt;"")),Mf,MAX(fz),INDEX(fx,MATCH(Mf,fz,0))),"-"))</f>
        <v/>
      </c>
      <c r="K17" s="13">
        <f>IF($A17="","",IFERROR(LET(fz,FILTER(SAISIE!$E$5:$E$504,(VALUE(TRIM(LEFT(SAISIE!$A$5:$A$504,SEARCH("/",SAISIE!$A$5:$A$504&amp;"/")-1)))=$A17)*(ISNUMBER(SEARCH("Vent D/G",SAISIE!$B$5:$B$504)))*(SAISIE!$E$5:$E$504&lt;&gt;"")),IF(COUNT(fz)=0,"-",MAX(fz))),"-"))</f>
        <v/>
      </c>
      <c r="L17" s="13">
        <f>IF($A17="","",IFERROR(LET(v,FILTER(SAISIE!$C$5:$C$504,(VALUE(TRIM(LEFT(SAISIE!$A$5:$A$504,SEARCH("/",SAISIE!$A$5:$A$504&amp;"/")-1)))=$A17)*(ISNUMBER(SEARCH("Neige",SAISIE!$B$5:$B$504))*(NOT(ISNUMBER(SEARCH("accidentel",SAISIE!$B$5:$B$504)))))*(SAISIE!$E$5:$E$504&lt;&gt;"")),fz,FILTER(SAISIE!$E$5:$E$504,(VALUE(TRIM(LEFT(SAISIE!$A$5:$A$504,SEARCH("/",SAISIE!$A$5:$A$504&amp;"/")-1)))=$A17)*(ISNUMBER(SEARCH("Neige",SAISIE!$B$5:$B$504))*(NOT(ISNUMBER(SEARCH("accidentel",SAISIE!$B$5:$B$504)))))*(SAISIE!$E$5:$E$504&lt;&gt;"")),IF(COUNT(fz)=0,"-",INDEX(v,MATCH(MIN(fz),fz,0)))),"-"))</f>
        <v/>
      </c>
      <c r="M17" s="13">
        <f>IF($A17="","",IFERROR(LET(v,FILTER(SAISIE!$E$5:$E$504,(VALUE(TRIM(LEFT(SAISIE!$A$5:$A$504,SEARCH("/",SAISIE!$A$5:$A$504&amp;"/")-1)))=$A17)*(ISNUMBER(SEARCH("Neige",SAISIE!$B$5:$B$504))*(NOT(ISNUMBER(SEARCH("accidentel",SAISIE!$B$5:$B$504)))))*(SAISIE!$E$5:$E$504&lt;&gt;"")),IF(COUNT(v)=0,"-",MIN(v))),"-"))</f>
        <v/>
      </c>
      <c r="N17" s="13">
        <f>IF($A17="","",IFERROR(LET(v,FILTER(SAISIE!$C$5:$C$504,(VALUE(TRIM(LEFT(SAISIE!$A$5:$A$504,SEARCH("/",SAISIE!$A$5:$A$504&amp;"/")-1)))=$A17)*(ISNUMBER(SEARCH("accidentel",SAISIE!$B$5:$B$504)))*(SAISIE!$E$5:$E$504&lt;&gt;"")),IF(COUNT(v)=0,"-",INDEX(v,1))),"-"))</f>
        <v/>
      </c>
      <c r="O17" s="13">
        <f>IF($A17="","",IFERROR(LET(v,FILTER(SAISIE!$E$5:$E$504,(VALUE(TRIM(LEFT(SAISIE!$A$5:$A$504,SEARCH("/",SAISIE!$A$5:$A$504&amp;"/")-1)))=$A17)*(ISNUMBER(SEARCH("accidentel",SAISIE!$B$5:$B$504)))*(SAISIE!$E$5:$E$504&lt;&gt;"")),IF(COUNT(v)=0,"-",INDEX(v,1))),"-"))</f>
        <v/>
      </c>
    </row>
    <row r="18">
      <c r="A18" s="14">
        <f>IFERROR(INDEX(IFERROR(UNIQUE(FILTER(VALUE(TRIM(LEFT(SAISIE!$A$5:$A$504,SEARCH("/",SAISIE!$A$5:$A$504&amp;"/")-1))),SAISIE!$A$5:$A$504&lt;&gt;"")),""),14),"")</f>
        <v/>
      </c>
      <c r="B18" s="13">
        <f>IF($A18="","",IFERROR(LET(v,FILTER(SAISIE!$C$5:$C$504,(VALUE(TRIM(LEFT(SAISIE!$A$5:$A$504,SEARCH("/",SAISIE!$A$5:$A$504&amp;"/")-1)))=$A18)*(OR(ISNUMBER(SEARCH("Couverture",SAISIE!$B$5:$B$504)),LEFT(SAISIE!$B$5:$B$504,2)="G "))),IF(COUNT(v)=0,"-",INDEX(v,1))),"-"))</f>
        <v/>
      </c>
      <c r="C18" s="13">
        <f>IF($A18="","",IFERROR(LET(v,FILTER(SAISIE!$E$5:$E$504,(VALUE(TRIM(LEFT(SAISIE!$A$5:$A$504,SEARCH("/",SAISIE!$A$5:$A$504&amp;"/")-1)))=$A18)*(OR(ISNUMBER(SEARCH("Couverture",SAISIE!$B$5:$B$504)),LEFT(SAISIE!$B$5:$B$504,2)="G "))),IF(COUNT(v)=0,"-",INDEX(v,1))),"-"))</f>
        <v/>
      </c>
      <c r="D18" s="13">
        <f>IF($A18="","",IFERROR(LET(fx,FILTER(SAISIE!$C$5:$C$504,(VALUE(TRIM(LEFT(SAISIE!$A$5:$A$504,SEARCH("/",SAISIE!$A$5:$A$504&amp;"/")-1)))=$A18)*(ISNUMBER(SEARCH("Vent G/D",SAISIE!$B$5:$B$504)))*(SAISIE!$E$5:$E$504&lt;&gt;"")),fz,FILTER(SAISIE!$E$5:$E$504,(VALUE(TRIM(LEFT(SAISIE!$A$5:$A$504,SEARCH("/",SAISIE!$A$5:$A$504&amp;"/")-1)))=$A18)*(ISNUMBER(SEARCH("Vent G/D",SAISIE!$B$5:$B$504)))*(SAISIE!$E$5:$E$504&lt;&gt;"")),mf,MIN(fz),IF(COUNT(fz)=0,"-",IF(MIN(fz)&gt;=0,INDEX(fx,MATCH(MAX(fx),fx,0)),INDEX(fx,MATCH(mf,fz,0))))),"-"))</f>
        <v/>
      </c>
      <c r="E18" s="13">
        <f>IF($A18="","",IFERROR(LET(fz,FILTER(SAISIE!$E$5:$E$504,(VALUE(TRIM(LEFT(SAISIE!$A$5:$A$504,SEARCH("/",SAISIE!$A$5:$A$504&amp;"/")-1)))=$A18)*(ISNUMBER(SEARCH("Vent G/D",SAISIE!$B$5:$B$504)))*(SAISIE!$E$5:$E$504&lt;&gt;"")),IF(COUNT(fz)=0,"-",IF(MIN(fz)&gt;=0,0,MIN(fz)))),"-"))</f>
        <v/>
      </c>
      <c r="F18" s="13">
        <f>IF($A18="","",IFERROR(LET(fx,FILTER(SAISIE!$C$5:$C$504,(VALUE(TRIM(LEFT(SAISIE!$A$5:$A$504,SEARCH("/",SAISIE!$A$5:$A$504&amp;"/")-1)))=$A18)*(ISNUMBER(SEARCH("Vent G/D",SAISIE!$B$5:$B$504)))*(SAISIE!$E$5:$E$504&lt;&gt;"")),fz,FILTER(SAISIE!$E$5:$E$504,(VALUE(TRIM(LEFT(SAISIE!$A$5:$A$504,SEARCH("/",SAISIE!$A$5:$A$504&amp;"/")-1)))=$A18)*(ISNUMBER(SEARCH("Vent G/D",SAISIE!$B$5:$B$504)))*(SAISIE!$E$5:$E$504&lt;&gt;"")),Mf,MAX(fz),INDEX(fx,MATCH(Mf,fz,0))),"-"))</f>
        <v/>
      </c>
      <c r="G18" s="13">
        <f>IF($A18="","",IFERROR(LET(fz,FILTER(SAISIE!$E$5:$E$504,(VALUE(TRIM(LEFT(SAISIE!$A$5:$A$504,SEARCH("/",SAISIE!$A$5:$A$504&amp;"/")-1)))=$A18)*(ISNUMBER(SEARCH("Vent G/D",SAISIE!$B$5:$B$504)))*(SAISIE!$E$5:$E$504&lt;&gt;"")),IF(COUNT(fz)=0,"-",MAX(fz))),"-"))</f>
        <v/>
      </c>
      <c r="H18" s="13">
        <f>IF($A18="","",IFERROR(LET(fx,FILTER(SAISIE!$C$5:$C$504,(VALUE(TRIM(LEFT(SAISIE!$A$5:$A$504,SEARCH("/",SAISIE!$A$5:$A$504&amp;"/")-1)))=$A18)*(ISNUMBER(SEARCH("Vent D/G",SAISIE!$B$5:$B$504)))*(SAISIE!$E$5:$E$504&lt;&gt;"")),fz,FILTER(SAISIE!$E$5:$E$504,(VALUE(TRIM(LEFT(SAISIE!$A$5:$A$504,SEARCH("/",SAISIE!$A$5:$A$504&amp;"/")-1)))=$A18)*(ISNUMBER(SEARCH("Vent D/G",SAISIE!$B$5:$B$504)))*(SAISIE!$E$5:$E$504&lt;&gt;"")),mf,MIN(fz),IF(COUNT(fz)=0,"-",IF(MIN(fz)&gt;=0,INDEX(fx,MATCH(MAX(fx),fx,0)),INDEX(fx,MATCH(mf,fz,0))))),"-"))</f>
        <v/>
      </c>
      <c r="I18" s="13">
        <f>IF($A18="","",IFERROR(LET(fz,FILTER(SAISIE!$E$5:$E$504,(VALUE(TRIM(LEFT(SAISIE!$A$5:$A$504,SEARCH("/",SAISIE!$A$5:$A$504&amp;"/")-1)))=$A18)*(ISNUMBER(SEARCH("Vent D/G",SAISIE!$B$5:$B$504)))*(SAISIE!$E$5:$E$504&lt;&gt;"")),IF(COUNT(fz)=0,"-",IF(MIN(fz)&gt;=0,0,MIN(fz)))),"-"))</f>
        <v/>
      </c>
      <c r="J18" s="13">
        <f>IF($A18="","",IFERROR(LET(fx,FILTER(SAISIE!$C$5:$C$504,(VALUE(TRIM(LEFT(SAISIE!$A$5:$A$504,SEARCH("/",SAISIE!$A$5:$A$504&amp;"/")-1)))=$A18)*(ISNUMBER(SEARCH("Vent D/G",SAISIE!$B$5:$B$504)))*(SAISIE!$E$5:$E$504&lt;&gt;"")),fz,FILTER(SAISIE!$E$5:$E$504,(VALUE(TRIM(LEFT(SAISIE!$A$5:$A$504,SEARCH("/",SAISIE!$A$5:$A$504&amp;"/")-1)))=$A18)*(ISNUMBER(SEARCH("Vent D/G",SAISIE!$B$5:$B$504)))*(SAISIE!$E$5:$E$504&lt;&gt;"")),Mf,MAX(fz),INDEX(fx,MATCH(Mf,fz,0))),"-"))</f>
        <v/>
      </c>
      <c r="K18" s="13">
        <f>IF($A18="","",IFERROR(LET(fz,FILTER(SAISIE!$E$5:$E$504,(VALUE(TRIM(LEFT(SAISIE!$A$5:$A$504,SEARCH("/",SAISIE!$A$5:$A$504&amp;"/")-1)))=$A18)*(ISNUMBER(SEARCH("Vent D/G",SAISIE!$B$5:$B$504)))*(SAISIE!$E$5:$E$504&lt;&gt;"")),IF(COUNT(fz)=0,"-",MAX(fz))),"-"))</f>
        <v/>
      </c>
      <c r="L18" s="13">
        <f>IF($A18="","",IFERROR(LET(v,FILTER(SAISIE!$C$5:$C$504,(VALUE(TRIM(LEFT(SAISIE!$A$5:$A$504,SEARCH("/",SAISIE!$A$5:$A$504&amp;"/")-1)))=$A18)*(ISNUMBER(SEARCH("Neige",SAISIE!$B$5:$B$504))*(NOT(ISNUMBER(SEARCH("accidentel",SAISIE!$B$5:$B$504)))))*(SAISIE!$E$5:$E$504&lt;&gt;"")),fz,FILTER(SAISIE!$E$5:$E$504,(VALUE(TRIM(LEFT(SAISIE!$A$5:$A$504,SEARCH("/",SAISIE!$A$5:$A$504&amp;"/")-1)))=$A18)*(ISNUMBER(SEARCH("Neige",SAISIE!$B$5:$B$504))*(NOT(ISNUMBER(SEARCH("accidentel",SAISIE!$B$5:$B$504)))))*(SAISIE!$E$5:$E$504&lt;&gt;"")),IF(COUNT(fz)=0,"-",INDEX(v,MATCH(MIN(fz),fz,0)))),"-"))</f>
        <v/>
      </c>
      <c r="M18" s="13">
        <f>IF($A18="","",IFERROR(LET(v,FILTER(SAISIE!$E$5:$E$504,(VALUE(TRIM(LEFT(SAISIE!$A$5:$A$504,SEARCH("/",SAISIE!$A$5:$A$504&amp;"/")-1)))=$A18)*(ISNUMBER(SEARCH("Neige",SAISIE!$B$5:$B$504))*(NOT(ISNUMBER(SEARCH("accidentel",SAISIE!$B$5:$B$504)))))*(SAISIE!$E$5:$E$504&lt;&gt;"")),IF(COUNT(v)=0,"-",MIN(v))),"-"))</f>
        <v/>
      </c>
      <c r="N18" s="13">
        <f>IF($A18="","",IFERROR(LET(v,FILTER(SAISIE!$C$5:$C$504,(VALUE(TRIM(LEFT(SAISIE!$A$5:$A$504,SEARCH("/",SAISIE!$A$5:$A$504&amp;"/")-1)))=$A18)*(ISNUMBER(SEARCH("accidentel",SAISIE!$B$5:$B$504)))*(SAISIE!$E$5:$E$504&lt;&gt;"")),IF(COUNT(v)=0,"-",INDEX(v,1))),"-"))</f>
        <v/>
      </c>
      <c r="O18" s="13">
        <f>IF($A18="","",IFERROR(LET(v,FILTER(SAISIE!$E$5:$E$504,(VALUE(TRIM(LEFT(SAISIE!$A$5:$A$504,SEARCH("/",SAISIE!$A$5:$A$504&amp;"/")-1)))=$A18)*(ISNUMBER(SEARCH("accidentel",SAISIE!$B$5:$B$504)))*(SAISIE!$E$5:$E$504&lt;&gt;"")),IF(COUNT(v)=0,"-",INDEX(v,1))),"-"))</f>
        <v/>
      </c>
    </row>
    <row r="19">
      <c r="A19" s="14">
        <f>IFERROR(INDEX(IFERROR(UNIQUE(FILTER(VALUE(TRIM(LEFT(SAISIE!$A$5:$A$504,SEARCH("/",SAISIE!$A$5:$A$504&amp;"/")-1))),SAISIE!$A$5:$A$504&lt;&gt;"")),""),15),"")</f>
        <v/>
      </c>
      <c r="B19" s="13">
        <f>IF($A19="","",IFERROR(LET(v,FILTER(SAISIE!$C$5:$C$504,(VALUE(TRIM(LEFT(SAISIE!$A$5:$A$504,SEARCH("/",SAISIE!$A$5:$A$504&amp;"/")-1)))=$A19)*(OR(ISNUMBER(SEARCH("Couverture",SAISIE!$B$5:$B$504)),LEFT(SAISIE!$B$5:$B$504,2)="G "))),IF(COUNT(v)=0,"-",INDEX(v,1))),"-"))</f>
        <v/>
      </c>
      <c r="C19" s="13">
        <f>IF($A19="","",IFERROR(LET(v,FILTER(SAISIE!$E$5:$E$504,(VALUE(TRIM(LEFT(SAISIE!$A$5:$A$504,SEARCH("/",SAISIE!$A$5:$A$504&amp;"/")-1)))=$A19)*(OR(ISNUMBER(SEARCH("Couverture",SAISIE!$B$5:$B$504)),LEFT(SAISIE!$B$5:$B$504,2)="G "))),IF(COUNT(v)=0,"-",INDEX(v,1))),"-"))</f>
        <v/>
      </c>
      <c r="D19" s="13">
        <f>IF($A19="","",IFERROR(LET(fx,FILTER(SAISIE!$C$5:$C$504,(VALUE(TRIM(LEFT(SAISIE!$A$5:$A$504,SEARCH("/",SAISIE!$A$5:$A$504&amp;"/")-1)))=$A19)*(ISNUMBER(SEARCH("Vent G/D",SAISIE!$B$5:$B$504)))*(SAISIE!$E$5:$E$504&lt;&gt;"")),fz,FILTER(SAISIE!$E$5:$E$504,(VALUE(TRIM(LEFT(SAISIE!$A$5:$A$504,SEARCH("/",SAISIE!$A$5:$A$504&amp;"/")-1)))=$A19)*(ISNUMBER(SEARCH("Vent G/D",SAISIE!$B$5:$B$504)))*(SAISIE!$E$5:$E$504&lt;&gt;"")),mf,MIN(fz),IF(COUNT(fz)=0,"-",IF(MIN(fz)&gt;=0,INDEX(fx,MATCH(MAX(fx),fx,0)),INDEX(fx,MATCH(mf,fz,0))))),"-"))</f>
        <v/>
      </c>
      <c r="E19" s="13">
        <f>IF($A19="","",IFERROR(LET(fz,FILTER(SAISIE!$E$5:$E$504,(VALUE(TRIM(LEFT(SAISIE!$A$5:$A$504,SEARCH("/",SAISIE!$A$5:$A$504&amp;"/")-1)))=$A19)*(ISNUMBER(SEARCH("Vent G/D",SAISIE!$B$5:$B$504)))*(SAISIE!$E$5:$E$504&lt;&gt;"")),IF(COUNT(fz)=0,"-",IF(MIN(fz)&gt;=0,0,MIN(fz)))),"-"))</f>
        <v/>
      </c>
      <c r="F19" s="13">
        <f>IF($A19="","",IFERROR(LET(fx,FILTER(SAISIE!$C$5:$C$504,(VALUE(TRIM(LEFT(SAISIE!$A$5:$A$504,SEARCH("/",SAISIE!$A$5:$A$504&amp;"/")-1)))=$A19)*(ISNUMBER(SEARCH("Vent G/D",SAISIE!$B$5:$B$504)))*(SAISIE!$E$5:$E$504&lt;&gt;"")),fz,FILTER(SAISIE!$E$5:$E$504,(VALUE(TRIM(LEFT(SAISIE!$A$5:$A$504,SEARCH("/",SAISIE!$A$5:$A$504&amp;"/")-1)))=$A19)*(ISNUMBER(SEARCH("Vent G/D",SAISIE!$B$5:$B$504)))*(SAISIE!$E$5:$E$504&lt;&gt;"")),Mf,MAX(fz),INDEX(fx,MATCH(Mf,fz,0))),"-"))</f>
        <v/>
      </c>
      <c r="G19" s="13">
        <f>IF($A19="","",IFERROR(LET(fz,FILTER(SAISIE!$E$5:$E$504,(VALUE(TRIM(LEFT(SAISIE!$A$5:$A$504,SEARCH("/",SAISIE!$A$5:$A$504&amp;"/")-1)))=$A19)*(ISNUMBER(SEARCH("Vent G/D",SAISIE!$B$5:$B$504)))*(SAISIE!$E$5:$E$504&lt;&gt;"")),IF(COUNT(fz)=0,"-",MAX(fz))),"-"))</f>
        <v/>
      </c>
      <c r="H19" s="13">
        <f>IF($A19="","",IFERROR(LET(fx,FILTER(SAISIE!$C$5:$C$504,(VALUE(TRIM(LEFT(SAISIE!$A$5:$A$504,SEARCH("/",SAISIE!$A$5:$A$504&amp;"/")-1)))=$A19)*(ISNUMBER(SEARCH("Vent D/G",SAISIE!$B$5:$B$504)))*(SAISIE!$E$5:$E$504&lt;&gt;"")),fz,FILTER(SAISIE!$E$5:$E$504,(VALUE(TRIM(LEFT(SAISIE!$A$5:$A$504,SEARCH("/",SAISIE!$A$5:$A$504&amp;"/")-1)))=$A19)*(ISNUMBER(SEARCH("Vent D/G",SAISIE!$B$5:$B$504)))*(SAISIE!$E$5:$E$504&lt;&gt;"")),mf,MIN(fz),IF(COUNT(fz)=0,"-",IF(MIN(fz)&gt;=0,INDEX(fx,MATCH(MAX(fx),fx,0)),INDEX(fx,MATCH(mf,fz,0))))),"-"))</f>
        <v/>
      </c>
      <c r="I19" s="13">
        <f>IF($A19="","",IFERROR(LET(fz,FILTER(SAISIE!$E$5:$E$504,(VALUE(TRIM(LEFT(SAISIE!$A$5:$A$504,SEARCH("/",SAISIE!$A$5:$A$504&amp;"/")-1)))=$A19)*(ISNUMBER(SEARCH("Vent D/G",SAISIE!$B$5:$B$504)))*(SAISIE!$E$5:$E$504&lt;&gt;"")),IF(COUNT(fz)=0,"-",IF(MIN(fz)&gt;=0,0,MIN(fz)))),"-"))</f>
        <v/>
      </c>
      <c r="J19" s="13">
        <f>IF($A19="","",IFERROR(LET(fx,FILTER(SAISIE!$C$5:$C$504,(VALUE(TRIM(LEFT(SAISIE!$A$5:$A$504,SEARCH("/",SAISIE!$A$5:$A$504&amp;"/")-1)))=$A19)*(ISNUMBER(SEARCH("Vent D/G",SAISIE!$B$5:$B$504)))*(SAISIE!$E$5:$E$504&lt;&gt;"")),fz,FILTER(SAISIE!$E$5:$E$504,(VALUE(TRIM(LEFT(SAISIE!$A$5:$A$504,SEARCH("/",SAISIE!$A$5:$A$504&amp;"/")-1)))=$A19)*(ISNUMBER(SEARCH("Vent D/G",SAISIE!$B$5:$B$504)))*(SAISIE!$E$5:$E$504&lt;&gt;"")),Mf,MAX(fz),INDEX(fx,MATCH(Mf,fz,0))),"-"))</f>
        <v/>
      </c>
      <c r="K19" s="13">
        <f>IF($A19="","",IFERROR(LET(fz,FILTER(SAISIE!$E$5:$E$504,(VALUE(TRIM(LEFT(SAISIE!$A$5:$A$504,SEARCH("/",SAISIE!$A$5:$A$504&amp;"/")-1)))=$A19)*(ISNUMBER(SEARCH("Vent D/G",SAISIE!$B$5:$B$504)))*(SAISIE!$E$5:$E$504&lt;&gt;"")),IF(COUNT(fz)=0,"-",MAX(fz))),"-"))</f>
        <v/>
      </c>
      <c r="L19" s="13">
        <f>IF($A19="","",IFERROR(LET(v,FILTER(SAISIE!$C$5:$C$504,(VALUE(TRIM(LEFT(SAISIE!$A$5:$A$504,SEARCH("/",SAISIE!$A$5:$A$504&amp;"/")-1)))=$A19)*(ISNUMBER(SEARCH("Neige",SAISIE!$B$5:$B$504))*(NOT(ISNUMBER(SEARCH("accidentel",SAISIE!$B$5:$B$504)))))*(SAISIE!$E$5:$E$504&lt;&gt;"")),fz,FILTER(SAISIE!$E$5:$E$504,(VALUE(TRIM(LEFT(SAISIE!$A$5:$A$504,SEARCH("/",SAISIE!$A$5:$A$504&amp;"/")-1)))=$A19)*(ISNUMBER(SEARCH("Neige",SAISIE!$B$5:$B$504))*(NOT(ISNUMBER(SEARCH("accidentel",SAISIE!$B$5:$B$504)))))*(SAISIE!$E$5:$E$504&lt;&gt;"")),IF(COUNT(fz)=0,"-",INDEX(v,MATCH(MIN(fz),fz,0)))),"-"))</f>
        <v/>
      </c>
      <c r="M19" s="13">
        <f>IF($A19="","",IFERROR(LET(v,FILTER(SAISIE!$E$5:$E$504,(VALUE(TRIM(LEFT(SAISIE!$A$5:$A$504,SEARCH("/",SAISIE!$A$5:$A$504&amp;"/")-1)))=$A19)*(ISNUMBER(SEARCH("Neige",SAISIE!$B$5:$B$504))*(NOT(ISNUMBER(SEARCH("accidentel",SAISIE!$B$5:$B$504)))))*(SAISIE!$E$5:$E$504&lt;&gt;"")),IF(COUNT(v)=0,"-",MIN(v))),"-"))</f>
        <v/>
      </c>
      <c r="N19" s="13">
        <f>IF($A19="","",IFERROR(LET(v,FILTER(SAISIE!$C$5:$C$504,(VALUE(TRIM(LEFT(SAISIE!$A$5:$A$504,SEARCH("/",SAISIE!$A$5:$A$504&amp;"/")-1)))=$A19)*(ISNUMBER(SEARCH("accidentel",SAISIE!$B$5:$B$504)))*(SAISIE!$E$5:$E$504&lt;&gt;"")),IF(COUNT(v)=0,"-",INDEX(v,1))),"-"))</f>
        <v/>
      </c>
      <c r="O19" s="13">
        <f>IF($A19="","",IFERROR(LET(v,FILTER(SAISIE!$E$5:$E$504,(VALUE(TRIM(LEFT(SAISIE!$A$5:$A$504,SEARCH("/",SAISIE!$A$5:$A$504&amp;"/")-1)))=$A19)*(ISNUMBER(SEARCH("accidentel",SAISIE!$B$5:$B$504)))*(SAISIE!$E$5:$E$504&lt;&gt;"")),IF(COUNT(v)=0,"-",INDEX(v,1))),"-"))</f>
        <v/>
      </c>
    </row>
    <row r="20">
      <c r="A20" s="14">
        <f>IFERROR(INDEX(IFERROR(UNIQUE(FILTER(VALUE(TRIM(LEFT(SAISIE!$A$5:$A$504,SEARCH("/",SAISIE!$A$5:$A$504&amp;"/")-1))),SAISIE!$A$5:$A$504&lt;&gt;"")),""),16),"")</f>
        <v/>
      </c>
      <c r="B20" s="13">
        <f>IF($A20="","",IFERROR(LET(v,FILTER(SAISIE!$C$5:$C$504,(VALUE(TRIM(LEFT(SAISIE!$A$5:$A$504,SEARCH("/",SAISIE!$A$5:$A$504&amp;"/")-1)))=$A20)*(OR(ISNUMBER(SEARCH("Couverture",SAISIE!$B$5:$B$504)),LEFT(SAISIE!$B$5:$B$504,2)="G "))),IF(COUNT(v)=0,"-",INDEX(v,1))),"-"))</f>
        <v/>
      </c>
      <c r="C20" s="13">
        <f>IF($A20="","",IFERROR(LET(v,FILTER(SAISIE!$E$5:$E$504,(VALUE(TRIM(LEFT(SAISIE!$A$5:$A$504,SEARCH("/",SAISIE!$A$5:$A$504&amp;"/")-1)))=$A20)*(OR(ISNUMBER(SEARCH("Couverture",SAISIE!$B$5:$B$504)),LEFT(SAISIE!$B$5:$B$504,2)="G "))),IF(COUNT(v)=0,"-",INDEX(v,1))),"-"))</f>
        <v/>
      </c>
      <c r="D20" s="13">
        <f>IF($A20="","",IFERROR(LET(fx,FILTER(SAISIE!$C$5:$C$504,(VALUE(TRIM(LEFT(SAISIE!$A$5:$A$504,SEARCH("/",SAISIE!$A$5:$A$504&amp;"/")-1)))=$A20)*(ISNUMBER(SEARCH("Vent G/D",SAISIE!$B$5:$B$504)))*(SAISIE!$E$5:$E$504&lt;&gt;"")),fz,FILTER(SAISIE!$E$5:$E$504,(VALUE(TRIM(LEFT(SAISIE!$A$5:$A$504,SEARCH("/",SAISIE!$A$5:$A$504&amp;"/")-1)))=$A20)*(ISNUMBER(SEARCH("Vent G/D",SAISIE!$B$5:$B$504)))*(SAISIE!$E$5:$E$504&lt;&gt;"")),mf,MIN(fz),IF(COUNT(fz)=0,"-",IF(MIN(fz)&gt;=0,INDEX(fx,MATCH(MAX(fx),fx,0)),INDEX(fx,MATCH(mf,fz,0))))),"-"))</f>
        <v/>
      </c>
      <c r="E20" s="13">
        <f>IF($A20="","",IFERROR(LET(fz,FILTER(SAISIE!$E$5:$E$504,(VALUE(TRIM(LEFT(SAISIE!$A$5:$A$504,SEARCH("/",SAISIE!$A$5:$A$504&amp;"/")-1)))=$A20)*(ISNUMBER(SEARCH("Vent G/D",SAISIE!$B$5:$B$504)))*(SAISIE!$E$5:$E$504&lt;&gt;"")),IF(COUNT(fz)=0,"-",IF(MIN(fz)&gt;=0,0,MIN(fz)))),"-"))</f>
        <v/>
      </c>
      <c r="F20" s="13">
        <f>IF($A20="","",IFERROR(LET(fx,FILTER(SAISIE!$C$5:$C$504,(VALUE(TRIM(LEFT(SAISIE!$A$5:$A$504,SEARCH("/",SAISIE!$A$5:$A$504&amp;"/")-1)))=$A20)*(ISNUMBER(SEARCH("Vent G/D",SAISIE!$B$5:$B$504)))*(SAISIE!$E$5:$E$504&lt;&gt;"")),fz,FILTER(SAISIE!$E$5:$E$504,(VALUE(TRIM(LEFT(SAISIE!$A$5:$A$504,SEARCH("/",SAISIE!$A$5:$A$504&amp;"/")-1)))=$A20)*(ISNUMBER(SEARCH("Vent G/D",SAISIE!$B$5:$B$504)))*(SAISIE!$E$5:$E$504&lt;&gt;"")),Mf,MAX(fz),INDEX(fx,MATCH(Mf,fz,0))),"-"))</f>
        <v/>
      </c>
      <c r="G20" s="13">
        <f>IF($A20="","",IFERROR(LET(fz,FILTER(SAISIE!$E$5:$E$504,(VALUE(TRIM(LEFT(SAISIE!$A$5:$A$504,SEARCH("/",SAISIE!$A$5:$A$504&amp;"/")-1)))=$A20)*(ISNUMBER(SEARCH("Vent G/D",SAISIE!$B$5:$B$504)))*(SAISIE!$E$5:$E$504&lt;&gt;"")),IF(COUNT(fz)=0,"-",MAX(fz))),"-"))</f>
        <v/>
      </c>
      <c r="H20" s="13">
        <f>IF($A20="","",IFERROR(LET(fx,FILTER(SAISIE!$C$5:$C$504,(VALUE(TRIM(LEFT(SAISIE!$A$5:$A$504,SEARCH("/",SAISIE!$A$5:$A$504&amp;"/")-1)))=$A20)*(ISNUMBER(SEARCH("Vent D/G",SAISIE!$B$5:$B$504)))*(SAISIE!$E$5:$E$504&lt;&gt;"")),fz,FILTER(SAISIE!$E$5:$E$504,(VALUE(TRIM(LEFT(SAISIE!$A$5:$A$504,SEARCH("/",SAISIE!$A$5:$A$504&amp;"/")-1)))=$A20)*(ISNUMBER(SEARCH("Vent D/G",SAISIE!$B$5:$B$504)))*(SAISIE!$E$5:$E$504&lt;&gt;"")),mf,MIN(fz),IF(COUNT(fz)=0,"-",IF(MIN(fz)&gt;=0,INDEX(fx,MATCH(MAX(fx),fx,0)),INDEX(fx,MATCH(mf,fz,0))))),"-"))</f>
        <v/>
      </c>
      <c r="I20" s="13">
        <f>IF($A20="","",IFERROR(LET(fz,FILTER(SAISIE!$E$5:$E$504,(VALUE(TRIM(LEFT(SAISIE!$A$5:$A$504,SEARCH("/",SAISIE!$A$5:$A$504&amp;"/")-1)))=$A20)*(ISNUMBER(SEARCH("Vent D/G",SAISIE!$B$5:$B$504)))*(SAISIE!$E$5:$E$504&lt;&gt;"")),IF(COUNT(fz)=0,"-",IF(MIN(fz)&gt;=0,0,MIN(fz)))),"-"))</f>
        <v/>
      </c>
      <c r="J20" s="13">
        <f>IF($A20="","",IFERROR(LET(fx,FILTER(SAISIE!$C$5:$C$504,(VALUE(TRIM(LEFT(SAISIE!$A$5:$A$504,SEARCH("/",SAISIE!$A$5:$A$504&amp;"/")-1)))=$A20)*(ISNUMBER(SEARCH("Vent D/G",SAISIE!$B$5:$B$504)))*(SAISIE!$E$5:$E$504&lt;&gt;"")),fz,FILTER(SAISIE!$E$5:$E$504,(VALUE(TRIM(LEFT(SAISIE!$A$5:$A$504,SEARCH("/",SAISIE!$A$5:$A$504&amp;"/")-1)))=$A20)*(ISNUMBER(SEARCH("Vent D/G",SAISIE!$B$5:$B$504)))*(SAISIE!$E$5:$E$504&lt;&gt;"")),Mf,MAX(fz),INDEX(fx,MATCH(Mf,fz,0))),"-"))</f>
        <v/>
      </c>
      <c r="K20" s="13">
        <f>IF($A20="","",IFERROR(LET(fz,FILTER(SAISIE!$E$5:$E$504,(VALUE(TRIM(LEFT(SAISIE!$A$5:$A$504,SEARCH("/",SAISIE!$A$5:$A$504&amp;"/")-1)))=$A20)*(ISNUMBER(SEARCH("Vent D/G",SAISIE!$B$5:$B$504)))*(SAISIE!$E$5:$E$504&lt;&gt;"")),IF(COUNT(fz)=0,"-",MAX(fz))),"-"))</f>
        <v/>
      </c>
      <c r="L20" s="13">
        <f>IF($A20="","",IFERROR(LET(v,FILTER(SAISIE!$C$5:$C$504,(VALUE(TRIM(LEFT(SAISIE!$A$5:$A$504,SEARCH("/",SAISIE!$A$5:$A$504&amp;"/")-1)))=$A20)*(ISNUMBER(SEARCH("Neige",SAISIE!$B$5:$B$504))*(NOT(ISNUMBER(SEARCH("accidentel",SAISIE!$B$5:$B$504)))))*(SAISIE!$E$5:$E$504&lt;&gt;"")),fz,FILTER(SAISIE!$E$5:$E$504,(VALUE(TRIM(LEFT(SAISIE!$A$5:$A$504,SEARCH("/",SAISIE!$A$5:$A$504&amp;"/")-1)))=$A20)*(ISNUMBER(SEARCH("Neige",SAISIE!$B$5:$B$504))*(NOT(ISNUMBER(SEARCH("accidentel",SAISIE!$B$5:$B$504)))))*(SAISIE!$E$5:$E$504&lt;&gt;"")),IF(COUNT(fz)=0,"-",INDEX(v,MATCH(MIN(fz),fz,0)))),"-"))</f>
        <v/>
      </c>
      <c r="M20" s="13">
        <f>IF($A20="","",IFERROR(LET(v,FILTER(SAISIE!$E$5:$E$504,(VALUE(TRIM(LEFT(SAISIE!$A$5:$A$504,SEARCH("/",SAISIE!$A$5:$A$504&amp;"/")-1)))=$A20)*(ISNUMBER(SEARCH("Neige",SAISIE!$B$5:$B$504))*(NOT(ISNUMBER(SEARCH("accidentel",SAISIE!$B$5:$B$504)))))*(SAISIE!$E$5:$E$504&lt;&gt;"")),IF(COUNT(v)=0,"-",MIN(v))),"-"))</f>
        <v/>
      </c>
      <c r="N20" s="13">
        <f>IF($A20="","",IFERROR(LET(v,FILTER(SAISIE!$C$5:$C$504,(VALUE(TRIM(LEFT(SAISIE!$A$5:$A$504,SEARCH("/",SAISIE!$A$5:$A$504&amp;"/")-1)))=$A20)*(ISNUMBER(SEARCH("accidentel",SAISIE!$B$5:$B$504)))*(SAISIE!$E$5:$E$504&lt;&gt;"")),IF(COUNT(v)=0,"-",INDEX(v,1))),"-"))</f>
        <v/>
      </c>
      <c r="O20" s="13">
        <f>IF($A20="","",IFERROR(LET(v,FILTER(SAISIE!$E$5:$E$504,(VALUE(TRIM(LEFT(SAISIE!$A$5:$A$504,SEARCH("/",SAISIE!$A$5:$A$504&amp;"/")-1)))=$A20)*(ISNUMBER(SEARCH("accidentel",SAISIE!$B$5:$B$504)))*(SAISIE!$E$5:$E$504&lt;&gt;"")),IF(COUNT(v)=0,"-",INDEX(v,1))),"-"))</f>
        <v/>
      </c>
    </row>
    <row r="21">
      <c r="A21" s="14">
        <f>IFERROR(INDEX(IFERROR(UNIQUE(FILTER(VALUE(TRIM(LEFT(SAISIE!$A$5:$A$504,SEARCH("/",SAISIE!$A$5:$A$504&amp;"/")-1))),SAISIE!$A$5:$A$504&lt;&gt;"")),""),17),"")</f>
        <v/>
      </c>
      <c r="B21" s="13">
        <f>IF($A21="","",IFERROR(LET(v,FILTER(SAISIE!$C$5:$C$504,(VALUE(TRIM(LEFT(SAISIE!$A$5:$A$504,SEARCH("/",SAISIE!$A$5:$A$504&amp;"/")-1)))=$A21)*(OR(ISNUMBER(SEARCH("Couverture",SAISIE!$B$5:$B$504)),LEFT(SAISIE!$B$5:$B$504,2)="G "))),IF(COUNT(v)=0,"-",INDEX(v,1))),"-"))</f>
        <v/>
      </c>
      <c r="C21" s="13">
        <f>IF($A21="","",IFERROR(LET(v,FILTER(SAISIE!$E$5:$E$504,(VALUE(TRIM(LEFT(SAISIE!$A$5:$A$504,SEARCH("/",SAISIE!$A$5:$A$504&amp;"/")-1)))=$A21)*(OR(ISNUMBER(SEARCH("Couverture",SAISIE!$B$5:$B$504)),LEFT(SAISIE!$B$5:$B$504,2)="G "))),IF(COUNT(v)=0,"-",INDEX(v,1))),"-"))</f>
        <v/>
      </c>
      <c r="D21" s="13">
        <f>IF($A21="","",IFERROR(LET(fx,FILTER(SAISIE!$C$5:$C$504,(VALUE(TRIM(LEFT(SAISIE!$A$5:$A$504,SEARCH("/",SAISIE!$A$5:$A$504&amp;"/")-1)))=$A21)*(ISNUMBER(SEARCH("Vent G/D",SAISIE!$B$5:$B$504)))*(SAISIE!$E$5:$E$504&lt;&gt;"")),fz,FILTER(SAISIE!$E$5:$E$504,(VALUE(TRIM(LEFT(SAISIE!$A$5:$A$504,SEARCH("/",SAISIE!$A$5:$A$504&amp;"/")-1)))=$A21)*(ISNUMBER(SEARCH("Vent G/D",SAISIE!$B$5:$B$504)))*(SAISIE!$E$5:$E$504&lt;&gt;"")),mf,MIN(fz),IF(COUNT(fz)=0,"-",IF(MIN(fz)&gt;=0,INDEX(fx,MATCH(MAX(fx),fx,0)),INDEX(fx,MATCH(mf,fz,0))))),"-"))</f>
        <v/>
      </c>
      <c r="E21" s="13">
        <f>IF($A21="","",IFERROR(LET(fz,FILTER(SAISIE!$E$5:$E$504,(VALUE(TRIM(LEFT(SAISIE!$A$5:$A$504,SEARCH("/",SAISIE!$A$5:$A$504&amp;"/")-1)))=$A21)*(ISNUMBER(SEARCH("Vent G/D",SAISIE!$B$5:$B$504)))*(SAISIE!$E$5:$E$504&lt;&gt;"")),IF(COUNT(fz)=0,"-",IF(MIN(fz)&gt;=0,0,MIN(fz)))),"-"))</f>
        <v/>
      </c>
      <c r="F21" s="13">
        <f>IF($A21="","",IFERROR(LET(fx,FILTER(SAISIE!$C$5:$C$504,(VALUE(TRIM(LEFT(SAISIE!$A$5:$A$504,SEARCH("/",SAISIE!$A$5:$A$504&amp;"/")-1)))=$A21)*(ISNUMBER(SEARCH("Vent G/D",SAISIE!$B$5:$B$504)))*(SAISIE!$E$5:$E$504&lt;&gt;"")),fz,FILTER(SAISIE!$E$5:$E$504,(VALUE(TRIM(LEFT(SAISIE!$A$5:$A$504,SEARCH("/",SAISIE!$A$5:$A$504&amp;"/")-1)))=$A21)*(ISNUMBER(SEARCH("Vent G/D",SAISIE!$B$5:$B$504)))*(SAISIE!$E$5:$E$504&lt;&gt;"")),Mf,MAX(fz),INDEX(fx,MATCH(Mf,fz,0))),"-"))</f>
        <v/>
      </c>
      <c r="G21" s="13">
        <f>IF($A21="","",IFERROR(LET(fz,FILTER(SAISIE!$E$5:$E$504,(VALUE(TRIM(LEFT(SAISIE!$A$5:$A$504,SEARCH("/",SAISIE!$A$5:$A$504&amp;"/")-1)))=$A21)*(ISNUMBER(SEARCH("Vent G/D",SAISIE!$B$5:$B$504)))*(SAISIE!$E$5:$E$504&lt;&gt;"")),IF(COUNT(fz)=0,"-",MAX(fz))),"-"))</f>
        <v/>
      </c>
      <c r="H21" s="13">
        <f>IF($A21="","",IFERROR(LET(fx,FILTER(SAISIE!$C$5:$C$504,(VALUE(TRIM(LEFT(SAISIE!$A$5:$A$504,SEARCH("/",SAISIE!$A$5:$A$504&amp;"/")-1)))=$A21)*(ISNUMBER(SEARCH("Vent D/G",SAISIE!$B$5:$B$504)))*(SAISIE!$E$5:$E$504&lt;&gt;"")),fz,FILTER(SAISIE!$E$5:$E$504,(VALUE(TRIM(LEFT(SAISIE!$A$5:$A$504,SEARCH("/",SAISIE!$A$5:$A$504&amp;"/")-1)))=$A21)*(ISNUMBER(SEARCH("Vent D/G",SAISIE!$B$5:$B$504)))*(SAISIE!$E$5:$E$504&lt;&gt;"")),mf,MIN(fz),IF(COUNT(fz)=0,"-",IF(MIN(fz)&gt;=0,INDEX(fx,MATCH(MAX(fx),fx,0)),INDEX(fx,MATCH(mf,fz,0))))),"-"))</f>
        <v/>
      </c>
      <c r="I21" s="13">
        <f>IF($A21="","",IFERROR(LET(fz,FILTER(SAISIE!$E$5:$E$504,(VALUE(TRIM(LEFT(SAISIE!$A$5:$A$504,SEARCH("/",SAISIE!$A$5:$A$504&amp;"/")-1)))=$A21)*(ISNUMBER(SEARCH("Vent D/G",SAISIE!$B$5:$B$504)))*(SAISIE!$E$5:$E$504&lt;&gt;"")),IF(COUNT(fz)=0,"-",IF(MIN(fz)&gt;=0,0,MIN(fz)))),"-"))</f>
        <v/>
      </c>
      <c r="J21" s="13">
        <f>IF($A21="","",IFERROR(LET(fx,FILTER(SAISIE!$C$5:$C$504,(VALUE(TRIM(LEFT(SAISIE!$A$5:$A$504,SEARCH("/",SAISIE!$A$5:$A$504&amp;"/")-1)))=$A21)*(ISNUMBER(SEARCH("Vent D/G",SAISIE!$B$5:$B$504)))*(SAISIE!$E$5:$E$504&lt;&gt;"")),fz,FILTER(SAISIE!$E$5:$E$504,(VALUE(TRIM(LEFT(SAISIE!$A$5:$A$504,SEARCH("/",SAISIE!$A$5:$A$504&amp;"/")-1)))=$A21)*(ISNUMBER(SEARCH("Vent D/G",SAISIE!$B$5:$B$504)))*(SAISIE!$E$5:$E$504&lt;&gt;"")),Mf,MAX(fz),INDEX(fx,MATCH(Mf,fz,0))),"-"))</f>
        <v/>
      </c>
      <c r="K21" s="13">
        <f>IF($A21="","",IFERROR(LET(fz,FILTER(SAISIE!$E$5:$E$504,(VALUE(TRIM(LEFT(SAISIE!$A$5:$A$504,SEARCH("/",SAISIE!$A$5:$A$504&amp;"/")-1)))=$A21)*(ISNUMBER(SEARCH("Vent D/G",SAISIE!$B$5:$B$504)))*(SAISIE!$E$5:$E$504&lt;&gt;"")),IF(COUNT(fz)=0,"-",MAX(fz))),"-"))</f>
        <v/>
      </c>
      <c r="L21" s="13">
        <f>IF($A21="","",IFERROR(LET(v,FILTER(SAISIE!$C$5:$C$504,(VALUE(TRIM(LEFT(SAISIE!$A$5:$A$504,SEARCH("/",SAISIE!$A$5:$A$504&amp;"/")-1)))=$A21)*(ISNUMBER(SEARCH("Neige",SAISIE!$B$5:$B$504))*(NOT(ISNUMBER(SEARCH("accidentel",SAISIE!$B$5:$B$504)))))*(SAISIE!$E$5:$E$504&lt;&gt;"")),fz,FILTER(SAISIE!$E$5:$E$504,(VALUE(TRIM(LEFT(SAISIE!$A$5:$A$504,SEARCH("/",SAISIE!$A$5:$A$504&amp;"/")-1)))=$A21)*(ISNUMBER(SEARCH("Neige",SAISIE!$B$5:$B$504))*(NOT(ISNUMBER(SEARCH("accidentel",SAISIE!$B$5:$B$504)))))*(SAISIE!$E$5:$E$504&lt;&gt;"")),IF(COUNT(fz)=0,"-",INDEX(v,MATCH(MIN(fz),fz,0)))),"-"))</f>
        <v/>
      </c>
      <c r="M21" s="13">
        <f>IF($A21="","",IFERROR(LET(v,FILTER(SAISIE!$E$5:$E$504,(VALUE(TRIM(LEFT(SAISIE!$A$5:$A$504,SEARCH("/",SAISIE!$A$5:$A$504&amp;"/")-1)))=$A21)*(ISNUMBER(SEARCH("Neige",SAISIE!$B$5:$B$504))*(NOT(ISNUMBER(SEARCH("accidentel",SAISIE!$B$5:$B$504)))))*(SAISIE!$E$5:$E$504&lt;&gt;"")),IF(COUNT(v)=0,"-",MIN(v))),"-"))</f>
        <v/>
      </c>
      <c r="N21" s="13">
        <f>IF($A21="","",IFERROR(LET(v,FILTER(SAISIE!$C$5:$C$504,(VALUE(TRIM(LEFT(SAISIE!$A$5:$A$504,SEARCH("/",SAISIE!$A$5:$A$504&amp;"/")-1)))=$A21)*(ISNUMBER(SEARCH("accidentel",SAISIE!$B$5:$B$504)))*(SAISIE!$E$5:$E$504&lt;&gt;"")),IF(COUNT(v)=0,"-",INDEX(v,1))),"-"))</f>
        <v/>
      </c>
      <c r="O21" s="13">
        <f>IF($A21="","",IFERROR(LET(v,FILTER(SAISIE!$E$5:$E$504,(VALUE(TRIM(LEFT(SAISIE!$A$5:$A$504,SEARCH("/",SAISIE!$A$5:$A$504&amp;"/")-1)))=$A21)*(ISNUMBER(SEARCH("accidentel",SAISIE!$B$5:$B$504)))*(SAISIE!$E$5:$E$504&lt;&gt;"")),IF(COUNT(v)=0,"-",INDEX(v,1))),"-"))</f>
        <v/>
      </c>
    </row>
    <row r="22">
      <c r="A22" s="14">
        <f>IFERROR(INDEX(IFERROR(UNIQUE(FILTER(VALUE(TRIM(LEFT(SAISIE!$A$5:$A$504,SEARCH("/",SAISIE!$A$5:$A$504&amp;"/")-1))),SAISIE!$A$5:$A$504&lt;&gt;"")),""),18),"")</f>
        <v/>
      </c>
      <c r="B22" s="13">
        <f>IF($A22="","",IFERROR(LET(v,FILTER(SAISIE!$C$5:$C$504,(VALUE(TRIM(LEFT(SAISIE!$A$5:$A$504,SEARCH("/",SAISIE!$A$5:$A$504&amp;"/")-1)))=$A22)*(OR(ISNUMBER(SEARCH("Couverture",SAISIE!$B$5:$B$504)),LEFT(SAISIE!$B$5:$B$504,2)="G "))),IF(COUNT(v)=0,"-",INDEX(v,1))),"-"))</f>
        <v/>
      </c>
      <c r="C22" s="13">
        <f>IF($A22="","",IFERROR(LET(v,FILTER(SAISIE!$E$5:$E$504,(VALUE(TRIM(LEFT(SAISIE!$A$5:$A$504,SEARCH("/",SAISIE!$A$5:$A$504&amp;"/")-1)))=$A22)*(OR(ISNUMBER(SEARCH("Couverture",SAISIE!$B$5:$B$504)),LEFT(SAISIE!$B$5:$B$504,2)="G "))),IF(COUNT(v)=0,"-",INDEX(v,1))),"-"))</f>
        <v/>
      </c>
      <c r="D22" s="13">
        <f>IF($A22="","",IFERROR(LET(fx,FILTER(SAISIE!$C$5:$C$504,(VALUE(TRIM(LEFT(SAISIE!$A$5:$A$504,SEARCH("/",SAISIE!$A$5:$A$504&amp;"/")-1)))=$A22)*(ISNUMBER(SEARCH("Vent G/D",SAISIE!$B$5:$B$504)))*(SAISIE!$E$5:$E$504&lt;&gt;"")),fz,FILTER(SAISIE!$E$5:$E$504,(VALUE(TRIM(LEFT(SAISIE!$A$5:$A$504,SEARCH("/",SAISIE!$A$5:$A$504&amp;"/")-1)))=$A22)*(ISNUMBER(SEARCH("Vent G/D",SAISIE!$B$5:$B$504)))*(SAISIE!$E$5:$E$504&lt;&gt;"")),mf,MIN(fz),IF(COUNT(fz)=0,"-",IF(MIN(fz)&gt;=0,INDEX(fx,MATCH(MAX(fx),fx,0)),INDEX(fx,MATCH(mf,fz,0))))),"-"))</f>
        <v/>
      </c>
      <c r="E22" s="13">
        <f>IF($A22="","",IFERROR(LET(fz,FILTER(SAISIE!$E$5:$E$504,(VALUE(TRIM(LEFT(SAISIE!$A$5:$A$504,SEARCH("/",SAISIE!$A$5:$A$504&amp;"/")-1)))=$A22)*(ISNUMBER(SEARCH("Vent G/D",SAISIE!$B$5:$B$504)))*(SAISIE!$E$5:$E$504&lt;&gt;"")),IF(COUNT(fz)=0,"-",IF(MIN(fz)&gt;=0,0,MIN(fz)))),"-"))</f>
        <v/>
      </c>
      <c r="F22" s="13">
        <f>IF($A22="","",IFERROR(LET(fx,FILTER(SAISIE!$C$5:$C$504,(VALUE(TRIM(LEFT(SAISIE!$A$5:$A$504,SEARCH("/",SAISIE!$A$5:$A$504&amp;"/")-1)))=$A22)*(ISNUMBER(SEARCH("Vent G/D",SAISIE!$B$5:$B$504)))*(SAISIE!$E$5:$E$504&lt;&gt;"")),fz,FILTER(SAISIE!$E$5:$E$504,(VALUE(TRIM(LEFT(SAISIE!$A$5:$A$504,SEARCH("/",SAISIE!$A$5:$A$504&amp;"/")-1)))=$A22)*(ISNUMBER(SEARCH("Vent G/D",SAISIE!$B$5:$B$504)))*(SAISIE!$E$5:$E$504&lt;&gt;"")),Mf,MAX(fz),INDEX(fx,MATCH(Mf,fz,0))),"-"))</f>
        <v/>
      </c>
      <c r="G22" s="13">
        <f>IF($A22="","",IFERROR(LET(fz,FILTER(SAISIE!$E$5:$E$504,(VALUE(TRIM(LEFT(SAISIE!$A$5:$A$504,SEARCH("/",SAISIE!$A$5:$A$504&amp;"/")-1)))=$A22)*(ISNUMBER(SEARCH("Vent G/D",SAISIE!$B$5:$B$504)))*(SAISIE!$E$5:$E$504&lt;&gt;"")),IF(COUNT(fz)=0,"-",MAX(fz))),"-"))</f>
        <v/>
      </c>
      <c r="H22" s="13">
        <f>IF($A22="","",IFERROR(LET(fx,FILTER(SAISIE!$C$5:$C$504,(VALUE(TRIM(LEFT(SAISIE!$A$5:$A$504,SEARCH("/",SAISIE!$A$5:$A$504&amp;"/")-1)))=$A22)*(ISNUMBER(SEARCH("Vent D/G",SAISIE!$B$5:$B$504)))*(SAISIE!$E$5:$E$504&lt;&gt;"")),fz,FILTER(SAISIE!$E$5:$E$504,(VALUE(TRIM(LEFT(SAISIE!$A$5:$A$504,SEARCH("/",SAISIE!$A$5:$A$504&amp;"/")-1)))=$A22)*(ISNUMBER(SEARCH("Vent D/G",SAISIE!$B$5:$B$504)))*(SAISIE!$E$5:$E$504&lt;&gt;"")),mf,MIN(fz),IF(COUNT(fz)=0,"-",IF(MIN(fz)&gt;=0,INDEX(fx,MATCH(MAX(fx),fx,0)),INDEX(fx,MATCH(mf,fz,0))))),"-"))</f>
        <v/>
      </c>
      <c r="I22" s="13">
        <f>IF($A22="","",IFERROR(LET(fz,FILTER(SAISIE!$E$5:$E$504,(VALUE(TRIM(LEFT(SAISIE!$A$5:$A$504,SEARCH("/",SAISIE!$A$5:$A$504&amp;"/")-1)))=$A22)*(ISNUMBER(SEARCH("Vent D/G",SAISIE!$B$5:$B$504)))*(SAISIE!$E$5:$E$504&lt;&gt;"")),IF(COUNT(fz)=0,"-",IF(MIN(fz)&gt;=0,0,MIN(fz)))),"-"))</f>
        <v/>
      </c>
      <c r="J22" s="13">
        <f>IF($A22="","",IFERROR(LET(fx,FILTER(SAISIE!$C$5:$C$504,(VALUE(TRIM(LEFT(SAISIE!$A$5:$A$504,SEARCH("/",SAISIE!$A$5:$A$504&amp;"/")-1)))=$A22)*(ISNUMBER(SEARCH("Vent D/G",SAISIE!$B$5:$B$504)))*(SAISIE!$E$5:$E$504&lt;&gt;"")),fz,FILTER(SAISIE!$E$5:$E$504,(VALUE(TRIM(LEFT(SAISIE!$A$5:$A$504,SEARCH("/",SAISIE!$A$5:$A$504&amp;"/")-1)))=$A22)*(ISNUMBER(SEARCH("Vent D/G",SAISIE!$B$5:$B$504)))*(SAISIE!$E$5:$E$504&lt;&gt;"")),Mf,MAX(fz),INDEX(fx,MATCH(Mf,fz,0))),"-"))</f>
        <v/>
      </c>
      <c r="K22" s="13">
        <f>IF($A22="","",IFERROR(LET(fz,FILTER(SAISIE!$E$5:$E$504,(VALUE(TRIM(LEFT(SAISIE!$A$5:$A$504,SEARCH("/",SAISIE!$A$5:$A$504&amp;"/")-1)))=$A22)*(ISNUMBER(SEARCH("Vent D/G",SAISIE!$B$5:$B$504)))*(SAISIE!$E$5:$E$504&lt;&gt;"")),IF(COUNT(fz)=0,"-",MAX(fz))),"-"))</f>
        <v/>
      </c>
      <c r="L22" s="13">
        <f>IF($A22="","",IFERROR(LET(v,FILTER(SAISIE!$C$5:$C$504,(VALUE(TRIM(LEFT(SAISIE!$A$5:$A$504,SEARCH("/",SAISIE!$A$5:$A$504&amp;"/")-1)))=$A22)*(ISNUMBER(SEARCH("Neige",SAISIE!$B$5:$B$504))*(NOT(ISNUMBER(SEARCH("accidentel",SAISIE!$B$5:$B$504)))))*(SAISIE!$E$5:$E$504&lt;&gt;"")),fz,FILTER(SAISIE!$E$5:$E$504,(VALUE(TRIM(LEFT(SAISIE!$A$5:$A$504,SEARCH("/",SAISIE!$A$5:$A$504&amp;"/")-1)))=$A22)*(ISNUMBER(SEARCH("Neige",SAISIE!$B$5:$B$504))*(NOT(ISNUMBER(SEARCH("accidentel",SAISIE!$B$5:$B$504)))))*(SAISIE!$E$5:$E$504&lt;&gt;"")),IF(COUNT(fz)=0,"-",INDEX(v,MATCH(MIN(fz),fz,0)))),"-"))</f>
        <v/>
      </c>
      <c r="M22" s="13">
        <f>IF($A22="","",IFERROR(LET(v,FILTER(SAISIE!$E$5:$E$504,(VALUE(TRIM(LEFT(SAISIE!$A$5:$A$504,SEARCH("/",SAISIE!$A$5:$A$504&amp;"/")-1)))=$A22)*(ISNUMBER(SEARCH("Neige",SAISIE!$B$5:$B$504))*(NOT(ISNUMBER(SEARCH("accidentel",SAISIE!$B$5:$B$504)))))*(SAISIE!$E$5:$E$504&lt;&gt;"")),IF(COUNT(v)=0,"-",MIN(v))),"-"))</f>
        <v/>
      </c>
      <c r="N22" s="13">
        <f>IF($A22="","",IFERROR(LET(v,FILTER(SAISIE!$C$5:$C$504,(VALUE(TRIM(LEFT(SAISIE!$A$5:$A$504,SEARCH("/",SAISIE!$A$5:$A$504&amp;"/")-1)))=$A22)*(ISNUMBER(SEARCH("accidentel",SAISIE!$B$5:$B$504)))*(SAISIE!$E$5:$E$504&lt;&gt;"")),IF(COUNT(v)=0,"-",INDEX(v,1))),"-"))</f>
        <v/>
      </c>
      <c r="O22" s="13">
        <f>IF($A22="","",IFERROR(LET(v,FILTER(SAISIE!$E$5:$E$504,(VALUE(TRIM(LEFT(SAISIE!$A$5:$A$504,SEARCH("/",SAISIE!$A$5:$A$504&amp;"/")-1)))=$A22)*(ISNUMBER(SEARCH("accidentel",SAISIE!$B$5:$B$504)))*(SAISIE!$E$5:$E$504&lt;&gt;"")),IF(COUNT(v)=0,"-",INDEX(v,1))),"-"))</f>
        <v/>
      </c>
    </row>
    <row r="23">
      <c r="A23" s="14">
        <f>IFERROR(INDEX(IFERROR(UNIQUE(FILTER(VALUE(TRIM(LEFT(SAISIE!$A$5:$A$504,SEARCH("/",SAISIE!$A$5:$A$504&amp;"/")-1))),SAISIE!$A$5:$A$504&lt;&gt;"")),""),19),"")</f>
        <v/>
      </c>
      <c r="B23" s="13">
        <f>IF($A23="","",IFERROR(LET(v,FILTER(SAISIE!$C$5:$C$504,(VALUE(TRIM(LEFT(SAISIE!$A$5:$A$504,SEARCH("/",SAISIE!$A$5:$A$504&amp;"/")-1)))=$A23)*(OR(ISNUMBER(SEARCH("Couverture",SAISIE!$B$5:$B$504)),LEFT(SAISIE!$B$5:$B$504,2)="G "))),IF(COUNT(v)=0,"-",INDEX(v,1))),"-"))</f>
        <v/>
      </c>
      <c r="C23" s="13">
        <f>IF($A23="","",IFERROR(LET(v,FILTER(SAISIE!$E$5:$E$504,(VALUE(TRIM(LEFT(SAISIE!$A$5:$A$504,SEARCH("/",SAISIE!$A$5:$A$504&amp;"/")-1)))=$A23)*(OR(ISNUMBER(SEARCH("Couverture",SAISIE!$B$5:$B$504)),LEFT(SAISIE!$B$5:$B$504,2)="G "))),IF(COUNT(v)=0,"-",INDEX(v,1))),"-"))</f>
        <v/>
      </c>
      <c r="D23" s="13">
        <f>IF($A23="","",IFERROR(LET(fx,FILTER(SAISIE!$C$5:$C$504,(VALUE(TRIM(LEFT(SAISIE!$A$5:$A$504,SEARCH("/",SAISIE!$A$5:$A$504&amp;"/")-1)))=$A23)*(ISNUMBER(SEARCH("Vent G/D",SAISIE!$B$5:$B$504)))*(SAISIE!$E$5:$E$504&lt;&gt;"")),fz,FILTER(SAISIE!$E$5:$E$504,(VALUE(TRIM(LEFT(SAISIE!$A$5:$A$504,SEARCH("/",SAISIE!$A$5:$A$504&amp;"/")-1)))=$A23)*(ISNUMBER(SEARCH("Vent G/D",SAISIE!$B$5:$B$504)))*(SAISIE!$E$5:$E$504&lt;&gt;"")),mf,MIN(fz),IF(COUNT(fz)=0,"-",IF(MIN(fz)&gt;=0,INDEX(fx,MATCH(MAX(fx),fx,0)),INDEX(fx,MATCH(mf,fz,0))))),"-"))</f>
        <v/>
      </c>
      <c r="E23" s="13">
        <f>IF($A23="","",IFERROR(LET(fz,FILTER(SAISIE!$E$5:$E$504,(VALUE(TRIM(LEFT(SAISIE!$A$5:$A$504,SEARCH("/",SAISIE!$A$5:$A$504&amp;"/")-1)))=$A23)*(ISNUMBER(SEARCH("Vent G/D",SAISIE!$B$5:$B$504)))*(SAISIE!$E$5:$E$504&lt;&gt;"")),IF(COUNT(fz)=0,"-",IF(MIN(fz)&gt;=0,0,MIN(fz)))),"-"))</f>
        <v/>
      </c>
      <c r="F23" s="13">
        <f>IF($A23="","",IFERROR(LET(fx,FILTER(SAISIE!$C$5:$C$504,(VALUE(TRIM(LEFT(SAISIE!$A$5:$A$504,SEARCH("/",SAISIE!$A$5:$A$504&amp;"/")-1)))=$A23)*(ISNUMBER(SEARCH("Vent G/D",SAISIE!$B$5:$B$504)))*(SAISIE!$E$5:$E$504&lt;&gt;"")),fz,FILTER(SAISIE!$E$5:$E$504,(VALUE(TRIM(LEFT(SAISIE!$A$5:$A$504,SEARCH("/",SAISIE!$A$5:$A$504&amp;"/")-1)))=$A23)*(ISNUMBER(SEARCH("Vent G/D",SAISIE!$B$5:$B$504)))*(SAISIE!$E$5:$E$504&lt;&gt;"")),Mf,MAX(fz),INDEX(fx,MATCH(Mf,fz,0))),"-"))</f>
        <v/>
      </c>
      <c r="G23" s="13">
        <f>IF($A23="","",IFERROR(LET(fz,FILTER(SAISIE!$E$5:$E$504,(VALUE(TRIM(LEFT(SAISIE!$A$5:$A$504,SEARCH("/",SAISIE!$A$5:$A$504&amp;"/")-1)))=$A23)*(ISNUMBER(SEARCH("Vent G/D",SAISIE!$B$5:$B$504)))*(SAISIE!$E$5:$E$504&lt;&gt;"")),IF(COUNT(fz)=0,"-",MAX(fz))),"-"))</f>
        <v/>
      </c>
      <c r="H23" s="13">
        <f>IF($A23="","",IFERROR(LET(fx,FILTER(SAISIE!$C$5:$C$504,(VALUE(TRIM(LEFT(SAISIE!$A$5:$A$504,SEARCH("/",SAISIE!$A$5:$A$504&amp;"/")-1)))=$A23)*(ISNUMBER(SEARCH("Vent D/G",SAISIE!$B$5:$B$504)))*(SAISIE!$E$5:$E$504&lt;&gt;"")),fz,FILTER(SAISIE!$E$5:$E$504,(VALUE(TRIM(LEFT(SAISIE!$A$5:$A$504,SEARCH("/",SAISIE!$A$5:$A$504&amp;"/")-1)))=$A23)*(ISNUMBER(SEARCH("Vent D/G",SAISIE!$B$5:$B$504)))*(SAISIE!$E$5:$E$504&lt;&gt;"")),mf,MIN(fz),IF(COUNT(fz)=0,"-",IF(MIN(fz)&gt;=0,INDEX(fx,MATCH(MAX(fx),fx,0)),INDEX(fx,MATCH(mf,fz,0))))),"-"))</f>
        <v/>
      </c>
      <c r="I23" s="13">
        <f>IF($A23="","",IFERROR(LET(fz,FILTER(SAISIE!$E$5:$E$504,(VALUE(TRIM(LEFT(SAISIE!$A$5:$A$504,SEARCH("/",SAISIE!$A$5:$A$504&amp;"/")-1)))=$A23)*(ISNUMBER(SEARCH("Vent D/G",SAISIE!$B$5:$B$504)))*(SAISIE!$E$5:$E$504&lt;&gt;"")),IF(COUNT(fz)=0,"-",IF(MIN(fz)&gt;=0,0,MIN(fz)))),"-"))</f>
        <v/>
      </c>
      <c r="J23" s="13">
        <f>IF($A23="","",IFERROR(LET(fx,FILTER(SAISIE!$C$5:$C$504,(VALUE(TRIM(LEFT(SAISIE!$A$5:$A$504,SEARCH("/",SAISIE!$A$5:$A$504&amp;"/")-1)))=$A23)*(ISNUMBER(SEARCH("Vent D/G",SAISIE!$B$5:$B$504)))*(SAISIE!$E$5:$E$504&lt;&gt;"")),fz,FILTER(SAISIE!$E$5:$E$504,(VALUE(TRIM(LEFT(SAISIE!$A$5:$A$504,SEARCH("/",SAISIE!$A$5:$A$504&amp;"/")-1)))=$A23)*(ISNUMBER(SEARCH("Vent D/G",SAISIE!$B$5:$B$504)))*(SAISIE!$E$5:$E$504&lt;&gt;"")),Mf,MAX(fz),INDEX(fx,MATCH(Mf,fz,0))),"-"))</f>
        <v/>
      </c>
      <c r="K23" s="13">
        <f>IF($A23="","",IFERROR(LET(fz,FILTER(SAISIE!$E$5:$E$504,(VALUE(TRIM(LEFT(SAISIE!$A$5:$A$504,SEARCH("/",SAISIE!$A$5:$A$504&amp;"/")-1)))=$A23)*(ISNUMBER(SEARCH("Vent D/G",SAISIE!$B$5:$B$504)))*(SAISIE!$E$5:$E$504&lt;&gt;"")),IF(COUNT(fz)=0,"-",MAX(fz))),"-"))</f>
        <v/>
      </c>
      <c r="L23" s="13">
        <f>IF($A23="","",IFERROR(LET(v,FILTER(SAISIE!$C$5:$C$504,(VALUE(TRIM(LEFT(SAISIE!$A$5:$A$504,SEARCH("/",SAISIE!$A$5:$A$504&amp;"/")-1)))=$A23)*(ISNUMBER(SEARCH("Neige",SAISIE!$B$5:$B$504))*(NOT(ISNUMBER(SEARCH("accidentel",SAISIE!$B$5:$B$504)))))*(SAISIE!$E$5:$E$504&lt;&gt;"")),fz,FILTER(SAISIE!$E$5:$E$504,(VALUE(TRIM(LEFT(SAISIE!$A$5:$A$504,SEARCH("/",SAISIE!$A$5:$A$504&amp;"/")-1)))=$A23)*(ISNUMBER(SEARCH("Neige",SAISIE!$B$5:$B$504))*(NOT(ISNUMBER(SEARCH("accidentel",SAISIE!$B$5:$B$504)))))*(SAISIE!$E$5:$E$504&lt;&gt;"")),IF(COUNT(fz)=0,"-",INDEX(v,MATCH(MIN(fz),fz,0)))),"-"))</f>
        <v/>
      </c>
      <c r="M23" s="13">
        <f>IF($A23="","",IFERROR(LET(v,FILTER(SAISIE!$E$5:$E$504,(VALUE(TRIM(LEFT(SAISIE!$A$5:$A$504,SEARCH("/",SAISIE!$A$5:$A$504&amp;"/")-1)))=$A23)*(ISNUMBER(SEARCH("Neige",SAISIE!$B$5:$B$504))*(NOT(ISNUMBER(SEARCH("accidentel",SAISIE!$B$5:$B$504)))))*(SAISIE!$E$5:$E$504&lt;&gt;"")),IF(COUNT(v)=0,"-",MIN(v))),"-"))</f>
        <v/>
      </c>
      <c r="N23" s="13">
        <f>IF($A23="","",IFERROR(LET(v,FILTER(SAISIE!$C$5:$C$504,(VALUE(TRIM(LEFT(SAISIE!$A$5:$A$504,SEARCH("/",SAISIE!$A$5:$A$504&amp;"/")-1)))=$A23)*(ISNUMBER(SEARCH("accidentel",SAISIE!$B$5:$B$504)))*(SAISIE!$E$5:$E$504&lt;&gt;"")),IF(COUNT(v)=0,"-",INDEX(v,1))),"-"))</f>
        <v/>
      </c>
      <c r="O23" s="13">
        <f>IF($A23="","",IFERROR(LET(v,FILTER(SAISIE!$E$5:$E$504,(VALUE(TRIM(LEFT(SAISIE!$A$5:$A$504,SEARCH("/",SAISIE!$A$5:$A$504&amp;"/")-1)))=$A23)*(ISNUMBER(SEARCH("accidentel",SAISIE!$B$5:$B$504)))*(SAISIE!$E$5:$E$504&lt;&gt;"")),IF(COUNT(v)=0,"-",INDEX(v,1))),"-"))</f>
        <v/>
      </c>
    </row>
    <row r="24">
      <c r="A24" s="14">
        <f>IFERROR(INDEX(IFERROR(UNIQUE(FILTER(VALUE(TRIM(LEFT(SAISIE!$A$5:$A$504,SEARCH("/",SAISIE!$A$5:$A$504&amp;"/")-1))),SAISIE!$A$5:$A$504&lt;&gt;"")),""),20),"")</f>
        <v/>
      </c>
      <c r="B24" s="13">
        <f>IF($A24="","",IFERROR(LET(v,FILTER(SAISIE!$C$5:$C$504,(VALUE(TRIM(LEFT(SAISIE!$A$5:$A$504,SEARCH("/",SAISIE!$A$5:$A$504&amp;"/")-1)))=$A24)*(OR(ISNUMBER(SEARCH("Couverture",SAISIE!$B$5:$B$504)),LEFT(SAISIE!$B$5:$B$504,2)="G "))),IF(COUNT(v)=0,"-",INDEX(v,1))),"-"))</f>
        <v/>
      </c>
      <c r="C24" s="13">
        <f>IF($A24="","",IFERROR(LET(v,FILTER(SAISIE!$E$5:$E$504,(VALUE(TRIM(LEFT(SAISIE!$A$5:$A$504,SEARCH("/",SAISIE!$A$5:$A$504&amp;"/")-1)))=$A24)*(OR(ISNUMBER(SEARCH("Couverture",SAISIE!$B$5:$B$504)),LEFT(SAISIE!$B$5:$B$504,2)="G "))),IF(COUNT(v)=0,"-",INDEX(v,1))),"-"))</f>
        <v/>
      </c>
      <c r="D24" s="13">
        <f>IF($A24="","",IFERROR(LET(fx,FILTER(SAISIE!$C$5:$C$504,(VALUE(TRIM(LEFT(SAISIE!$A$5:$A$504,SEARCH("/",SAISIE!$A$5:$A$504&amp;"/")-1)))=$A24)*(ISNUMBER(SEARCH("Vent G/D",SAISIE!$B$5:$B$504)))*(SAISIE!$E$5:$E$504&lt;&gt;"")),fz,FILTER(SAISIE!$E$5:$E$504,(VALUE(TRIM(LEFT(SAISIE!$A$5:$A$504,SEARCH("/",SAISIE!$A$5:$A$504&amp;"/")-1)))=$A24)*(ISNUMBER(SEARCH("Vent G/D",SAISIE!$B$5:$B$504)))*(SAISIE!$E$5:$E$504&lt;&gt;"")),mf,MIN(fz),IF(COUNT(fz)=0,"-",IF(MIN(fz)&gt;=0,INDEX(fx,MATCH(MAX(fx),fx,0)),INDEX(fx,MATCH(mf,fz,0))))),"-"))</f>
        <v/>
      </c>
      <c r="E24" s="13">
        <f>IF($A24="","",IFERROR(LET(fz,FILTER(SAISIE!$E$5:$E$504,(VALUE(TRIM(LEFT(SAISIE!$A$5:$A$504,SEARCH("/",SAISIE!$A$5:$A$504&amp;"/")-1)))=$A24)*(ISNUMBER(SEARCH("Vent G/D",SAISIE!$B$5:$B$504)))*(SAISIE!$E$5:$E$504&lt;&gt;"")),IF(COUNT(fz)=0,"-",IF(MIN(fz)&gt;=0,0,MIN(fz)))),"-"))</f>
        <v/>
      </c>
      <c r="F24" s="13">
        <f>IF($A24="","",IFERROR(LET(fx,FILTER(SAISIE!$C$5:$C$504,(VALUE(TRIM(LEFT(SAISIE!$A$5:$A$504,SEARCH("/",SAISIE!$A$5:$A$504&amp;"/")-1)))=$A24)*(ISNUMBER(SEARCH("Vent G/D",SAISIE!$B$5:$B$504)))*(SAISIE!$E$5:$E$504&lt;&gt;"")),fz,FILTER(SAISIE!$E$5:$E$504,(VALUE(TRIM(LEFT(SAISIE!$A$5:$A$504,SEARCH("/",SAISIE!$A$5:$A$504&amp;"/")-1)))=$A24)*(ISNUMBER(SEARCH("Vent G/D",SAISIE!$B$5:$B$504)))*(SAISIE!$E$5:$E$504&lt;&gt;"")),Mf,MAX(fz),INDEX(fx,MATCH(Mf,fz,0))),"-"))</f>
        <v/>
      </c>
      <c r="G24" s="13">
        <f>IF($A24="","",IFERROR(LET(fz,FILTER(SAISIE!$E$5:$E$504,(VALUE(TRIM(LEFT(SAISIE!$A$5:$A$504,SEARCH("/",SAISIE!$A$5:$A$504&amp;"/")-1)))=$A24)*(ISNUMBER(SEARCH("Vent G/D",SAISIE!$B$5:$B$504)))*(SAISIE!$E$5:$E$504&lt;&gt;"")),IF(COUNT(fz)=0,"-",MAX(fz))),"-"))</f>
        <v/>
      </c>
      <c r="H24" s="13">
        <f>IF($A24="","",IFERROR(LET(fx,FILTER(SAISIE!$C$5:$C$504,(VALUE(TRIM(LEFT(SAISIE!$A$5:$A$504,SEARCH("/",SAISIE!$A$5:$A$504&amp;"/")-1)))=$A24)*(ISNUMBER(SEARCH("Vent D/G",SAISIE!$B$5:$B$504)))*(SAISIE!$E$5:$E$504&lt;&gt;"")),fz,FILTER(SAISIE!$E$5:$E$504,(VALUE(TRIM(LEFT(SAISIE!$A$5:$A$504,SEARCH("/",SAISIE!$A$5:$A$504&amp;"/")-1)))=$A24)*(ISNUMBER(SEARCH("Vent D/G",SAISIE!$B$5:$B$504)))*(SAISIE!$E$5:$E$504&lt;&gt;"")),mf,MIN(fz),IF(COUNT(fz)=0,"-",IF(MIN(fz)&gt;=0,INDEX(fx,MATCH(MAX(fx),fx,0)),INDEX(fx,MATCH(mf,fz,0))))),"-"))</f>
        <v/>
      </c>
      <c r="I24" s="13">
        <f>IF($A24="","",IFERROR(LET(fz,FILTER(SAISIE!$E$5:$E$504,(VALUE(TRIM(LEFT(SAISIE!$A$5:$A$504,SEARCH("/",SAISIE!$A$5:$A$504&amp;"/")-1)))=$A24)*(ISNUMBER(SEARCH("Vent D/G",SAISIE!$B$5:$B$504)))*(SAISIE!$E$5:$E$504&lt;&gt;"")),IF(COUNT(fz)=0,"-",IF(MIN(fz)&gt;=0,0,MIN(fz)))),"-"))</f>
        <v/>
      </c>
      <c r="J24" s="13">
        <f>IF($A24="","",IFERROR(LET(fx,FILTER(SAISIE!$C$5:$C$504,(VALUE(TRIM(LEFT(SAISIE!$A$5:$A$504,SEARCH("/",SAISIE!$A$5:$A$504&amp;"/")-1)))=$A24)*(ISNUMBER(SEARCH("Vent D/G",SAISIE!$B$5:$B$504)))*(SAISIE!$E$5:$E$504&lt;&gt;"")),fz,FILTER(SAISIE!$E$5:$E$504,(VALUE(TRIM(LEFT(SAISIE!$A$5:$A$504,SEARCH("/",SAISIE!$A$5:$A$504&amp;"/")-1)))=$A24)*(ISNUMBER(SEARCH("Vent D/G",SAISIE!$B$5:$B$504)))*(SAISIE!$E$5:$E$504&lt;&gt;"")),Mf,MAX(fz),INDEX(fx,MATCH(Mf,fz,0))),"-"))</f>
        <v/>
      </c>
      <c r="K24" s="13">
        <f>IF($A24="","",IFERROR(LET(fz,FILTER(SAISIE!$E$5:$E$504,(VALUE(TRIM(LEFT(SAISIE!$A$5:$A$504,SEARCH("/",SAISIE!$A$5:$A$504&amp;"/")-1)))=$A24)*(ISNUMBER(SEARCH("Vent D/G",SAISIE!$B$5:$B$504)))*(SAISIE!$E$5:$E$504&lt;&gt;"")),IF(COUNT(fz)=0,"-",MAX(fz))),"-"))</f>
        <v/>
      </c>
      <c r="L24" s="13">
        <f>IF($A24="","",IFERROR(LET(v,FILTER(SAISIE!$C$5:$C$504,(VALUE(TRIM(LEFT(SAISIE!$A$5:$A$504,SEARCH("/",SAISIE!$A$5:$A$504&amp;"/")-1)))=$A24)*(ISNUMBER(SEARCH("Neige",SAISIE!$B$5:$B$504))*(NOT(ISNUMBER(SEARCH("accidentel",SAISIE!$B$5:$B$504)))))*(SAISIE!$E$5:$E$504&lt;&gt;"")),fz,FILTER(SAISIE!$E$5:$E$504,(VALUE(TRIM(LEFT(SAISIE!$A$5:$A$504,SEARCH("/",SAISIE!$A$5:$A$504&amp;"/")-1)))=$A24)*(ISNUMBER(SEARCH("Neige",SAISIE!$B$5:$B$504))*(NOT(ISNUMBER(SEARCH("accidentel",SAISIE!$B$5:$B$504)))))*(SAISIE!$E$5:$E$504&lt;&gt;"")),IF(COUNT(fz)=0,"-",INDEX(v,MATCH(MIN(fz),fz,0)))),"-"))</f>
        <v/>
      </c>
      <c r="M24" s="13">
        <f>IF($A24="","",IFERROR(LET(v,FILTER(SAISIE!$E$5:$E$504,(VALUE(TRIM(LEFT(SAISIE!$A$5:$A$504,SEARCH("/",SAISIE!$A$5:$A$504&amp;"/")-1)))=$A24)*(ISNUMBER(SEARCH("Neige",SAISIE!$B$5:$B$504))*(NOT(ISNUMBER(SEARCH("accidentel",SAISIE!$B$5:$B$504)))))*(SAISIE!$E$5:$E$504&lt;&gt;"")),IF(COUNT(v)=0,"-",MIN(v))),"-"))</f>
        <v/>
      </c>
      <c r="N24" s="13">
        <f>IF($A24="","",IFERROR(LET(v,FILTER(SAISIE!$C$5:$C$504,(VALUE(TRIM(LEFT(SAISIE!$A$5:$A$504,SEARCH("/",SAISIE!$A$5:$A$504&amp;"/")-1)))=$A24)*(ISNUMBER(SEARCH("accidentel",SAISIE!$B$5:$B$504)))*(SAISIE!$E$5:$E$504&lt;&gt;"")),IF(COUNT(v)=0,"-",INDEX(v,1))),"-"))</f>
        <v/>
      </c>
      <c r="O24" s="13">
        <f>IF($A24="","",IFERROR(LET(v,FILTER(SAISIE!$E$5:$E$504,(VALUE(TRIM(LEFT(SAISIE!$A$5:$A$504,SEARCH("/",SAISIE!$A$5:$A$504&amp;"/")-1)))=$A24)*(ISNUMBER(SEARCH("accidentel",SAISIE!$B$5:$B$504)))*(SAISIE!$E$5:$E$504&lt;&gt;"")),IF(COUNT(v)=0,"-",INDEX(v,1))),"-"))</f>
        <v/>
      </c>
    </row>
    <row r="25">
      <c r="A25" s="14">
        <f>IFERROR(INDEX(IFERROR(UNIQUE(FILTER(VALUE(TRIM(LEFT(SAISIE!$A$5:$A$504,SEARCH("/",SAISIE!$A$5:$A$504&amp;"/")-1))),SAISIE!$A$5:$A$504&lt;&gt;"")),""),21),"")</f>
        <v/>
      </c>
      <c r="B25" s="13">
        <f>IF($A25="","",IFERROR(LET(v,FILTER(SAISIE!$C$5:$C$504,(VALUE(TRIM(LEFT(SAISIE!$A$5:$A$504,SEARCH("/",SAISIE!$A$5:$A$504&amp;"/")-1)))=$A25)*(OR(ISNUMBER(SEARCH("Couverture",SAISIE!$B$5:$B$504)),LEFT(SAISIE!$B$5:$B$504,2)="G "))),IF(COUNT(v)=0,"-",INDEX(v,1))),"-"))</f>
        <v/>
      </c>
      <c r="C25" s="13">
        <f>IF($A25="","",IFERROR(LET(v,FILTER(SAISIE!$E$5:$E$504,(VALUE(TRIM(LEFT(SAISIE!$A$5:$A$504,SEARCH("/",SAISIE!$A$5:$A$504&amp;"/")-1)))=$A25)*(OR(ISNUMBER(SEARCH("Couverture",SAISIE!$B$5:$B$504)),LEFT(SAISIE!$B$5:$B$504,2)="G "))),IF(COUNT(v)=0,"-",INDEX(v,1))),"-"))</f>
        <v/>
      </c>
      <c r="D25" s="13">
        <f>IF($A25="","",IFERROR(LET(fx,FILTER(SAISIE!$C$5:$C$504,(VALUE(TRIM(LEFT(SAISIE!$A$5:$A$504,SEARCH("/",SAISIE!$A$5:$A$504&amp;"/")-1)))=$A25)*(ISNUMBER(SEARCH("Vent G/D",SAISIE!$B$5:$B$504)))*(SAISIE!$E$5:$E$504&lt;&gt;"")),fz,FILTER(SAISIE!$E$5:$E$504,(VALUE(TRIM(LEFT(SAISIE!$A$5:$A$504,SEARCH("/",SAISIE!$A$5:$A$504&amp;"/")-1)))=$A25)*(ISNUMBER(SEARCH("Vent G/D",SAISIE!$B$5:$B$504)))*(SAISIE!$E$5:$E$504&lt;&gt;"")),mf,MIN(fz),IF(COUNT(fz)=0,"-",IF(MIN(fz)&gt;=0,INDEX(fx,MATCH(MAX(fx),fx,0)),INDEX(fx,MATCH(mf,fz,0))))),"-"))</f>
        <v/>
      </c>
      <c r="E25" s="13">
        <f>IF($A25="","",IFERROR(LET(fz,FILTER(SAISIE!$E$5:$E$504,(VALUE(TRIM(LEFT(SAISIE!$A$5:$A$504,SEARCH("/",SAISIE!$A$5:$A$504&amp;"/")-1)))=$A25)*(ISNUMBER(SEARCH("Vent G/D",SAISIE!$B$5:$B$504)))*(SAISIE!$E$5:$E$504&lt;&gt;"")),IF(COUNT(fz)=0,"-",IF(MIN(fz)&gt;=0,0,MIN(fz)))),"-"))</f>
        <v/>
      </c>
      <c r="F25" s="13">
        <f>IF($A25="","",IFERROR(LET(fx,FILTER(SAISIE!$C$5:$C$504,(VALUE(TRIM(LEFT(SAISIE!$A$5:$A$504,SEARCH("/",SAISIE!$A$5:$A$504&amp;"/")-1)))=$A25)*(ISNUMBER(SEARCH("Vent G/D",SAISIE!$B$5:$B$504)))*(SAISIE!$E$5:$E$504&lt;&gt;"")),fz,FILTER(SAISIE!$E$5:$E$504,(VALUE(TRIM(LEFT(SAISIE!$A$5:$A$504,SEARCH("/",SAISIE!$A$5:$A$504&amp;"/")-1)))=$A25)*(ISNUMBER(SEARCH("Vent G/D",SAISIE!$B$5:$B$504)))*(SAISIE!$E$5:$E$504&lt;&gt;"")),Mf,MAX(fz),INDEX(fx,MATCH(Mf,fz,0))),"-"))</f>
        <v/>
      </c>
      <c r="G25" s="13">
        <f>IF($A25="","",IFERROR(LET(fz,FILTER(SAISIE!$E$5:$E$504,(VALUE(TRIM(LEFT(SAISIE!$A$5:$A$504,SEARCH("/",SAISIE!$A$5:$A$504&amp;"/")-1)))=$A25)*(ISNUMBER(SEARCH("Vent G/D",SAISIE!$B$5:$B$504)))*(SAISIE!$E$5:$E$504&lt;&gt;"")),IF(COUNT(fz)=0,"-",MAX(fz))),"-"))</f>
        <v/>
      </c>
      <c r="H25" s="13">
        <f>IF($A25="","",IFERROR(LET(fx,FILTER(SAISIE!$C$5:$C$504,(VALUE(TRIM(LEFT(SAISIE!$A$5:$A$504,SEARCH("/",SAISIE!$A$5:$A$504&amp;"/")-1)))=$A25)*(ISNUMBER(SEARCH("Vent D/G",SAISIE!$B$5:$B$504)))*(SAISIE!$E$5:$E$504&lt;&gt;"")),fz,FILTER(SAISIE!$E$5:$E$504,(VALUE(TRIM(LEFT(SAISIE!$A$5:$A$504,SEARCH("/",SAISIE!$A$5:$A$504&amp;"/")-1)))=$A25)*(ISNUMBER(SEARCH("Vent D/G",SAISIE!$B$5:$B$504)))*(SAISIE!$E$5:$E$504&lt;&gt;"")),mf,MIN(fz),IF(COUNT(fz)=0,"-",IF(MIN(fz)&gt;=0,INDEX(fx,MATCH(MAX(fx),fx,0)),INDEX(fx,MATCH(mf,fz,0))))),"-"))</f>
        <v/>
      </c>
      <c r="I25" s="13">
        <f>IF($A25="","",IFERROR(LET(fz,FILTER(SAISIE!$E$5:$E$504,(VALUE(TRIM(LEFT(SAISIE!$A$5:$A$504,SEARCH("/",SAISIE!$A$5:$A$504&amp;"/")-1)))=$A25)*(ISNUMBER(SEARCH("Vent D/G",SAISIE!$B$5:$B$504)))*(SAISIE!$E$5:$E$504&lt;&gt;"")),IF(COUNT(fz)=0,"-",IF(MIN(fz)&gt;=0,0,MIN(fz)))),"-"))</f>
        <v/>
      </c>
      <c r="J25" s="13">
        <f>IF($A25="","",IFERROR(LET(fx,FILTER(SAISIE!$C$5:$C$504,(VALUE(TRIM(LEFT(SAISIE!$A$5:$A$504,SEARCH("/",SAISIE!$A$5:$A$504&amp;"/")-1)))=$A25)*(ISNUMBER(SEARCH("Vent D/G",SAISIE!$B$5:$B$504)))*(SAISIE!$E$5:$E$504&lt;&gt;"")),fz,FILTER(SAISIE!$E$5:$E$504,(VALUE(TRIM(LEFT(SAISIE!$A$5:$A$504,SEARCH("/",SAISIE!$A$5:$A$504&amp;"/")-1)))=$A25)*(ISNUMBER(SEARCH("Vent D/G",SAISIE!$B$5:$B$504)))*(SAISIE!$E$5:$E$504&lt;&gt;"")),Mf,MAX(fz),INDEX(fx,MATCH(Mf,fz,0))),"-"))</f>
        <v/>
      </c>
      <c r="K25" s="13">
        <f>IF($A25="","",IFERROR(LET(fz,FILTER(SAISIE!$E$5:$E$504,(VALUE(TRIM(LEFT(SAISIE!$A$5:$A$504,SEARCH("/",SAISIE!$A$5:$A$504&amp;"/")-1)))=$A25)*(ISNUMBER(SEARCH("Vent D/G",SAISIE!$B$5:$B$504)))*(SAISIE!$E$5:$E$504&lt;&gt;"")),IF(COUNT(fz)=0,"-",MAX(fz))),"-"))</f>
        <v/>
      </c>
      <c r="L25" s="13">
        <f>IF($A25="","",IFERROR(LET(v,FILTER(SAISIE!$C$5:$C$504,(VALUE(TRIM(LEFT(SAISIE!$A$5:$A$504,SEARCH("/",SAISIE!$A$5:$A$504&amp;"/")-1)))=$A25)*(ISNUMBER(SEARCH("Neige",SAISIE!$B$5:$B$504))*(NOT(ISNUMBER(SEARCH("accidentel",SAISIE!$B$5:$B$504)))))*(SAISIE!$E$5:$E$504&lt;&gt;"")),fz,FILTER(SAISIE!$E$5:$E$504,(VALUE(TRIM(LEFT(SAISIE!$A$5:$A$504,SEARCH("/",SAISIE!$A$5:$A$504&amp;"/")-1)))=$A25)*(ISNUMBER(SEARCH("Neige",SAISIE!$B$5:$B$504))*(NOT(ISNUMBER(SEARCH("accidentel",SAISIE!$B$5:$B$504)))))*(SAISIE!$E$5:$E$504&lt;&gt;"")),IF(COUNT(fz)=0,"-",INDEX(v,MATCH(MIN(fz),fz,0)))),"-"))</f>
        <v/>
      </c>
      <c r="M25" s="13">
        <f>IF($A25="","",IFERROR(LET(v,FILTER(SAISIE!$E$5:$E$504,(VALUE(TRIM(LEFT(SAISIE!$A$5:$A$504,SEARCH("/",SAISIE!$A$5:$A$504&amp;"/")-1)))=$A25)*(ISNUMBER(SEARCH("Neige",SAISIE!$B$5:$B$504))*(NOT(ISNUMBER(SEARCH("accidentel",SAISIE!$B$5:$B$504)))))*(SAISIE!$E$5:$E$504&lt;&gt;"")),IF(COUNT(v)=0,"-",MIN(v))),"-"))</f>
        <v/>
      </c>
      <c r="N25" s="13">
        <f>IF($A25="","",IFERROR(LET(v,FILTER(SAISIE!$C$5:$C$504,(VALUE(TRIM(LEFT(SAISIE!$A$5:$A$504,SEARCH("/",SAISIE!$A$5:$A$504&amp;"/")-1)))=$A25)*(ISNUMBER(SEARCH("accidentel",SAISIE!$B$5:$B$504)))*(SAISIE!$E$5:$E$504&lt;&gt;"")),IF(COUNT(v)=0,"-",INDEX(v,1))),"-"))</f>
        <v/>
      </c>
      <c r="O25" s="13">
        <f>IF($A25="","",IFERROR(LET(v,FILTER(SAISIE!$E$5:$E$504,(VALUE(TRIM(LEFT(SAISIE!$A$5:$A$504,SEARCH("/",SAISIE!$A$5:$A$504&amp;"/")-1)))=$A25)*(ISNUMBER(SEARCH("accidentel",SAISIE!$B$5:$B$504)))*(SAISIE!$E$5:$E$504&lt;&gt;"")),IF(COUNT(v)=0,"-",INDEX(v,1))),"-"))</f>
        <v/>
      </c>
    </row>
    <row r="26">
      <c r="A26" s="14">
        <f>IFERROR(INDEX(IFERROR(UNIQUE(FILTER(VALUE(TRIM(LEFT(SAISIE!$A$5:$A$504,SEARCH("/",SAISIE!$A$5:$A$504&amp;"/")-1))),SAISIE!$A$5:$A$504&lt;&gt;"")),""),22),"")</f>
        <v/>
      </c>
      <c r="B26" s="13">
        <f>IF($A26="","",IFERROR(LET(v,FILTER(SAISIE!$C$5:$C$504,(VALUE(TRIM(LEFT(SAISIE!$A$5:$A$504,SEARCH("/",SAISIE!$A$5:$A$504&amp;"/")-1)))=$A26)*(OR(ISNUMBER(SEARCH("Couverture",SAISIE!$B$5:$B$504)),LEFT(SAISIE!$B$5:$B$504,2)="G "))),IF(COUNT(v)=0,"-",INDEX(v,1))),"-"))</f>
        <v/>
      </c>
      <c r="C26" s="13">
        <f>IF($A26="","",IFERROR(LET(v,FILTER(SAISIE!$E$5:$E$504,(VALUE(TRIM(LEFT(SAISIE!$A$5:$A$504,SEARCH("/",SAISIE!$A$5:$A$504&amp;"/")-1)))=$A26)*(OR(ISNUMBER(SEARCH("Couverture",SAISIE!$B$5:$B$504)),LEFT(SAISIE!$B$5:$B$504,2)="G "))),IF(COUNT(v)=0,"-",INDEX(v,1))),"-"))</f>
        <v/>
      </c>
      <c r="D26" s="13">
        <f>IF($A26="","",IFERROR(LET(fx,FILTER(SAISIE!$C$5:$C$504,(VALUE(TRIM(LEFT(SAISIE!$A$5:$A$504,SEARCH("/",SAISIE!$A$5:$A$504&amp;"/")-1)))=$A26)*(ISNUMBER(SEARCH("Vent G/D",SAISIE!$B$5:$B$504)))*(SAISIE!$E$5:$E$504&lt;&gt;"")),fz,FILTER(SAISIE!$E$5:$E$504,(VALUE(TRIM(LEFT(SAISIE!$A$5:$A$504,SEARCH("/",SAISIE!$A$5:$A$504&amp;"/")-1)))=$A26)*(ISNUMBER(SEARCH("Vent G/D",SAISIE!$B$5:$B$504)))*(SAISIE!$E$5:$E$504&lt;&gt;"")),mf,MIN(fz),IF(COUNT(fz)=0,"-",IF(MIN(fz)&gt;=0,INDEX(fx,MATCH(MAX(fx),fx,0)),INDEX(fx,MATCH(mf,fz,0))))),"-"))</f>
        <v/>
      </c>
      <c r="E26" s="13">
        <f>IF($A26="","",IFERROR(LET(fz,FILTER(SAISIE!$E$5:$E$504,(VALUE(TRIM(LEFT(SAISIE!$A$5:$A$504,SEARCH("/",SAISIE!$A$5:$A$504&amp;"/")-1)))=$A26)*(ISNUMBER(SEARCH("Vent G/D",SAISIE!$B$5:$B$504)))*(SAISIE!$E$5:$E$504&lt;&gt;"")),IF(COUNT(fz)=0,"-",IF(MIN(fz)&gt;=0,0,MIN(fz)))),"-"))</f>
        <v/>
      </c>
      <c r="F26" s="13">
        <f>IF($A26="","",IFERROR(LET(fx,FILTER(SAISIE!$C$5:$C$504,(VALUE(TRIM(LEFT(SAISIE!$A$5:$A$504,SEARCH("/",SAISIE!$A$5:$A$504&amp;"/")-1)))=$A26)*(ISNUMBER(SEARCH("Vent G/D",SAISIE!$B$5:$B$504)))*(SAISIE!$E$5:$E$504&lt;&gt;"")),fz,FILTER(SAISIE!$E$5:$E$504,(VALUE(TRIM(LEFT(SAISIE!$A$5:$A$504,SEARCH("/",SAISIE!$A$5:$A$504&amp;"/")-1)))=$A26)*(ISNUMBER(SEARCH("Vent G/D",SAISIE!$B$5:$B$504)))*(SAISIE!$E$5:$E$504&lt;&gt;"")),Mf,MAX(fz),INDEX(fx,MATCH(Mf,fz,0))),"-"))</f>
        <v/>
      </c>
      <c r="G26" s="13">
        <f>IF($A26="","",IFERROR(LET(fz,FILTER(SAISIE!$E$5:$E$504,(VALUE(TRIM(LEFT(SAISIE!$A$5:$A$504,SEARCH("/",SAISIE!$A$5:$A$504&amp;"/")-1)))=$A26)*(ISNUMBER(SEARCH("Vent G/D",SAISIE!$B$5:$B$504)))*(SAISIE!$E$5:$E$504&lt;&gt;"")),IF(COUNT(fz)=0,"-",MAX(fz))),"-"))</f>
        <v/>
      </c>
      <c r="H26" s="13">
        <f>IF($A26="","",IFERROR(LET(fx,FILTER(SAISIE!$C$5:$C$504,(VALUE(TRIM(LEFT(SAISIE!$A$5:$A$504,SEARCH("/",SAISIE!$A$5:$A$504&amp;"/")-1)))=$A26)*(ISNUMBER(SEARCH("Vent D/G",SAISIE!$B$5:$B$504)))*(SAISIE!$E$5:$E$504&lt;&gt;"")),fz,FILTER(SAISIE!$E$5:$E$504,(VALUE(TRIM(LEFT(SAISIE!$A$5:$A$504,SEARCH("/",SAISIE!$A$5:$A$504&amp;"/")-1)))=$A26)*(ISNUMBER(SEARCH("Vent D/G",SAISIE!$B$5:$B$504)))*(SAISIE!$E$5:$E$504&lt;&gt;"")),mf,MIN(fz),IF(COUNT(fz)=0,"-",IF(MIN(fz)&gt;=0,INDEX(fx,MATCH(MAX(fx),fx,0)),INDEX(fx,MATCH(mf,fz,0))))),"-"))</f>
        <v/>
      </c>
      <c r="I26" s="13">
        <f>IF($A26="","",IFERROR(LET(fz,FILTER(SAISIE!$E$5:$E$504,(VALUE(TRIM(LEFT(SAISIE!$A$5:$A$504,SEARCH("/",SAISIE!$A$5:$A$504&amp;"/")-1)))=$A26)*(ISNUMBER(SEARCH("Vent D/G",SAISIE!$B$5:$B$504)))*(SAISIE!$E$5:$E$504&lt;&gt;"")),IF(COUNT(fz)=0,"-",IF(MIN(fz)&gt;=0,0,MIN(fz)))),"-"))</f>
        <v/>
      </c>
      <c r="J26" s="13">
        <f>IF($A26="","",IFERROR(LET(fx,FILTER(SAISIE!$C$5:$C$504,(VALUE(TRIM(LEFT(SAISIE!$A$5:$A$504,SEARCH("/",SAISIE!$A$5:$A$504&amp;"/")-1)))=$A26)*(ISNUMBER(SEARCH("Vent D/G",SAISIE!$B$5:$B$504)))*(SAISIE!$E$5:$E$504&lt;&gt;"")),fz,FILTER(SAISIE!$E$5:$E$504,(VALUE(TRIM(LEFT(SAISIE!$A$5:$A$504,SEARCH("/",SAISIE!$A$5:$A$504&amp;"/")-1)))=$A26)*(ISNUMBER(SEARCH("Vent D/G",SAISIE!$B$5:$B$504)))*(SAISIE!$E$5:$E$504&lt;&gt;"")),Mf,MAX(fz),INDEX(fx,MATCH(Mf,fz,0))),"-"))</f>
        <v/>
      </c>
      <c r="K26" s="13">
        <f>IF($A26="","",IFERROR(LET(fz,FILTER(SAISIE!$E$5:$E$504,(VALUE(TRIM(LEFT(SAISIE!$A$5:$A$504,SEARCH("/",SAISIE!$A$5:$A$504&amp;"/")-1)))=$A26)*(ISNUMBER(SEARCH("Vent D/G",SAISIE!$B$5:$B$504)))*(SAISIE!$E$5:$E$504&lt;&gt;"")),IF(COUNT(fz)=0,"-",MAX(fz))),"-"))</f>
        <v/>
      </c>
      <c r="L26" s="13">
        <f>IF($A26="","",IFERROR(LET(v,FILTER(SAISIE!$C$5:$C$504,(VALUE(TRIM(LEFT(SAISIE!$A$5:$A$504,SEARCH("/",SAISIE!$A$5:$A$504&amp;"/")-1)))=$A26)*(ISNUMBER(SEARCH("Neige",SAISIE!$B$5:$B$504))*(NOT(ISNUMBER(SEARCH("accidentel",SAISIE!$B$5:$B$504)))))*(SAISIE!$E$5:$E$504&lt;&gt;"")),fz,FILTER(SAISIE!$E$5:$E$504,(VALUE(TRIM(LEFT(SAISIE!$A$5:$A$504,SEARCH("/",SAISIE!$A$5:$A$504&amp;"/")-1)))=$A26)*(ISNUMBER(SEARCH("Neige",SAISIE!$B$5:$B$504))*(NOT(ISNUMBER(SEARCH("accidentel",SAISIE!$B$5:$B$504)))))*(SAISIE!$E$5:$E$504&lt;&gt;"")),IF(COUNT(fz)=0,"-",INDEX(v,MATCH(MIN(fz),fz,0)))),"-"))</f>
        <v/>
      </c>
      <c r="M26" s="13">
        <f>IF($A26="","",IFERROR(LET(v,FILTER(SAISIE!$E$5:$E$504,(VALUE(TRIM(LEFT(SAISIE!$A$5:$A$504,SEARCH("/",SAISIE!$A$5:$A$504&amp;"/")-1)))=$A26)*(ISNUMBER(SEARCH("Neige",SAISIE!$B$5:$B$504))*(NOT(ISNUMBER(SEARCH("accidentel",SAISIE!$B$5:$B$504)))))*(SAISIE!$E$5:$E$504&lt;&gt;"")),IF(COUNT(v)=0,"-",MIN(v))),"-"))</f>
        <v/>
      </c>
      <c r="N26" s="13">
        <f>IF($A26="","",IFERROR(LET(v,FILTER(SAISIE!$C$5:$C$504,(VALUE(TRIM(LEFT(SAISIE!$A$5:$A$504,SEARCH("/",SAISIE!$A$5:$A$504&amp;"/")-1)))=$A26)*(ISNUMBER(SEARCH("accidentel",SAISIE!$B$5:$B$504)))*(SAISIE!$E$5:$E$504&lt;&gt;"")),IF(COUNT(v)=0,"-",INDEX(v,1))),"-"))</f>
        <v/>
      </c>
      <c r="O26" s="13">
        <f>IF($A26="","",IFERROR(LET(v,FILTER(SAISIE!$E$5:$E$504,(VALUE(TRIM(LEFT(SAISIE!$A$5:$A$504,SEARCH("/",SAISIE!$A$5:$A$504&amp;"/")-1)))=$A26)*(ISNUMBER(SEARCH("accidentel",SAISIE!$B$5:$B$504)))*(SAISIE!$E$5:$E$504&lt;&gt;"")),IF(COUNT(v)=0,"-",INDEX(v,1))),"-"))</f>
        <v/>
      </c>
    </row>
    <row r="27">
      <c r="A27" s="14">
        <f>IFERROR(INDEX(IFERROR(UNIQUE(FILTER(VALUE(TRIM(LEFT(SAISIE!$A$5:$A$504,SEARCH("/",SAISIE!$A$5:$A$504&amp;"/")-1))),SAISIE!$A$5:$A$504&lt;&gt;"")),""),23),"")</f>
        <v/>
      </c>
      <c r="B27" s="13">
        <f>IF($A27="","",IFERROR(LET(v,FILTER(SAISIE!$C$5:$C$504,(VALUE(TRIM(LEFT(SAISIE!$A$5:$A$504,SEARCH("/",SAISIE!$A$5:$A$504&amp;"/")-1)))=$A27)*(OR(ISNUMBER(SEARCH("Couverture",SAISIE!$B$5:$B$504)),LEFT(SAISIE!$B$5:$B$504,2)="G "))),IF(COUNT(v)=0,"-",INDEX(v,1))),"-"))</f>
        <v/>
      </c>
      <c r="C27" s="13">
        <f>IF($A27="","",IFERROR(LET(v,FILTER(SAISIE!$E$5:$E$504,(VALUE(TRIM(LEFT(SAISIE!$A$5:$A$504,SEARCH("/",SAISIE!$A$5:$A$504&amp;"/")-1)))=$A27)*(OR(ISNUMBER(SEARCH("Couverture",SAISIE!$B$5:$B$504)),LEFT(SAISIE!$B$5:$B$504,2)="G "))),IF(COUNT(v)=0,"-",INDEX(v,1))),"-"))</f>
        <v/>
      </c>
      <c r="D27" s="13">
        <f>IF($A27="","",IFERROR(LET(fx,FILTER(SAISIE!$C$5:$C$504,(VALUE(TRIM(LEFT(SAISIE!$A$5:$A$504,SEARCH("/",SAISIE!$A$5:$A$504&amp;"/")-1)))=$A27)*(ISNUMBER(SEARCH("Vent G/D",SAISIE!$B$5:$B$504)))*(SAISIE!$E$5:$E$504&lt;&gt;"")),fz,FILTER(SAISIE!$E$5:$E$504,(VALUE(TRIM(LEFT(SAISIE!$A$5:$A$504,SEARCH("/",SAISIE!$A$5:$A$504&amp;"/")-1)))=$A27)*(ISNUMBER(SEARCH("Vent G/D",SAISIE!$B$5:$B$504)))*(SAISIE!$E$5:$E$504&lt;&gt;"")),mf,MIN(fz),IF(COUNT(fz)=0,"-",IF(MIN(fz)&gt;=0,INDEX(fx,MATCH(MAX(fx),fx,0)),INDEX(fx,MATCH(mf,fz,0))))),"-"))</f>
        <v/>
      </c>
      <c r="E27" s="13">
        <f>IF($A27="","",IFERROR(LET(fz,FILTER(SAISIE!$E$5:$E$504,(VALUE(TRIM(LEFT(SAISIE!$A$5:$A$504,SEARCH("/",SAISIE!$A$5:$A$504&amp;"/")-1)))=$A27)*(ISNUMBER(SEARCH("Vent G/D",SAISIE!$B$5:$B$504)))*(SAISIE!$E$5:$E$504&lt;&gt;"")),IF(COUNT(fz)=0,"-",IF(MIN(fz)&gt;=0,0,MIN(fz)))),"-"))</f>
        <v/>
      </c>
      <c r="F27" s="13">
        <f>IF($A27="","",IFERROR(LET(fx,FILTER(SAISIE!$C$5:$C$504,(VALUE(TRIM(LEFT(SAISIE!$A$5:$A$504,SEARCH("/",SAISIE!$A$5:$A$504&amp;"/")-1)))=$A27)*(ISNUMBER(SEARCH("Vent G/D",SAISIE!$B$5:$B$504)))*(SAISIE!$E$5:$E$504&lt;&gt;"")),fz,FILTER(SAISIE!$E$5:$E$504,(VALUE(TRIM(LEFT(SAISIE!$A$5:$A$504,SEARCH("/",SAISIE!$A$5:$A$504&amp;"/")-1)))=$A27)*(ISNUMBER(SEARCH("Vent G/D",SAISIE!$B$5:$B$504)))*(SAISIE!$E$5:$E$504&lt;&gt;"")),Mf,MAX(fz),INDEX(fx,MATCH(Mf,fz,0))),"-"))</f>
        <v/>
      </c>
      <c r="G27" s="13">
        <f>IF($A27="","",IFERROR(LET(fz,FILTER(SAISIE!$E$5:$E$504,(VALUE(TRIM(LEFT(SAISIE!$A$5:$A$504,SEARCH("/",SAISIE!$A$5:$A$504&amp;"/")-1)))=$A27)*(ISNUMBER(SEARCH("Vent G/D",SAISIE!$B$5:$B$504)))*(SAISIE!$E$5:$E$504&lt;&gt;"")),IF(COUNT(fz)=0,"-",MAX(fz))),"-"))</f>
        <v/>
      </c>
      <c r="H27" s="13">
        <f>IF($A27="","",IFERROR(LET(fx,FILTER(SAISIE!$C$5:$C$504,(VALUE(TRIM(LEFT(SAISIE!$A$5:$A$504,SEARCH("/",SAISIE!$A$5:$A$504&amp;"/")-1)))=$A27)*(ISNUMBER(SEARCH("Vent D/G",SAISIE!$B$5:$B$504)))*(SAISIE!$E$5:$E$504&lt;&gt;"")),fz,FILTER(SAISIE!$E$5:$E$504,(VALUE(TRIM(LEFT(SAISIE!$A$5:$A$504,SEARCH("/",SAISIE!$A$5:$A$504&amp;"/")-1)))=$A27)*(ISNUMBER(SEARCH("Vent D/G",SAISIE!$B$5:$B$504)))*(SAISIE!$E$5:$E$504&lt;&gt;"")),mf,MIN(fz),IF(COUNT(fz)=0,"-",IF(MIN(fz)&gt;=0,INDEX(fx,MATCH(MAX(fx),fx,0)),INDEX(fx,MATCH(mf,fz,0))))),"-"))</f>
        <v/>
      </c>
      <c r="I27" s="13">
        <f>IF($A27="","",IFERROR(LET(fz,FILTER(SAISIE!$E$5:$E$504,(VALUE(TRIM(LEFT(SAISIE!$A$5:$A$504,SEARCH("/",SAISIE!$A$5:$A$504&amp;"/")-1)))=$A27)*(ISNUMBER(SEARCH("Vent D/G",SAISIE!$B$5:$B$504)))*(SAISIE!$E$5:$E$504&lt;&gt;"")),IF(COUNT(fz)=0,"-",IF(MIN(fz)&gt;=0,0,MIN(fz)))),"-"))</f>
        <v/>
      </c>
      <c r="J27" s="13">
        <f>IF($A27="","",IFERROR(LET(fx,FILTER(SAISIE!$C$5:$C$504,(VALUE(TRIM(LEFT(SAISIE!$A$5:$A$504,SEARCH("/",SAISIE!$A$5:$A$504&amp;"/")-1)))=$A27)*(ISNUMBER(SEARCH("Vent D/G",SAISIE!$B$5:$B$504)))*(SAISIE!$E$5:$E$504&lt;&gt;"")),fz,FILTER(SAISIE!$E$5:$E$504,(VALUE(TRIM(LEFT(SAISIE!$A$5:$A$504,SEARCH("/",SAISIE!$A$5:$A$504&amp;"/")-1)))=$A27)*(ISNUMBER(SEARCH("Vent D/G",SAISIE!$B$5:$B$504)))*(SAISIE!$E$5:$E$504&lt;&gt;"")),Mf,MAX(fz),INDEX(fx,MATCH(Mf,fz,0))),"-"))</f>
        <v/>
      </c>
      <c r="K27" s="13">
        <f>IF($A27="","",IFERROR(LET(fz,FILTER(SAISIE!$E$5:$E$504,(VALUE(TRIM(LEFT(SAISIE!$A$5:$A$504,SEARCH("/",SAISIE!$A$5:$A$504&amp;"/")-1)))=$A27)*(ISNUMBER(SEARCH("Vent D/G",SAISIE!$B$5:$B$504)))*(SAISIE!$E$5:$E$504&lt;&gt;"")),IF(COUNT(fz)=0,"-",MAX(fz))),"-"))</f>
        <v/>
      </c>
      <c r="L27" s="13">
        <f>IF($A27="","",IFERROR(LET(v,FILTER(SAISIE!$C$5:$C$504,(VALUE(TRIM(LEFT(SAISIE!$A$5:$A$504,SEARCH("/",SAISIE!$A$5:$A$504&amp;"/")-1)))=$A27)*(ISNUMBER(SEARCH("Neige",SAISIE!$B$5:$B$504))*(NOT(ISNUMBER(SEARCH("accidentel",SAISIE!$B$5:$B$504)))))*(SAISIE!$E$5:$E$504&lt;&gt;"")),fz,FILTER(SAISIE!$E$5:$E$504,(VALUE(TRIM(LEFT(SAISIE!$A$5:$A$504,SEARCH("/",SAISIE!$A$5:$A$504&amp;"/")-1)))=$A27)*(ISNUMBER(SEARCH("Neige",SAISIE!$B$5:$B$504))*(NOT(ISNUMBER(SEARCH("accidentel",SAISIE!$B$5:$B$504)))))*(SAISIE!$E$5:$E$504&lt;&gt;"")),IF(COUNT(fz)=0,"-",INDEX(v,MATCH(MIN(fz),fz,0)))),"-"))</f>
        <v/>
      </c>
      <c r="M27" s="13">
        <f>IF($A27="","",IFERROR(LET(v,FILTER(SAISIE!$E$5:$E$504,(VALUE(TRIM(LEFT(SAISIE!$A$5:$A$504,SEARCH("/",SAISIE!$A$5:$A$504&amp;"/")-1)))=$A27)*(ISNUMBER(SEARCH("Neige",SAISIE!$B$5:$B$504))*(NOT(ISNUMBER(SEARCH("accidentel",SAISIE!$B$5:$B$504)))))*(SAISIE!$E$5:$E$504&lt;&gt;"")),IF(COUNT(v)=0,"-",MIN(v))),"-"))</f>
        <v/>
      </c>
      <c r="N27" s="13">
        <f>IF($A27="","",IFERROR(LET(v,FILTER(SAISIE!$C$5:$C$504,(VALUE(TRIM(LEFT(SAISIE!$A$5:$A$504,SEARCH("/",SAISIE!$A$5:$A$504&amp;"/")-1)))=$A27)*(ISNUMBER(SEARCH("accidentel",SAISIE!$B$5:$B$504)))*(SAISIE!$E$5:$E$504&lt;&gt;"")),IF(COUNT(v)=0,"-",INDEX(v,1))),"-"))</f>
        <v/>
      </c>
      <c r="O27" s="13">
        <f>IF($A27="","",IFERROR(LET(v,FILTER(SAISIE!$E$5:$E$504,(VALUE(TRIM(LEFT(SAISIE!$A$5:$A$504,SEARCH("/",SAISIE!$A$5:$A$504&amp;"/")-1)))=$A27)*(ISNUMBER(SEARCH("accidentel",SAISIE!$B$5:$B$504)))*(SAISIE!$E$5:$E$504&lt;&gt;"")),IF(COUNT(v)=0,"-",INDEX(v,1))),"-"))</f>
        <v/>
      </c>
    </row>
    <row r="28">
      <c r="A28" s="14">
        <f>IFERROR(INDEX(IFERROR(UNIQUE(FILTER(VALUE(TRIM(LEFT(SAISIE!$A$5:$A$504,SEARCH("/",SAISIE!$A$5:$A$504&amp;"/")-1))),SAISIE!$A$5:$A$504&lt;&gt;"")),""),24),"")</f>
        <v/>
      </c>
      <c r="B28" s="13">
        <f>IF($A28="","",IFERROR(LET(v,FILTER(SAISIE!$C$5:$C$504,(VALUE(TRIM(LEFT(SAISIE!$A$5:$A$504,SEARCH("/",SAISIE!$A$5:$A$504&amp;"/")-1)))=$A28)*(OR(ISNUMBER(SEARCH("Couverture",SAISIE!$B$5:$B$504)),LEFT(SAISIE!$B$5:$B$504,2)="G "))),IF(COUNT(v)=0,"-",INDEX(v,1))),"-"))</f>
        <v/>
      </c>
      <c r="C28" s="13">
        <f>IF($A28="","",IFERROR(LET(v,FILTER(SAISIE!$E$5:$E$504,(VALUE(TRIM(LEFT(SAISIE!$A$5:$A$504,SEARCH("/",SAISIE!$A$5:$A$504&amp;"/")-1)))=$A28)*(OR(ISNUMBER(SEARCH("Couverture",SAISIE!$B$5:$B$504)),LEFT(SAISIE!$B$5:$B$504,2)="G "))),IF(COUNT(v)=0,"-",INDEX(v,1))),"-"))</f>
        <v/>
      </c>
      <c r="D28" s="13">
        <f>IF($A28="","",IFERROR(LET(fx,FILTER(SAISIE!$C$5:$C$504,(VALUE(TRIM(LEFT(SAISIE!$A$5:$A$504,SEARCH("/",SAISIE!$A$5:$A$504&amp;"/")-1)))=$A28)*(ISNUMBER(SEARCH("Vent G/D",SAISIE!$B$5:$B$504)))*(SAISIE!$E$5:$E$504&lt;&gt;"")),fz,FILTER(SAISIE!$E$5:$E$504,(VALUE(TRIM(LEFT(SAISIE!$A$5:$A$504,SEARCH("/",SAISIE!$A$5:$A$504&amp;"/")-1)))=$A28)*(ISNUMBER(SEARCH("Vent G/D",SAISIE!$B$5:$B$504)))*(SAISIE!$E$5:$E$504&lt;&gt;"")),mf,MIN(fz),IF(COUNT(fz)=0,"-",IF(MIN(fz)&gt;=0,INDEX(fx,MATCH(MAX(fx),fx,0)),INDEX(fx,MATCH(mf,fz,0))))),"-"))</f>
        <v/>
      </c>
      <c r="E28" s="13">
        <f>IF($A28="","",IFERROR(LET(fz,FILTER(SAISIE!$E$5:$E$504,(VALUE(TRIM(LEFT(SAISIE!$A$5:$A$504,SEARCH("/",SAISIE!$A$5:$A$504&amp;"/")-1)))=$A28)*(ISNUMBER(SEARCH("Vent G/D",SAISIE!$B$5:$B$504)))*(SAISIE!$E$5:$E$504&lt;&gt;"")),IF(COUNT(fz)=0,"-",IF(MIN(fz)&gt;=0,0,MIN(fz)))),"-"))</f>
        <v/>
      </c>
      <c r="F28" s="13">
        <f>IF($A28="","",IFERROR(LET(fx,FILTER(SAISIE!$C$5:$C$504,(VALUE(TRIM(LEFT(SAISIE!$A$5:$A$504,SEARCH("/",SAISIE!$A$5:$A$504&amp;"/")-1)))=$A28)*(ISNUMBER(SEARCH("Vent G/D",SAISIE!$B$5:$B$504)))*(SAISIE!$E$5:$E$504&lt;&gt;"")),fz,FILTER(SAISIE!$E$5:$E$504,(VALUE(TRIM(LEFT(SAISIE!$A$5:$A$504,SEARCH("/",SAISIE!$A$5:$A$504&amp;"/")-1)))=$A28)*(ISNUMBER(SEARCH("Vent G/D",SAISIE!$B$5:$B$504)))*(SAISIE!$E$5:$E$504&lt;&gt;"")),Mf,MAX(fz),INDEX(fx,MATCH(Mf,fz,0))),"-"))</f>
        <v/>
      </c>
      <c r="G28" s="13">
        <f>IF($A28="","",IFERROR(LET(fz,FILTER(SAISIE!$E$5:$E$504,(VALUE(TRIM(LEFT(SAISIE!$A$5:$A$504,SEARCH("/",SAISIE!$A$5:$A$504&amp;"/")-1)))=$A28)*(ISNUMBER(SEARCH("Vent G/D",SAISIE!$B$5:$B$504)))*(SAISIE!$E$5:$E$504&lt;&gt;"")),IF(COUNT(fz)=0,"-",MAX(fz))),"-"))</f>
        <v/>
      </c>
      <c r="H28" s="13">
        <f>IF($A28="","",IFERROR(LET(fx,FILTER(SAISIE!$C$5:$C$504,(VALUE(TRIM(LEFT(SAISIE!$A$5:$A$504,SEARCH("/",SAISIE!$A$5:$A$504&amp;"/")-1)))=$A28)*(ISNUMBER(SEARCH("Vent D/G",SAISIE!$B$5:$B$504)))*(SAISIE!$E$5:$E$504&lt;&gt;"")),fz,FILTER(SAISIE!$E$5:$E$504,(VALUE(TRIM(LEFT(SAISIE!$A$5:$A$504,SEARCH("/",SAISIE!$A$5:$A$504&amp;"/")-1)))=$A28)*(ISNUMBER(SEARCH("Vent D/G",SAISIE!$B$5:$B$504)))*(SAISIE!$E$5:$E$504&lt;&gt;"")),mf,MIN(fz),IF(COUNT(fz)=0,"-",IF(MIN(fz)&gt;=0,INDEX(fx,MATCH(MAX(fx),fx,0)),INDEX(fx,MATCH(mf,fz,0))))),"-"))</f>
        <v/>
      </c>
      <c r="I28" s="13">
        <f>IF($A28="","",IFERROR(LET(fz,FILTER(SAISIE!$E$5:$E$504,(VALUE(TRIM(LEFT(SAISIE!$A$5:$A$504,SEARCH("/",SAISIE!$A$5:$A$504&amp;"/")-1)))=$A28)*(ISNUMBER(SEARCH("Vent D/G",SAISIE!$B$5:$B$504)))*(SAISIE!$E$5:$E$504&lt;&gt;"")),IF(COUNT(fz)=0,"-",IF(MIN(fz)&gt;=0,0,MIN(fz)))),"-"))</f>
        <v/>
      </c>
      <c r="J28" s="13">
        <f>IF($A28="","",IFERROR(LET(fx,FILTER(SAISIE!$C$5:$C$504,(VALUE(TRIM(LEFT(SAISIE!$A$5:$A$504,SEARCH("/",SAISIE!$A$5:$A$504&amp;"/")-1)))=$A28)*(ISNUMBER(SEARCH("Vent D/G",SAISIE!$B$5:$B$504)))*(SAISIE!$E$5:$E$504&lt;&gt;"")),fz,FILTER(SAISIE!$E$5:$E$504,(VALUE(TRIM(LEFT(SAISIE!$A$5:$A$504,SEARCH("/",SAISIE!$A$5:$A$504&amp;"/")-1)))=$A28)*(ISNUMBER(SEARCH("Vent D/G",SAISIE!$B$5:$B$504)))*(SAISIE!$E$5:$E$504&lt;&gt;"")),Mf,MAX(fz),INDEX(fx,MATCH(Mf,fz,0))),"-"))</f>
        <v/>
      </c>
      <c r="K28" s="13">
        <f>IF($A28="","",IFERROR(LET(fz,FILTER(SAISIE!$E$5:$E$504,(VALUE(TRIM(LEFT(SAISIE!$A$5:$A$504,SEARCH("/",SAISIE!$A$5:$A$504&amp;"/")-1)))=$A28)*(ISNUMBER(SEARCH("Vent D/G",SAISIE!$B$5:$B$504)))*(SAISIE!$E$5:$E$504&lt;&gt;"")),IF(COUNT(fz)=0,"-",MAX(fz))),"-"))</f>
        <v/>
      </c>
      <c r="L28" s="13">
        <f>IF($A28="","",IFERROR(LET(v,FILTER(SAISIE!$C$5:$C$504,(VALUE(TRIM(LEFT(SAISIE!$A$5:$A$504,SEARCH("/",SAISIE!$A$5:$A$504&amp;"/")-1)))=$A28)*(ISNUMBER(SEARCH("Neige",SAISIE!$B$5:$B$504))*(NOT(ISNUMBER(SEARCH("accidentel",SAISIE!$B$5:$B$504)))))*(SAISIE!$E$5:$E$504&lt;&gt;"")),fz,FILTER(SAISIE!$E$5:$E$504,(VALUE(TRIM(LEFT(SAISIE!$A$5:$A$504,SEARCH("/",SAISIE!$A$5:$A$504&amp;"/")-1)))=$A28)*(ISNUMBER(SEARCH("Neige",SAISIE!$B$5:$B$504))*(NOT(ISNUMBER(SEARCH("accidentel",SAISIE!$B$5:$B$504)))))*(SAISIE!$E$5:$E$504&lt;&gt;"")),IF(COUNT(fz)=0,"-",INDEX(v,MATCH(MIN(fz),fz,0)))),"-"))</f>
        <v/>
      </c>
      <c r="M28" s="13">
        <f>IF($A28="","",IFERROR(LET(v,FILTER(SAISIE!$E$5:$E$504,(VALUE(TRIM(LEFT(SAISIE!$A$5:$A$504,SEARCH("/",SAISIE!$A$5:$A$504&amp;"/")-1)))=$A28)*(ISNUMBER(SEARCH("Neige",SAISIE!$B$5:$B$504))*(NOT(ISNUMBER(SEARCH("accidentel",SAISIE!$B$5:$B$504)))))*(SAISIE!$E$5:$E$504&lt;&gt;"")),IF(COUNT(v)=0,"-",MIN(v))),"-"))</f>
        <v/>
      </c>
      <c r="N28" s="13">
        <f>IF($A28="","",IFERROR(LET(v,FILTER(SAISIE!$C$5:$C$504,(VALUE(TRIM(LEFT(SAISIE!$A$5:$A$504,SEARCH("/",SAISIE!$A$5:$A$504&amp;"/")-1)))=$A28)*(ISNUMBER(SEARCH("accidentel",SAISIE!$B$5:$B$504)))*(SAISIE!$E$5:$E$504&lt;&gt;"")),IF(COUNT(v)=0,"-",INDEX(v,1))),"-"))</f>
        <v/>
      </c>
      <c r="O28" s="13">
        <f>IF($A28="","",IFERROR(LET(v,FILTER(SAISIE!$E$5:$E$504,(VALUE(TRIM(LEFT(SAISIE!$A$5:$A$504,SEARCH("/",SAISIE!$A$5:$A$504&amp;"/")-1)))=$A28)*(ISNUMBER(SEARCH("accidentel",SAISIE!$B$5:$B$504)))*(SAISIE!$E$5:$E$504&lt;&gt;"")),IF(COUNT(v)=0,"-",INDEX(v,1))),"-"))</f>
        <v/>
      </c>
    </row>
    <row r="29">
      <c r="A29" s="14">
        <f>IFERROR(INDEX(IFERROR(UNIQUE(FILTER(VALUE(TRIM(LEFT(SAISIE!$A$5:$A$504,SEARCH("/",SAISIE!$A$5:$A$504&amp;"/")-1))),SAISIE!$A$5:$A$504&lt;&gt;"")),""),25),"")</f>
        <v/>
      </c>
      <c r="B29" s="13">
        <f>IF($A29="","",IFERROR(LET(v,FILTER(SAISIE!$C$5:$C$504,(VALUE(TRIM(LEFT(SAISIE!$A$5:$A$504,SEARCH("/",SAISIE!$A$5:$A$504&amp;"/")-1)))=$A29)*(OR(ISNUMBER(SEARCH("Couverture",SAISIE!$B$5:$B$504)),LEFT(SAISIE!$B$5:$B$504,2)="G "))),IF(COUNT(v)=0,"-",INDEX(v,1))),"-"))</f>
        <v/>
      </c>
      <c r="C29" s="13">
        <f>IF($A29="","",IFERROR(LET(v,FILTER(SAISIE!$E$5:$E$504,(VALUE(TRIM(LEFT(SAISIE!$A$5:$A$504,SEARCH("/",SAISIE!$A$5:$A$504&amp;"/")-1)))=$A29)*(OR(ISNUMBER(SEARCH("Couverture",SAISIE!$B$5:$B$504)),LEFT(SAISIE!$B$5:$B$504,2)="G "))),IF(COUNT(v)=0,"-",INDEX(v,1))),"-"))</f>
        <v/>
      </c>
      <c r="D29" s="13">
        <f>IF($A29="","",IFERROR(LET(fx,FILTER(SAISIE!$C$5:$C$504,(VALUE(TRIM(LEFT(SAISIE!$A$5:$A$504,SEARCH("/",SAISIE!$A$5:$A$504&amp;"/")-1)))=$A29)*(ISNUMBER(SEARCH("Vent G/D",SAISIE!$B$5:$B$504)))*(SAISIE!$E$5:$E$504&lt;&gt;"")),fz,FILTER(SAISIE!$E$5:$E$504,(VALUE(TRIM(LEFT(SAISIE!$A$5:$A$504,SEARCH("/",SAISIE!$A$5:$A$504&amp;"/")-1)))=$A29)*(ISNUMBER(SEARCH("Vent G/D",SAISIE!$B$5:$B$504)))*(SAISIE!$E$5:$E$504&lt;&gt;"")),mf,MIN(fz),IF(COUNT(fz)=0,"-",IF(MIN(fz)&gt;=0,INDEX(fx,MATCH(MAX(fx),fx,0)),INDEX(fx,MATCH(mf,fz,0))))),"-"))</f>
        <v/>
      </c>
      <c r="E29" s="13">
        <f>IF($A29="","",IFERROR(LET(fz,FILTER(SAISIE!$E$5:$E$504,(VALUE(TRIM(LEFT(SAISIE!$A$5:$A$504,SEARCH("/",SAISIE!$A$5:$A$504&amp;"/")-1)))=$A29)*(ISNUMBER(SEARCH("Vent G/D",SAISIE!$B$5:$B$504)))*(SAISIE!$E$5:$E$504&lt;&gt;"")),IF(COUNT(fz)=0,"-",IF(MIN(fz)&gt;=0,0,MIN(fz)))),"-"))</f>
        <v/>
      </c>
      <c r="F29" s="13">
        <f>IF($A29="","",IFERROR(LET(fx,FILTER(SAISIE!$C$5:$C$504,(VALUE(TRIM(LEFT(SAISIE!$A$5:$A$504,SEARCH("/",SAISIE!$A$5:$A$504&amp;"/")-1)))=$A29)*(ISNUMBER(SEARCH("Vent G/D",SAISIE!$B$5:$B$504)))*(SAISIE!$E$5:$E$504&lt;&gt;"")),fz,FILTER(SAISIE!$E$5:$E$504,(VALUE(TRIM(LEFT(SAISIE!$A$5:$A$504,SEARCH("/",SAISIE!$A$5:$A$504&amp;"/")-1)))=$A29)*(ISNUMBER(SEARCH("Vent G/D",SAISIE!$B$5:$B$504)))*(SAISIE!$E$5:$E$504&lt;&gt;"")),Mf,MAX(fz),INDEX(fx,MATCH(Mf,fz,0))),"-"))</f>
        <v/>
      </c>
      <c r="G29" s="13">
        <f>IF($A29="","",IFERROR(LET(fz,FILTER(SAISIE!$E$5:$E$504,(VALUE(TRIM(LEFT(SAISIE!$A$5:$A$504,SEARCH("/",SAISIE!$A$5:$A$504&amp;"/")-1)))=$A29)*(ISNUMBER(SEARCH("Vent G/D",SAISIE!$B$5:$B$504)))*(SAISIE!$E$5:$E$504&lt;&gt;"")),IF(COUNT(fz)=0,"-",MAX(fz))),"-"))</f>
        <v/>
      </c>
      <c r="H29" s="13">
        <f>IF($A29="","",IFERROR(LET(fx,FILTER(SAISIE!$C$5:$C$504,(VALUE(TRIM(LEFT(SAISIE!$A$5:$A$504,SEARCH("/",SAISIE!$A$5:$A$504&amp;"/")-1)))=$A29)*(ISNUMBER(SEARCH("Vent D/G",SAISIE!$B$5:$B$504)))*(SAISIE!$E$5:$E$504&lt;&gt;"")),fz,FILTER(SAISIE!$E$5:$E$504,(VALUE(TRIM(LEFT(SAISIE!$A$5:$A$504,SEARCH("/",SAISIE!$A$5:$A$504&amp;"/")-1)))=$A29)*(ISNUMBER(SEARCH("Vent D/G",SAISIE!$B$5:$B$504)))*(SAISIE!$E$5:$E$504&lt;&gt;"")),mf,MIN(fz),IF(COUNT(fz)=0,"-",IF(MIN(fz)&gt;=0,INDEX(fx,MATCH(MAX(fx),fx,0)),INDEX(fx,MATCH(mf,fz,0))))),"-"))</f>
        <v/>
      </c>
      <c r="I29" s="13">
        <f>IF($A29="","",IFERROR(LET(fz,FILTER(SAISIE!$E$5:$E$504,(VALUE(TRIM(LEFT(SAISIE!$A$5:$A$504,SEARCH("/",SAISIE!$A$5:$A$504&amp;"/")-1)))=$A29)*(ISNUMBER(SEARCH("Vent D/G",SAISIE!$B$5:$B$504)))*(SAISIE!$E$5:$E$504&lt;&gt;"")),IF(COUNT(fz)=0,"-",IF(MIN(fz)&gt;=0,0,MIN(fz)))),"-"))</f>
        <v/>
      </c>
      <c r="J29" s="13">
        <f>IF($A29="","",IFERROR(LET(fx,FILTER(SAISIE!$C$5:$C$504,(VALUE(TRIM(LEFT(SAISIE!$A$5:$A$504,SEARCH("/",SAISIE!$A$5:$A$504&amp;"/")-1)))=$A29)*(ISNUMBER(SEARCH("Vent D/G",SAISIE!$B$5:$B$504)))*(SAISIE!$E$5:$E$504&lt;&gt;"")),fz,FILTER(SAISIE!$E$5:$E$504,(VALUE(TRIM(LEFT(SAISIE!$A$5:$A$504,SEARCH("/",SAISIE!$A$5:$A$504&amp;"/")-1)))=$A29)*(ISNUMBER(SEARCH("Vent D/G",SAISIE!$B$5:$B$504)))*(SAISIE!$E$5:$E$504&lt;&gt;"")),Mf,MAX(fz),INDEX(fx,MATCH(Mf,fz,0))),"-"))</f>
        <v/>
      </c>
      <c r="K29" s="13">
        <f>IF($A29="","",IFERROR(LET(fz,FILTER(SAISIE!$E$5:$E$504,(VALUE(TRIM(LEFT(SAISIE!$A$5:$A$504,SEARCH("/",SAISIE!$A$5:$A$504&amp;"/")-1)))=$A29)*(ISNUMBER(SEARCH("Vent D/G",SAISIE!$B$5:$B$504)))*(SAISIE!$E$5:$E$504&lt;&gt;"")),IF(COUNT(fz)=0,"-",MAX(fz))),"-"))</f>
        <v/>
      </c>
      <c r="L29" s="13">
        <f>IF($A29="","",IFERROR(LET(v,FILTER(SAISIE!$C$5:$C$504,(VALUE(TRIM(LEFT(SAISIE!$A$5:$A$504,SEARCH("/",SAISIE!$A$5:$A$504&amp;"/")-1)))=$A29)*(ISNUMBER(SEARCH("Neige",SAISIE!$B$5:$B$504))*(NOT(ISNUMBER(SEARCH("accidentel",SAISIE!$B$5:$B$504)))))*(SAISIE!$E$5:$E$504&lt;&gt;"")),fz,FILTER(SAISIE!$E$5:$E$504,(VALUE(TRIM(LEFT(SAISIE!$A$5:$A$504,SEARCH("/",SAISIE!$A$5:$A$504&amp;"/")-1)))=$A29)*(ISNUMBER(SEARCH("Neige",SAISIE!$B$5:$B$504))*(NOT(ISNUMBER(SEARCH("accidentel",SAISIE!$B$5:$B$504)))))*(SAISIE!$E$5:$E$504&lt;&gt;"")),IF(COUNT(fz)=0,"-",INDEX(v,MATCH(MIN(fz),fz,0)))),"-"))</f>
        <v/>
      </c>
      <c r="M29" s="13">
        <f>IF($A29="","",IFERROR(LET(v,FILTER(SAISIE!$E$5:$E$504,(VALUE(TRIM(LEFT(SAISIE!$A$5:$A$504,SEARCH("/",SAISIE!$A$5:$A$504&amp;"/")-1)))=$A29)*(ISNUMBER(SEARCH("Neige",SAISIE!$B$5:$B$504))*(NOT(ISNUMBER(SEARCH("accidentel",SAISIE!$B$5:$B$504)))))*(SAISIE!$E$5:$E$504&lt;&gt;"")),IF(COUNT(v)=0,"-",MIN(v))),"-"))</f>
        <v/>
      </c>
      <c r="N29" s="13">
        <f>IF($A29="","",IFERROR(LET(v,FILTER(SAISIE!$C$5:$C$504,(VALUE(TRIM(LEFT(SAISIE!$A$5:$A$504,SEARCH("/",SAISIE!$A$5:$A$504&amp;"/")-1)))=$A29)*(ISNUMBER(SEARCH("accidentel",SAISIE!$B$5:$B$504)))*(SAISIE!$E$5:$E$504&lt;&gt;"")),IF(COUNT(v)=0,"-",INDEX(v,1))),"-"))</f>
        <v/>
      </c>
      <c r="O29" s="13">
        <f>IF($A29="","",IFERROR(LET(v,FILTER(SAISIE!$E$5:$E$504,(VALUE(TRIM(LEFT(SAISIE!$A$5:$A$504,SEARCH("/",SAISIE!$A$5:$A$504&amp;"/")-1)))=$A29)*(ISNUMBER(SEARCH("accidentel",SAISIE!$B$5:$B$504)))*(SAISIE!$E$5:$E$504&lt;&gt;"")),IF(COUNT(v)=0,"-",INDEX(v,1))),"-"))</f>
        <v/>
      </c>
    </row>
    <row r="30">
      <c r="A30" s="14">
        <f>IFERROR(INDEX(IFERROR(UNIQUE(FILTER(VALUE(TRIM(LEFT(SAISIE!$A$5:$A$504,SEARCH("/",SAISIE!$A$5:$A$504&amp;"/")-1))),SAISIE!$A$5:$A$504&lt;&gt;"")),""),26),"")</f>
        <v/>
      </c>
      <c r="B30" s="13">
        <f>IF($A30="","",IFERROR(LET(v,FILTER(SAISIE!$C$5:$C$504,(VALUE(TRIM(LEFT(SAISIE!$A$5:$A$504,SEARCH("/",SAISIE!$A$5:$A$504&amp;"/")-1)))=$A30)*(OR(ISNUMBER(SEARCH("Couverture",SAISIE!$B$5:$B$504)),LEFT(SAISIE!$B$5:$B$504,2)="G "))),IF(COUNT(v)=0,"-",INDEX(v,1))),"-"))</f>
        <v/>
      </c>
      <c r="C30" s="13">
        <f>IF($A30="","",IFERROR(LET(v,FILTER(SAISIE!$E$5:$E$504,(VALUE(TRIM(LEFT(SAISIE!$A$5:$A$504,SEARCH("/",SAISIE!$A$5:$A$504&amp;"/")-1)))=$A30)*(OR(ISNUMBER(SEARCH("Couverture",SAISIE!$B$5:$B$504)),LEFT(SAISIE!$B$5:$B$504,2)="G "))),IF(COUNT(v)=0,"-",INDEX(v,1))),"-"))</f>
        <v/>
      </c>
      <c r="D30" s="13">
        <f>IF($A30="","",IFERROR(LET(fx,FILTER(SAISIE!$C$5:$C$504,(VALUE(TRIM(LEFT(SAISIE!$A$5:$A$504,SEARCH("/",SAISIE!$A$5:$A$504&amp;"/")-1)))=$A30)*(ISNUMBER(SEARCH("Vent G/D",SAISIE!$B$5:$B$504)))*(SAISIE!$E$5:$E$504&lt;&gt;"")),fz,FILTER(SAISIE!$E$5:$E$504,(VALUE(TRIM(LEFT(SAISIE!$A$5:$A$504,SEARCH("/",SAISIE!$A$5:$A$504&amp;"/")-1)))=$A30)*(ISNUMBER(SEARCH("Vent G/D",SAISIE!$B$5:$B$504)))*(SAISIE!$E$5:$E$504&lt;&gt;"")),mf,MIN(fz),IF(COUNT(fz)=0,"-",IF(MIN(fz)&gt;=0,INDEX(fx,MATCH(MAX(fx),fx,0)),INDEX(fx,MATCH(mf,fz,0))))),"-"))</f>
        <v/>
      </c>
      <c r="E30" s="13">
        <f>IF($A30="","",IFERROR(LET(fz,FILTER(SAISIE!$E$5:$E$504,(VALUE(TRIM(LEFT(SAISIE!$A$5:$A$504,SEARCH("/",SAISIE!$A$5:$A$504&amp;"/")-1)))=$A30)*(ISNUMBER(SEARCH("Vent G/D",SAISIE!$B$5:$B$504)))*(SAISIE!$E$5:$E$504&lt;&gt;"")),IF(COUNT(fz)=0,"-",IF(MIN(fz)&gt;=0,0,MIN(fz)))),"-"))</f>
        <v/>
      </c>
      <c r="F30" s="13">
        <f>IF($A30="","",IFERROR(LET(fx,FILTER(SAISIE!$C$5:$C$504,(VALUE(TRIM(LEFT(SAISIE!$A$5:$A$504,SEARCH("/",SAISIE!$A$5:$A$504&amp;"/")-1)))=$A30)*(ISNUMBER(SEARCH("Vent G/D",SAISIE!$B$5:$B$504)))*(SAISIE!$E$5:$E$504&lt;&gt;"")),fz,FILTER(SAISIE!$E$5:$E$504,(VALUE(TRIM(LEFT(SAISIE!$A$5:$A$504,SEARCH("/",SAISIE!$A$5:$A$504&amp;"/")-1)))=$A30)*(ISNUMBER(SEARCH("Vent G/D",SAISIE!$B$5:$B$504)))*(SAISIE!$E$5:$E$504&lt;&gt;"")),Mf,MAX(fz),INDEX(fx,MATCH(Mf,fz,0))),"-"))</f>
        <v/>
      </c>
      <c r="G30" s="13">
        <f>IF($A30="","",IFERROR(LET(fz,FILTER(SAISIE!$E$5:$E$504,(VALUE(TRIM(LEFT(SAISIE!$A$5:$A$504,SEARCH("/",SAISIE!$A$5:$A$504&amp;"/")-1)))=$A30)*(ISNUMBER(SEARCH("Vent G/D",SAISIE!$B$5:$B$504)))*(SAISIE!$E$5:$E$504&lt;&gt;"")),IF(COUNT(fz)=0,"-",MAX(fz))),"-"))</f>
        <v/>
      </c>
      <c r="H30" s="13">
        <f>IF($A30="","",IFERROR(LET(fx,FILTER(SAISIE!$C$5:$C$504,(VALUE(TRIM(LEFT(SAISIE!$A$5:$A$504,SEARCH("/",SAISIE!$A$5:$A$504&amp;"/")-1)))=$A30)*(ISNUMBER(SEARCH("Vent D/G",SAISIE!$B$5:$B$504)))*(SAISIE!$E$5:$E$504&lt;&gt;"")),fz,FILTER(SAISIE!$E$5:$E$504,(VALUE(TRIM(LEFT(SAISIE!$A$5:$A$504,SEARCH("/",SAISIE!$A$5:$A$504&amp;"/")-1)))=$A30)*(ISNUMBER(SEARCH("Vent D/G",SAISIE!$B$5:$B$504)))*(SAISIE!$E$5:$E$504&lt;&gt;"")),mf,MIN(fz),IF(COUNT(fz)=0,"-",IF(MIN(fz)&gt;=0,INDEX(fx,MATCH(MAX(fx),fx,0)),INDEX(fx,MATCH(mf,fz,0))))),"-"))</f>
        <v/>
      </c>
      <c r="I30" s="13">
        <f>IF($A30="","",IFERROR(LET(fz,FILTER(SAISIE!$E$5:$E$504,(VALUE(TRIM(LEFT(SAISIE!$A$5:$A$504,SEARCH("/",SAISIE!$A$5:$A$504&amp;"/")-1)))=$A30)*(ISNUMBER(SEARCH("Vent D/G",SAISIE!$B$5:$B$504)))*(SAISIE!$E$5:$E$504&lt;&gt;"")),IF(COUNT(fz)=0,"-",IF(MIN(fz)&gt;=0,0,MIN(fz)))),"-"))</f>
        <v/>
      </c>
      <c r="J30" s="13">
        <f>IF($A30="","",IFERROR(LET(fx,FILTER(SAISIE!$C$5:$C$504,(VALUE(TRIM(LEFT(SAISIE!$A$5:$A$504,SEARCH("/",SAISIE!$A$5:$A$504&amp;"/")-1)))=$A30)*(ISNUMBER(SEARCH("Vent D/G",SAISIE!$B$5:$B$504)))*(SAISIE!$E$5:$E$504&lt;&gt;"")),fz,FILTER(SAISIE!$E$5:$E$504,(VALUE(TRIM(LEFT(SAISIE!$A$5:$A$504,SEARCH("/",SAISIE!$A$5:$A$504&amp;"/")-1)))=$A30)*(ISNUMBER(SEARCH("Vent D/G",SAISIE!$B$5:$B$504)))*(SAISIE!$E$5:$E$504&lt;&gt;"")),Mf,MAX(fz),INDEX(fx,MATCH(Mf,fz,0))),"-"))</f>
        <v/>
      </c>
      <c r="K30" s="13">
        <f>IF($A30="","",IFERROR(LET(fz,FILTER(SAISIE!$E$5:$E$504,(VALUE(TRIM(LEFT(SAISIE!$A$5:$A$504,SEARCH("/",SAISIE!$A$5:$A$504&amp;"/")-1)))=$A30)*(ISNUMBER(SEARCH("Vent D/G",SAISIE!$B$5:$B$504)))*(SAISIE!$E$5:$E$504&lt;&gt;"")),IF(COUNT(fz)=0,"-",MAX(fz))),"-"))</f>
        <v/>
      </c>
      <c r="L30" s="13">
        <f>IF($A30="","",IFERROR(LET(v,FILTER(SAISIE!$C$5:$C$504,(VALUE(TRIM(LEFT(SAISIE!$A$5:$A$504,SEARCH("/",SAISIE!$A$5:$A$504&amp;"/")-1)))=$A30)*(ISNUMBER(SEARCH("Neige",SAISIE!$B$5:$B$504))*(NOT(ISNUMBER(SEARCH("accidentel",SAISIE!$B$5:$B$504)))))*(SAISIE!$E$5:$E$504&lt;&gt;"")),fz,FILTER(SAISIE!$E$5:$E$504,(VALUE(TRIM(LEFT(SAISIE!$A$5:$A$504,SEARCH("/",SAISIE!$A$5:$A$504&amp;"/")-1)))=$A30)*(ISNUMBER(SEARCH("Neige",SAISIE!$B$5:$B$504))*(NOT(ISNUMBER(SEARCH("accidentel",SAISIE!$B$5:$B$504)))))*(SAISIE!$E$5:$E$504&lt;&gt;"")),IF(COUNT(fz)=0,"-",INDEX(v,MATCH(MIN(fz),fz,0)))),"-"))</f>
        <v/>
      </c>
      <c r="M30" s="13">
        <f>IF($A30="","",IFERROR(LET(v,FILTER(SAISIE!$E$5:$E$504,(VALUE(TRIM(LEFT(SAISIE!$A$5:$A$504,SEARCH("/",SAISIE!$A$5:$A$504&amp;"/")-1)))=$A30)*(ISNUMBER(SEARCH("Neige",SAISIE!$B$5:$B$504))*(NOT(ISNUMBER(SEARCH("accidentel",SAISIE!$B$5:$B$504)))))*(SAISIE!$E$5:$E$504&lt;&gt;"")),IF(COUNT(v)=0,"-",MIN(v))),"-"))</f>
        <v/>
      </c>
      <c r="N30" s="13">
        <f>IF($A30="","",IFERROR(LET(v,FILTER(SAISIE!$C$5:$C$504,(VALUE(TRIM(LEFT(SAISIE!$A$5:$A$504,SEARCH("/",SAISIE!$A$5:$A$504&amp;"/")-1)))=$A30)*(ISNUMBER(SEARCH("accidentel",SAISIE!$B$5:$B$504)))*(SAISIE!$E$5:$E$504&lt;&gt;"")),IF(COUNT(v)=0,"-",INDEX(v,1))),"-"))</f>
        <v/>
      </c>
      <c r="O30" s="13">
        <f>IF($A30="","",IFERROR(LET(v,FILTER(SAISIE!$E$5:$E$504,(VALUE(TRIM(LEFT(SAISIE!$A$5:$A$504,SEARCH("/",SAISIE!$A$5:$A$504&amp;"/")-1)))=$A30)*(ISNUMBER(SEARCH("accidentel",SAISIE!$B$5:$B$504)))*(SAISIE!$E$5:$E$504&lt;&gt;"")),IF(COUNT(v)=0,"-",INDEX(v,1))),"-"))</f>
        <v/>
      </c>
    </row>
    <row r="31">
      <c r="A31" s="14">
        <f>IFERROR(INDEX(IFERROR(UNIQUE(FILTER(VALUE(TRIM(LEFT(SAISIE!$A$5:$A$504,SEARCH("/",SAISIE!$A$5:$A$504&amp;"/")-1))),SAISIE!$A$5:$A$504&lt;&gt;"")),""),27),"")</f>
        <v/>
      </c>
      <c r="B31" s="13">
        <f>IF($A31="","",IFERROR(LET(v,FILTER(SAISIE!$C$5:$C$504,(VALUE(TRIM(LEFT(SAISIE!$A$5:$A$504,SEARCH("/",SAISIE!$A$5:$A$504&amp;"/")-1)))=$A31)*(OR(ISNUMBER(SEARCH("Couverture",SAISIE!$B$5:$B$504)),LEFT(SAISIE!$B$5:$B$504,2)="G "))),IF(COUNT(v)=0,"-",INDEX(v,1))),"-"))</f>
        <v/>
      </c>
      <c r="C31" s="13">
        <f>IF($A31="","",IFERROR(LET(v,FILTER(SAISIE!$E$5:$E$504,(VALUE(TRIM(LEFT(SAISIE!$A$5:$A$504,SEARCH("/",SAISIE!$A$5:$A$504&amp;"/")-1)))=$A31)*(OR(ISNUMBER(SEARCH("Couverture",SAISIE!$B$5:$B$504)),LEFT(SAISIE!$B$5:$B$504,2)="G "))),IF(COUNT(v)=0,"-",INDEX(v,1))),"-"))</f>
        <v/>
      </c>
      <c r="D31" s="13">
        <f>IF($A31="","",IFERROR(LET(fx,FILTER(SAISIE!$C$5:$C$504,(VALUE(TRIM(LEFT(SAISIE!$A$5:$A$504,SEARCH("/",SAISIE!$A$5:$A$504&amp;"/")-1)))=$A31)*(ISNUMBER(SEARCH("Vent G/D",SAISIE!$B$5:$B$504)))*(SAISIE!$E$5:$E$504&lt;&gt;"")),fz,FILTER(SAISIE!$E$5:$E$504,(VALUE(TRIM(LEFT(SAISIE!$A$5:$A$504,SEARCH("/",SAISIE!$A$5:$A$504&amp;"/")-1)))=$A31)*(ISNUMBER(SEARCH("Vent G/D",SAISIE!$B$5:$B$504)))*(SAISIE!$E$5:$E$504&lt;&gt;"")),mf,MIN(fz),IF(COUNT(fz)=0,"-",IF(MIN(fz)&gt;=0,INDEX(fx,MATCH(MAX(fx),fx,0)),INDEX(fx,MATCH(mf,fz,0))))),"-"))</f>
        <v/>
      </c>
      <c r="E31" s="13">
        <f>IF($A31="","",IFERROR(LET(fz,FILTER(SAISIE!$E$5:$E$504,(VALUE(TRIM(LEFT(SAISIE!$A$5:$A$504,SEARCH("/",SAISIE!$A$5:$A$504&amp;"/")-1)))=$A31)*(ISNUMBER(SEARCH("Vent G/D",SAISIE!$B$5:$B$504)))*(SAISIE!$E$5:$E$504&lt;&gt;"")),IF(COUNT(fz)=0,"-",IF(MIN(fz)&gt;=0,0,MIN(fz)))),"-"))</f>
        <v/>
      </c>
      <c r="F31" s="13">
        <f>IF($A31="","",IFERROR(LET(fx,FILTER(SAISIE!$C$5:$C$504,(VALUE(TRIM(LEFT(SAISIE!$A$5:$A$504,SEARCH("/",SAISIE!$A$5:$A$504&amp;"/")-1)))=$A31)*(ISNUMBER(SEARCH("Vent G/D",SAISIE!$B$5:$B$504)))*(SAISIE!$E$5:$E$504&lt;&gt;"")),fz,FILTER(SAISIE!$E$5:$E$504,(VALUE(TRIM(LEFT(SAISIE!$A$5:$A$504,SEARCH("/",SAISIE!$A$5:$A$504&amp;"/")-1)))=$A31)*(ISNUMBER(SEARCH("Vent G/D",SAISIE!$B$5:$B$504)))*(SAISIE!$E$5:$E$504&lt;&gt;"")),Mf,MAX(fz),INDEX(fx,MATCH(Mf,fz,0))),"-"))</f>
        <v/>
      </c>
      <c r="G31" s="13">
        <f>IF($A31="","",IFERROR(LET(fz,FILTER(SAISIE!$E$5:$E$504,(VALUE(TRIM(LEFT(SAISIE!$A$5:$A$504,SEARCH("/",SAISIE!$A$5:$A$504&amp;"/")-1)))=$A31)*(ISNUMBER(SEARCH("Vent G/D",SAISIE!$B$5:$B$504)))*(SAISIE!$E$5:$E$504&lt;&gt;"")),IF(COUNT(fz)=0,"-",MAX(fz))),"-"))</f>
        <v/>
      </c>
      <c r="H31" s="13">
        <f>IF($A31="","",IFERROR(LET(fx,FILTER(SAISIE!$C$5:$C$504,(VALUE(TRIM(LEFT(SAISIE!$A$5:$A$504,SEARCH("/",SAISIE!$A$5:$A$504&amp;"/")-1)))=$A31)*(ISNUMBER(SEARCH("Vent D/G",SAISIE!$B$5:$B$504)))*(SAISIE!$E$5:$E$504&lt;&gt;"")),fz,FILTER(SAISIE!$E$5:$E$504,(VALUE(TRIM(LEFT(SAISIE!$A$5:$A$504,SEARCH("/",SAISIE!$A$5:$A$504&amp;"/")-1)))=$A31)*(ISNUMBER(SEARCH("Vent D/G",SAISIE!$B$5:$B$504)))*(SAISIE!$E$5:$E$504&lt;&gt;"")),mf,MIN(fz),IF(COUNT(fz)=0,"-",IF(MIN(fz)&gt;=0,INDEX(fx,MATCH(MAX(fx),fx,0)),INDEX(fx,MATCH(mf,fz,0))))),"-"))</f>
        <v/>
      </c>
      <c r="I31" s="13">
        <f>IF($A31="","",IFERROR(LET(fz,FILTER(SAISIE!$E$5:$E$504,(VALUE(TRIM(LEFT(SAISIE!$A$5:$A$504,SEARCH("/",SAISIE!$A$5:$A$504&amp;"/")-1)))=$A31)*(ISNUMBER(SEARCH("Vent D/G",SAISIE!$B$5:$B$504)))*(SAISIE!$E$5:$E$504&lt;&gt;"")),IF(COUNT(fz)=0,"-",IF(MIN(fz)&gt;=0,0,MIN(fz)))),"-"))</f>
        <v/>
      </c>
      <c r="J31" s="13">
        <f>IF($A31="","",IFERROR(LET(fx,FILTER(SAISIE!$C$5:$C$504,(VALUE(TRIM(LEFT(SAISIE!$A$5:$A$504,SEARCH("/",SAISIE!$A$5:$A$504&amp;"/")-1)))=$A31)*(ISNUMBER(SEARCH("Vent D/G",SAISIE!$B$5:$B$504)))*(SAISIE!$E$5:$E$504&lt;&gt;"")),fz,FILTER(SAISIE!$E$5:$E$504,(VALUE(TRIM(LEFT(SAISIE!$A$5:$A$504,SEARCH("/",SAISIE!$A$5:$A$504&amp;"/")-1)))=$A31)*(ISNUMBER(SEARCH("Vent D/G",SAISIE!$B$5:$B$504)))*(SAISIE!$E$5:$E$504&lt;&gt;"")),Mf,MAX(fz),INDEX(fx,MATCH(Mf,fz,0))),"-"))</f>
        <v/>
      </c>
      <c r="K31" s="13">
        <f>IF($A31="","",IFERROR(LET(fz,FILTER(SAISIE!$E$5:$E$504,(VALUE(TRIM(LEFT(SAISIE!$A$5:$A$504,SEARCH("/",SAISIE!$A$5:$A$504&amp;"/")-1)))=$A31)*(ISNUMBER(SEARCH("Vent D/G",SAISIE!$B$5:$B$504)))*(SAISIE!$E$5:$E$504&lt;&gt;"")),IF(COUNT(fz)=0,"-",MAX(fz))),"-"))</f>
        <v/>
      </c>
      <c r="L31" s="13">
        <f>IF($A31="","",IFERROR(LET(v,FILTER(SAISIE!$C$5:$C$504,(VALUE(TRIM(LEFT(SAISIE!$A$5:$A$504,SEARCH("/",SAISIE!$A$5:$A$504&amp;"/")-1)))=$A31)*(ISNUMBER(SEARCH("Neige",SAISIE!$B$5:$B$504))*(NOT(ISNUMBER(SEARCH("accidentel",SAISIE!$B$5:$B$504)))))*(SAISIE!$E$5:$E$504&lt;&gt;"")),fz,FILTER(SAISIE!$E$5:$E$504,(VALUE(TRIM(LEFT(SAISIE!$A$5:$A$504,SEARCH("/",SAISIE!$A$5:$A$504&amp;"/")-1)))=$A31)*(ISNUMBER(SEARCH("Neige",SAISIE!$B$5:$B$504))*(NOT(ISNUMBER(SEARCH("accidentel",SAISIE!$B$5:$B$504)))))*(SAISIE!$E$5:$E$504&lt;&gt;"")),IF(COUNT(fz)=0,"-",INDEX(v,MATCH(MIN(fz),fz,0)))),"-"))</f>
        <v/>
      </c>
      <c r="M31" s="13">
        <f>IF($A31="","",IFERROR(LET(v,FILTER(SAISIE!$E$5:$E$504,(VALUE(TRIM(LEFT(SAISIE!$A$5:$A$504,SEARCH("/",SAISIE!$A$5:$A$504&amp;"/")-1)))=$A31)*(ISNUMBER(SEARCH("Neige",SAISIE!$B$5:$B$504))*(NOT(ISNUMBER(SEARCH("accidentel",SAISIE!$B$5:$B$504)))))*(SAISIE!$E$5:$E$504&lt;&gt;"")),IF(COUNT(v)=0,"-",MIN(v))),"-"))</f>
        <v/>
      </c>
      <c r="N31" s="13">
        <f>IF($A31="","",IFERROR(LET(v,FILTER(SAISIE!$C$5:$C$504,(VALUE(TRIM(LEFT(SAISIE!$A$5:$A$504,SEARCH("/",SAISIE!$A$5:$A$504&amp;"/")-1)))=$A31)*(ISNUMBER(SEARCH("accidentel",SAISIE!$B$5:$B$504)))*(SAISIE!$E$5:$E$504&lt;&gt;"")),IF(COUNT(v)=0,"-",INDEX(v,1))),"-"))</f>
        <v/>
      </c>
      <c r="O31" s="13">
        <f>IF($A31="","",IFERROR(LET(v,FILTER(SAISIE!$E$5:$E$504,(VALUE(TRIM(LEFT(SAISIE!$A$5:$A$504,SEARCH("/",SAISIE!$A$5:$A$504&amp;"/")-1)))=$A31)*(ISNUMBER(SEARCH("accidentel",SAISIE!$B$5:$B$504)))*(SAISIE!$E$5:$E$504&lt;&gt;"")),IF(COUNT(v)=0,"-",INDEX(v,1))),"-"))</f>
        <v/>
      </c>
    </row>
    <row r="32">
      <c r="A32" s="14">
        <f>IFERROR(INDEX(IFERROR(UNIQUE(FILTER(VALUE(TRIM(LEFT(SAISIE!$A$5:$A$504,SEARCH("/",SAISIE!$A$5:$A$504&amp;"/")-1))),SAISIE!$A$5:$A$504&lt;&gt;"")),""),28),"")</f>
        <v/>
      </c>
      <c r="B32" s="13">
        <f>IF($A32="","",IFERROR(LET(v,FILTER(SAISIE!$C$5:$C$504,(VALUE(TRIM(LEFT(SAISIE!$A$5:$A$504,SEARCH("/",SAISIE!$A$5:$A$504&amp;"/")-1)))=$A32)*(OR(ISNUMBER(SEARCH("Couverture",SAISIE!$B$5:$B$504)),LEFT(SAISIE!$B$5:$B$504,2)="G "))),IF(COUNT(v)=0,"-",INDEX(v,1))),"-"))</f>
        <v/>
      </c>
      <c r="C32" s="13">
        <f>IF($A32="","",IFERROR(LET(v,FILTER(SAISIE!$E$5:$E$504,(VALUE(TRIM(LEFT(SAISIE!$A$5:$A$504,SEARCH("/",SAISIE!$A$5:$A$504&amp;"/")-1)))=$A32)*(OR(ISNUMBER(SEARCH("Couverture",SAISIE!$B$5:$B$504)),LEFT(SAISIE!$B$5:$B$504,2)="G "))),IF(COUNT(v)=0,"-",INDEX(v,1))),"-"))</f>
        <v/>
      </c>
      <c r="D32" s="13">
        <f>IF($A32="","",IFERROR(LET(fx,FILTER(SAISIE!$C$5:$C$504,(VALUE(TRIM(LEFT(SAISIE!$A$5:$A$504,SEARCH("/",SAISIE!$A$5:$A$504&amp;"/")-1)))=$A32)*(ISNUMBER(SEARCH("Vent G/D",SAISIE!$B$5:$B$504)))*(SAISIE!$E$5:$E$504&lt;&gt;"")),fz,FILTER(SAISIE!$E$5:$E$504,(VALUE(TRIM(LEFT(SAISIE!$A$5:$A$504,SEARCH("/",SAISIE!$A$5:$A$504&amp;"/")-1)))=$A32)*(ISNUMBER(SEARCH("Vent G/D",SAISIE!$B$5:$B$504)))*(SAISIE!$E$5:$E$504&lt;&gt;"")),mf,MIN(fz),IF(COUNT(fz)=0,"-",IF(MIN(fz)&gt;=0,INDEX(fx,MATCH(MAX(fx),fx,0)),INDEX(fx,MATCH(mf,fz,0))))),"-"))</f>
        <v/>
      </c>
      <c r="E32" s="13">
        <f>IF($A32="","",IFERROR(LET(fz,FILTER(SAISIE!$E$5:$E$504,(VALUE(TRIM(LEFT(SAISIE!$A$5:$A$504,SEARCH("/",SAISIE!$A$5:$A$504&amp;"/")-1)))=$A32)*(ISNUMBER(SEARCH("Vent G/D",SAISIE!$B$5:$B$504)))*(SAISIE!$E$5:$E$504&lt;&gt;"")),IF(COUNT(fz)=0,"-",IF(MIN(fz)&gt;=0,0,MIN(fz)))),"-"))</f>
        <v/>
      </c>
      <c r="F32" s="13">
        <f>IF($A32="","",IFERROR(LET(fx,FILTER(SAISIE!$C$5:$C$504,(VALUE(TRIM(LEFT(SAISIE!$A$5:$A$504,SEARCH("/",SAISIE!$A$5:$A$504&amp;"/")-1)))=$A32)*(ISNUMBER(SEARCH("Vent G/D",SAISIE!$B$5:$B$504)))*(SAISIE!$E$5:$E$504&lt;&gt;"")),fz,FILTER(SAISIE!$E$5:$E$504,(VALUE(TRIM(LEFT(SAISIE!$A$5:$A$504,SEARCH("/",SAISIE!$A$5:$A$504&amp;"/")-1)))=$A32)*(ISNUMBER(SEARCH("Vent G/D",SAISIE!$B$5:$B$504)))*(SAISIE!$E$5:$E$504&lt;&gt;"")),Mf,MAX(fz),INDEX(fx,MATCH(Mf,fz,0))),"-"))</f>
        <v/>
      </c>
      <c r="G32" s="13">
        <f>IF($A32="","",IFERROR(LET(fz,FILTER(SAISIE!$E$5:$E$504,(VALUE(TRIM(LEFT(SAISIE!$A$5:$A$504,SEARCH("/",SAISIE!$A$5:$A$504&amp;"/")-1)))=$A32)*(ISNUMBER(SEARCH("Vent G/D",SAISIE!$B$5:$B$504)))*(SAISIE!$E$5:$E$504&lt;&gt;"")),IF(COUNT(fz)=0,"-",MAX(fz))),"-"))</f>
        <v/>
      </c>
      <c r="H32" s="13">
        <f>IF($A32="","",IFERROR(LET(fx,FILTER(SAISIE!$C$5:$C$504,(VALUE(TRIM(LEFT(SAISIE!$A$5:$A$504,SEARCH("/",SAISIE!$A$5:$A$504&amp;"/")-1)))=$A32)*(ISNUMBER(SEARCH("Vent D/G",SAISIE!$B$5:$B$504)))*(SAISIE!$E$5:$E$504&lt;&gt;"")),fz,FILTER(SAISIE!$E$5:$E$504,(VALUE(TRIM(LEFT(SAISIE!$A$5:$A$504,SEARCH("/",SAISIE!$A$5:$A$504&amp;"/")-1)))=$A32)*(ISNUMBER(SEARCH("Vent D/G",SAISIE!$B$5:$B$504)))*(SAISIE!$E$5:$E$504&lt;&gt;"")),mf,MIN(fz),IF(COUNT(fz)=0,"-",IF(MIN(fz)&gt;=0,INDEX(fx,MATCH(MAX(fx),fx,0)),INDEX(fx,MATCH(mf,fz,0))))),"-"))</f>
        <v/>
      </c>
      <c r="I32" s="13">
        <f>IF($A32="","",IFERROR(LET(fz,FILTER(SAISIE!$E$5:$E$504,(VALUE(TRIM(LEFT(SAISIE!$A$5:$A$504,SEARCH("/",SAISIE!$A$5:$A$504&amp;"/")-1)))=$A32)*(ISNUMBER(SEARCH("Vent D/G",SAISIE!$B$5:$B$504)))*(SAISIE!$E$5:$E$504&lt;&gt;"")),IF(COUNT(fz)=0,"-",IF(MIN(fz)&gt;=0,0,MIN(fz)))),"-"))</f>
        <v/>
      </c>
      <c r="J32" s="13">
        <f>IF($A32="","",IFERROR(LET(fx,FILTER(SAISIE!$C$5:$C$504,(VALUE(TRIM(LEFT(SAISIE!$A$5:$A$504,SEARCH("/",SAISIE!$A$5:$A$504&amp;"/")-1)))=$A32)*(ISNUMBER(SEARCH("Vent D/G",SAISIE!$B$5:$B$504)))*(SAISIE!$E$5:$E$504&lt;&gt;"")),fz,FILTER(SAISIE!$E$5:$E$504,(VALUE(TRIM(LEFT(SAISIE!$A$5:$A$504,SEARCH("/",SAISIE!$A$5:$A$504&amp;"/")-1)))=$A32)*(ISNUMBER(SEARCH("Vent D/G",SAISIE!$B$5:$B$504)))*(SAISIE!$E$5:$E$504&lt;&gt;"")),Mf,MAX(fz),INDEX(fx,MATCH(Mf,fz,0))),"-"))</f>
        <v/>
      </c>
      <c r="K32" s="13">
        <f>IF($A32="","",IFERROR(LET(fz,FILTER(SAISIE!$E$5:$E$504,(VALUE(TRIM(LEFT(SAISIE!$A$5:$A$504,SEARCH("/",SAISIE!$A$5:$A$504&amp;"/")-1)))=$A32)*(ISNUMBER(SEARCH("Vent D/G",SAISIE!$B$5:$B$504)))*(SAISIE!$E$5:$E$504&lt;&gt;"")),IF(COUNT(fz)=0,"-",MAX(fz))),"-"))</f>
        <v/>
      </c>
      <c r="L32" s="13">
        <f>IF($A32="","",IFERROR(LET(v,FILTER(SAISIE!$C$5:$C$504,(VALUE(TRIM(LEFT(SAISIE!$A$5:$A$504,SEARCH("/",SAISIE!$A$5:$A$504&amp;"/")-1)))=$A32)*(ISNUMBER(SEARCH("Neige",SAISIE!$B$5:$B$504))*(NOT(ISNUMBER(SEARCH("accidentel",SAISIE!$B$5:$B$504)))))*(SAISIE!$E$5:$E$504&lt;&gt;"")),fz,FILTER(SAISIE!$E$5:$E$504,(VALUE(TRIM(LEFT(SAISIE!$A$5:$A$504,SEARCH("/",SAISIE!$A$5:$A$504&amp;"/")-1)))=$A32)*(ISNUMBER(SEARCH("Neige",SAISIE!$B$5:$B$504))*(NOT(ISNUMBER(SEARCH("accidentel",SAISIE!$B$5:$B$504)))))*(SAISIE!$E$5:$E$504&lt;&gt;"")),IF(COUNT(fz)=0,"-",INDEX(v,MATCH(MIN(fz),fz,0)))),"-"))</f>
        <v/>
      </c>
      <c r="M32" s="13">
        <f>IF($A32="","",IFERROR(LET(v,FILTER(SAISIE!$E$5:$E$504,(VALUE(TRIM(LEFT(SAISIE!$A$5:$A$504,SEARCH("/",SAISIE!$A$5:$A$504&amp;"/")-1)))=$A32)*(ISNUMBER(SEARCH("Neige",SAISIE!$B$5:$B$504))*(NOT(ISNUMBER(SEARCH("accidentel",SAISIE!$B$5:$B$504)))))*(SAISIE!$E$5:$E$504&lt;&gt;"")),IF(COUNT(v)=0,"-",MIN(v))),"-"))</f>
        <v/>
      </c>
      <c r="N32" s="13">
        <f>IF($A32="","",IFERROR(LET(v,FILTER(SAISIE!$C$5:$C$504,(VALUE(TRIM(LEFT(SAISIE!$A$5:$A$504,SEARCH("/",SAISIE!$A$5:$A$504&amp;"/")-1)))=$A32)*(ISNUMBER(SEARCH("accidentel",SAISIE!$B$5:$B$504)))*(SAISIE!$E$5:$E$504&lt;&gt;"")),IF(COUNT(v)=0,"-",INDEX(v,1))),"-"))</f>
        <v/>
      </c>
      <c r="O32" s="13">
        <f>IF($A32="","",IFERROR(LET(v,FILTER(SAISIE!$E$5:$E$504,(VALUE(TRIM(LEFT(SAISIE!$A$5:$A$504,SEARCH("/",SAISIE!$A$5:$A$504&amp;"/")-1)))=$A32)*(ISNUMBER(SEARCH("accidentel",SAISIE!$B$5:$B$504)))*(SAISIE!$E$5:$E$504&lt;&gt;"")),IF(COUNT(v)=0,"-",INDEX(v,1))),"-"))</f>
        <v/>
      </c>
    </row>
    <row r="33">
      <c r="A33" s="14">
        <f>IFERROR(INDEX(IFERROR(UNIQUE(FILTER(VALUE(TRIM(LEFT(SAISIE!$A$5:$A$504,SEARCH("/",SAISIE!$A$5:$A$504&amp;"/")-1))),SAISIE!$A$5:$A$504&lt;&gt;"")),""),29),"")</f>
        <v/>
      </c>
      <c r="B33" s="13">
        <f>IF($A33="","",IFERROR(LET(v,FILTER(SAISIE!$C$5:$C$504,(VALUE(TRIM(LEFT(SAISIE!$A$5:$A$504,SEARCH("/",SAISIE!$A$5:$A$504&amp;"/")-1)))=$A33)*(OR(ISNUMBER(SEARCH("Couverture",SAISIE!$B$5:$B$504)),LEFT(SAISIE!$B$5:$B$504,2)="G "))),IF(COUNT(v)=0,"-",INDEX(v,1))),"-"))</f>
        <v/>
      </c>
      <c r="C33" s="13">
        <f>IF($A33="","",IFERROR(LET(v,FILTER(SAISIE!$E$5:$E$504,(VALUE(TRIM(LEFT(SAISIE!$A$5:$A$504,SEARCH("/",SAISIE!$A$5:$A$504&amp;"/")-1)))=$A33)*(OR(ISNUMBER(SEARCH("Couverture",SAISIE!$B$5:$B$504)),LEFT(SAISIE!$B$5:$B$504,2)="G "))),IF(COUNT(v)=0,"-",INDEX(v,1))),"-"))</f>
        <v/>
      </c>
      <c r="D33" s="13">
        <f>IF($A33="","",IFERROR(LET(fx,FILTER(SAISIE!$C$5:$C$504,(VALUE(TRIM(LEFT(SAISIE!$A$5:$A$504,SEARCH("/",SAISIE!$A$5:$A$504&amp;"/")-1)))=$A33)*(ISNUMBER(SEARCH("Vent G/D",SAISIE!$B$5:$B$504)))*(SAISIE!$E$5:$E$504&lt;&gt;"")),fz,FILTER(SAISIE!$E$5:$E$504,(VALUE(TRIM(LEFT(SAISIE!$A$5:$A$504,SEARCH("/",SAISIE!$A$5:$A$504&amp;"/")-1)))=$A33)*(ISNUMBER(SEARCH("Vent G/D",SAISIE!$B$5:$B$504)))*(SAISIE!$E$5:$E$504&lt;&gt;"")),mf,MIN(fz),IF(COUNT(fz)=0,"-",IF(MIN(fz)&gt;=0,INDEX(fx,MATCH(MAX(fx),fx,0)),INDEX(fx,MATCH(mf,fz,0))))),"-"))</f>
        <v/>
      </c>
      <c r="E33" s="13">
        <f>IF($A33="","",IFERROR(LET(fz,FILTER(SAISIE!$E$5:$E$504,(VALUE(TRIM(LEFT(SAISIE!$A$5:$A$504,SEARCH("/",SAISIE!$A$5:$A$504&amp;"/")-1)))=$A33)*(ISNUMBER(SEARCH("Vent G/D",SAISIE!$B$5:$B$504)))*(SAISIE!$E$5:$E$504&lt;&gt;"")),IF(COUNT(fz)=0,"-",IF(MIN(fz)&gt;=0,0,MIN(fz)))),"-"))</f>
        <v/>
      </c>
      <c r="F33" s="13">
        <f>IF($A33="","",IFERROR(LET(fx,FILTER(SAISIE!$C$5:$C$504,(VALUE(TRIM(LEFT(SAISIE!$A$5:$A$504,SEARCH("/",SAISIE!$A$5:$A$504&amp;"/")-1)))=$A33)*(ISNUMBER(SEARCH("Vent G/D",SAISIE!$B$5:$B$504)))*(SAISIE!$E$5:$E$504&lt;&gt;"")),fz,FILTER(SAISIE!$E$5:$E$504,(VALUE(TRIM(LEFT(SAISIE!$A$5:$A$504,SEARCH("/",SAISIE!$A$5:$A$504&amp;"/")-1)))=$A33)*(ISNUMBER(SEARCH("Vent G/D",SAISIE!$B$5:$B$504)))*(SAISIE!$E$5:$E$504&lt;&gt;"")),Mf,MAX(fz),INDEX(fx,MATCH(Mf,fz,0))),"-"))</f>
        <v/>
      </c>
      <c r="G33" s="13">
        <f>IF($A33="","",IFERROR(LET(fz,FILTER(SAISIE!$E$5:$E$504,(VALUE(TRIM(LEFT(SAISIE!$A$5:$A$504,SEARCH("/",SAISIE!$A$5:$A$504&amp;"/")-1)))=$A33)*(ISNUMBER(SEARCH("Vent G/D",SAISIE!$B$5:$B$504)))*(SAISIE!$E$5:$E$504&lt;&gt;"")),IF(COUNT(fz)=0,"-",MAX(fz))),"-"))</f>
        <v/>
      </c>
      <c r="H33" s="13">
        <f>IF($A33="","",IFERROR(LET(fx,FILTER(SAISIE!$C$5:$C$504,(VALUE(TRIM(LEFT(SAISIE!$A$5:$A$504,SEARCH("/",SAISIE!$A$5:$A$504&amp;"/")-1)))=$A33)*(ISNUMBER(SEARCH("Vent D/G",SAISIE!$B$5:$B$504)))*(SAISIE!$E$5:$E$504&lt;&gt;"")),fz,FILTER(SAISIE!$E$5:$E$504,(VALUE(TRIM(LEFT(SAISIE!$A$5:$A$504,SEARCH("/",SAISIE!$A$5:$A$504&amp;"/")-1)))=$A33)*(ISNUMBER(SEARCH("Vent D/G",SAISIE!$B$5:$B$504)))*(SAISIE!$E$5:$E$504&lt;&gt;"")),mf,MIN(fz),IF(COUNT(fz)=0,"-",IF(MIN(fz)&gt;=0,INDEX(fx,MATCH(MAX(fx),fx,0)),INDEX(fx,MATCH(mf,fz,0))))),"-"))</f>
        <v/>
      </c>
      <c r="I33" s="13">
        <f>IF($A33="","",IFERROR(LET(fz,FILTER(SAISIE!$E$5:$E$504,(VALUE(TRIM(LEFT(SAISIE!$A$5:$A$504,SEARCH("/",SAISIE!$A$5:$A$504&amp;"/")-1)))=$A33)*(ISNUMBER(SEARCH("Vent D/G",SAISIE!$B$5:$B$504)))*(SAISIE!$E$5:$E$504&lt;&gt;"")),IF(COUNT(fz)=0,"-",IF(MIN(fz)&gt;=0,0,MIN(fz)))),"-"))</f>
        <v/>
      </c>
      <c r="J33" s="13">
        <f>IF($A33="","",IFERROR(LET(fx,FILTER(SAISIE!$C$5:$C$504,(VALUE(TRIM(LEFT(SAISIE!$A$5:$A$504,SEARCH("/",SAISIE!$A$5:$A$504&amp;"/")-1)))=$A33)*(ISNUMBER(SEARCH("Vent D/G",SAISIE!$B$5:$B$504)))*(SAISIE!$E$5:$E$504&lt;&gt;"")),fz,FILTER(SAISIE!$E$5:$E$504,(VALUE(TRIM(LEFT(SAISIE!$A$5:$A$504,SEARCH("/",SAISIE!$A$5:$A$504&amp;"/")-1)))=$A33)*(ISNUMBER(SEARCH("Vent D/G",SAISIE!$B$5:$B$504)))*(SAISIE!$E$5:$E$504&lt;&gt;"")),Mf,MAX(fz),INDEX(fx,MATCH(Mf,fz,0))),"-"))</f>
        <v/>
      </c>
      <c r="K33" s="13">
        <f>IF($A33="","",IFERROR(LET(fz,FILTER(SAISIE!$E$5:$E$504,(VALUE(TRIM(LEFT(SAISIE!$A$5:$A$504,SEARCH("/",SAISIE!$A$5:$A$504&amp;"/")-1)))=$A33)*(ISNUMBER(SEARCH("Vent D/G",SAISIE!$B$5:$B$504)))*(SAISIE!$E$5:$E$504&lt;&gt;"")),IF(COUNT(fz)=0,"-",MAX(fz))),"-"))</f>
        <v/>
      </c>
      <c r="L33" s="13">
        <f>IF($A33="","",IFERROR(LET(v,FILTER(SAISIE!$C$5:$C$504,(VALUE(TRIM(LEFT(SAISIE!$A$5:$A$504,SEARCH("/",SAISIE!$A$5:$A$504&amp;"/")-1)))=$A33)*(ISNUMBER(SEARCH("Neige",SAISIE!$B$5:$B$504))*(NOT(ISNUMBER(SEARCH("accidentel",SAISIE!$B$5:$B$504)))))*(SAISIE!$E$5:$E$504&lt;&gt;"")),fz,FILTER(SAISIE!$E$5:$E$504,(VALUE(TRIM(LEFT(SAISIE!$A$5:$A$504,SEARCH("/",SAISIE!$A$5:$A$504&amp;"/")-1)))=$A33)*(ISNUMBER(SEARCH("Neige",SAISIE!$B$5:$B$504))*(NOT(ISNUMBER(SEARCH("accidentel",SAISIE!$B$5:$B$504)))))*(SAISIE!$E$5:$E$504&lt;&gt;"")),IF(COUNT(fz)=0,"-",INDEX(v,MATCH(MIN(fz),fz,0)))),"-"))</f>
        <v/>
      </c>
      <c r="M33" s="13">
        <f>IF($A33="","",IFERROR(LET(v,FILTER(SAISIE!$E$5:$E$504,(VALUE(TRIM(LEFT(SAISIE!$A$5:$A$504,SEARCH("/",SAISIE!$A$5:$A$504&amp;"/")-1)))=$A33)*(ISNUMBER(SEARCH("Neige",SAISIE!$B$5:$B$504))*(NOT(ISNUMBER(SEARCH("accidentel",SAISIE!$B$5:$B$504)))))*(SAISIE!$E$5:$E$504&lt;&gt;"")),IF(COUNT(v)=0,"-",MIN(v))),"-"))</f>
        <v/>
      </c>
      <c r="N33" s="13">
        <f>IF($A33="","",IFERROR(LET(v,FILTER(SAISIE!$C$5:$C$504,(VALUE(TRIM(LEFT(SAISIE!$A$5:$A$504,SEARCH("/",SAISIE!$A$5:$A$504&amp;"/")-1)))=$A33)*(ISNUMBER(SEARCH("accidentel",SAISIE!$B$5:$B$504)))*(SAISIE!$E$5:$E$504&lt;&gt;"")),IF(COUNT(v)=0,"-",INDEX(v,1))),"-"))</f>
        <v/>
      </c>
      <c r="O33" s="13">
        <f>IF($A33="","",IFERROR(LET(v,FILTER(SAISIE!$E$5:$E$504,(VALUE(TRIM(LEFT(SAISIE!$A$5:$A$504,SEARCH("/",SAISIE!$A$5:$A$504&amp;"/")-1)))=$A33)*(ISNUMBER(SEARCH("accidentel",SAISIE!$B$5:$B$504)))*(SAISIE!$E$5:$E$504&lt;&gt;"")),IF(COUNT(v)=0,"-",INDEX(v,1))),"-"))</f>
        <v/>
      </c>
    </row>
    <row r="34">
      <c r="A34" s="14">
        <f>IFERROR(INDEX(IFERROR(UNIQUE(FILTER(VALUE(TRIM(LEFT(SAISIE!$A$5:$A$504,SEARCH("/",SAISIE!$A$5:$A$504&amp;"/")-1))),SAISIE!$A$5:$A$504&lt;&gt;"")),""),30),"")</f>
        <v/>
      </c>
      <c r="B34" s="13">
        <f>IF($A34="","",IFERROR(LET(v,FILTER(SAISIE!$C$5:$C$504,(VALUE(TRIM(LEFT(SAISIE!$A$5:$A$504,SEARCH("/",SAISIE!$A$5:$A$504&amp;"/")-1)))=$A34)*(OR(ISNUMBER(SEARCH("Couverture",SAISIE!$B$5:$B$504)),LEFT(SAISIE!$B$5:$B$504,2)="G "))),IF(COUNT(v)=0,"-",INDEX(v,1))),"-"))</f>
        <v/>
      </c>
      <c r="C34" s="13">
        <f>IF($A34="","",IFERROR(LET(v,FILTER(SAISIE!$E$5:$E$504,(VALUE(TRIM(LEFT(SAISIE!$A$5:$A$504,SEARCH("/",SAISIE!$A$5:$A$504&amp;"/")-1)))=$A34)*(OR(ISNUMBER(SEARCH("Couverture",SAISIE!$B$5:$B$504)),LEFT(SAISIE!$B$5:$B$504,2)="G "))),IF(COUNT(v)=0,"-",INDEX(v,1))),"-"))</f>
        <v/>
      </c>
      <c r="D34" s="13">
        <f>IF($A34="","",IFERROR(LET(fx,FILTER(SAISIE!$C$5:$C$504,(VALUE(TRIM(LEFT(SAISIE!$A$5:$A$504,SEARCH("/",SAISIE!$A$5:$A$504&amp;"/")-1)))=$A34)*(ISNUMBER(SEARCH("Vent G/D",SAISIE!$B$5:$B$504)))*(SAISIE!$E$5:$E$504&lt;&gt;"")),fz,FILTER(SAISIE!$E$5:$E$504,(VALUE(TRIM(LEFT(SAISIE!$A$5:$A$504,SEARCH("/",SAISIE!$A$5:$A$504&amp;"/")-1)))=$A34)*(ISNUMBER(SEARCH("Vent G/D",SAISIE!$B$5:$B$504)))*(SAISIE!$E$5:$E$504&lt;&gt;"")),mf,MIN(fz),IF(COUNT(fz)=0,"-",IF(MIN(fz)&gt;=0,INDEX(fx,MATCH(MAX(fx),fx,0)),INDEX(fx,MATCH(mf,fz,0))))),"-"))</f>
        <v/>
      </c>
      <c r="E34" s="13">
        <f>IF($A34="","",IFERROR(LET(fz,FILTER(SAISIE!$E$5:$E$504,(VALUE(TRIM(LEFT(SAISIE!$A$5:$A$504,SEARCH("/",SAISIE!$A$5:$A$504&amp;"/")-1)))=$A34)*(ISNUMBER(SEARCH("Vent G/D",SAISIE!$B$5:$B$504)))*(SAISIE!$E$5:$E$504&lt;&gt;"")),IF(COUNT(fz)=0,"-",IF(MIN(fz)&gt;=0,0,MIN(fz)))),"-"))</f>
        <v/>
      </c>
      <c r="F34" s="13">
        <f>IF($A34="","",IFERROR(LET(fx,FILTER(SAISIE!$C$5:$C$504,(VALUE(TRIM(LEFT(SAISIE!$A$5:$A$504,SEARCH("/",SAISIE!$A$5:$A$504&amp;"/")-1)))=$A34)*(ISNUMBER(SEARCH("Vent G/D",SAISIE!$B$5:$B$504)))*(SAISIE!$E$5:$E$504&lt;&gt;"")),fz,FILTER(SAISIE!$E$5:$E$504,(VALUE(TRIM(LEFT(SAISIE!$A$5:$A$504,SEARCH("/",SAISIE!$A$5:$A$504&amp;"/")-1)))=$A34)*(ISNUMBER(SEARCH("Vent G/D",SAISIE!$B$5:$B$504)))*(SAISIE!$E$5:$E$504&lt;&gt;"")),Mf,MAX(fz),INDEX(fx,MATCH(Mf,fz,0))),"-"))</f>
        <v/>
      </c>
      <c r="G34" s="13">
        <f>IF($A34="","",IFERROR(LET(fz,FILTER(SAISIE!$E$5:$E$504,(VALUE(TRIM(LEFT(SAISIE!$A$5:$A$504,SEARCH("/",SAISIE!$A$5:$A$504&amp;"/")-1)))=$A34)*(ISNUMBER(SEARCH("Vent G/D",SAISIE!$B$5:$B$504)))*(SAISIE!$E$5:$E$504&lt;&gt;"")),IF(COUNT(fz)=0,"-",MAX(fz))),"-"))</f>
        <v/>
      </c>
      <c r="H34" s="13">
        <f>IF($A34="","",IFERROR(LET(fx,FILTER(SAISIE!$C$5:$C$504,(VALUE(TRIM(LEFT(SAISIE!$A$5:$A$504,SEARCH("/",SAISIE!$A$5:$A$504&amp;"/")-1)))=$A34)*(ISNUMBER(SEARCH("Vent D/G",SAISIE!$B$5:$B$504)))*(SAISIE!$E$5:$E$504&lt;&gt;"")),fz,FILTER(SAISIE!$E$5:$E$504,(VALUE(TRIM(LEFT(SAISIE!$A$5:$A$504,SEARCH("/",SAISIE!$A$5:$A$504&amp;"/")-1)))=$A34)*(ISNUMBER(SEARCH("Vent D/G",SAISIE!$B$5:$B$504)))*(SAISIE!$E$5:$E$504&lt;&gt;"")),mf,MIN(fz),IF(COUNT(fz)=0,"-",IF(MIN(fz)&gt;=0,INDEX(fx,MATCH(MAX(fx),fx,0)),INDEX(fx,MATCH(mf,fz,0))))),"-"))</f>
        <v/>
      </c>
      <c r="I34" s="13">
        <f>IF($A34="","",IFERROR(LET(fz,FILTER(SAISIE!$E$5:$E$504,(VALUE(TRIM(LEFT(SAISIE!$A$5:$A$504,SEARCH("/",SAISIE!$A$5:$A$504&amp;"/")-1)))=$A34)*(ISNUMBER(SEARCH("Vent D/G",SAISIE!$B$5:$B$504)))*(SAISIE!$E$5:$E$504&lt;&gt;"")),IF(COUNT(fz)=0,"-",IF(MIN(fz)&gt;=0,0,MIN(fz)))),"-"))</f>
        <v/>
      </c>
      <c r="J34" s="13">
        <f>IF($A34="","",IFERROR(LET(fx,FILTER(SAISIE!$C$5:$C$504,(VALUE(TRIM(LEFT(SAISIE!$A$5:$A$504,SEARCH("/",SAISIE!$A$5:$A$504&amp;"/")-1)))=$A34)*(ISNUMBER(SEARCH("Vent D/G",SAISIE!$B$5:$B$504)))*(SAISIE!$E$5:$E$504&lt;&gt;"")),fz,FILTER(SAISIE!$E$5:$E$504,(VALUE(TRIM(LEFT(SAISIE!$A$5:$A$504,SEARCH("/",SAISIE!$A$5:$A$504&amp;"/")-1)))=$A34)*(ISNUMBER(SEARCH("Vent D/G",SAISIE!$B$5:$B$504)))*(SAISIE!$E$5:$E$504&lt;&gt;"")),Mf,MAX(fz),INDEX(fx,MATCH(Mf,fz,0))),"-"))</f>
        <v/>
      </c>
      <c r="K34" s="13">
        <f>IF($A34="","",IFERROR(LET(fz,FILTER(SAISIE!$E$5:$E$504,(VALUE(TRIM(LEFT(SAISIE!$A$5:$A$504,SEARCH("/",SAISIE!$A$5:$A$504&amp;"/")-1)))=$A34)*(ISNUMBER(SEARCH("Vent D/G",SAISIE!$B$5:$B$504)))*(SAISIE!$E$5:$E$504&lt;&gt;"")),IF(COUNT(fz)=0,"-",MAX(fz))),"-"))</f>
        <v/>
      </c>
      <c r="L34" s="13">
        <f>IF($A34="","",IFERROR(LET(v,FILTER(SAISIE!$C$5:$C$504,(VALUE(TRIM(LEFT(SAISIE!$A$5:$A$504,SEARCH("/",SAISIE!$A$5:$A$504&amp;"/")-1)))=$A34)*(ISNUMBER(SEARCH("Neige",SAISIE!$B$5:$B$504))*(NOT(ISNUMBER(SEARCH("accidentel",SAISIE!$B$5:$B$504)))))*(SAISIE!$E$5:$E$504&lt;&gt;"")),fz,FILTER(SAISIE!$E$5:$E$504,(VALUE(TRIM(LEFT(SAISIE!$A$5:$A$504,SEARCH("/",SAISIE!$A$5:$A$504&amp;"/")-1)))=$A34)*(ISNUMBER(SEARCH("Neige",SAISIE!$B$5:$B$504))*(NOT(ISNUMBER(SEARCH("accidentel",SAISIE!$B$5:$B$504)))))*(SAISIE!$E$5:$E$504&lt;&gt;"")),IF(COUNT(fz)=0,"-",INDEX(v,MATCH(MIN(fz),fz,0)))),"-"))</f>
        <v/>
      </c>
      <c r="M34" s="13">
        <f>IF($A34="","",IFERROR(LET(v,FILTER(SAISIE!$E$5:$E$504,(VALUE(TRIM(LEFT(SAISIE!$A$5:$A$504,SEARCH("/",SAISIE!$A$5:$A$504&amp;"/")-1)))=$A34)*(ISNUMBER(SEARCH("Neige",SAISIE!$B$5:$B$504))*(NOT(ISNUMBER(SEARCH("accidentel",SAISIE!$B$5:$B$504)))))*(SAISIE!$E$5:$E$504&lt;&gt;"")),IF(COUNT(v)=0,"-",MIN(v))),"-"))</f>
        <v/>
      </c>
      <c r="N34" s="13">
        <f>IF($A34="","",IFERROR(LET(v,FILTER(SAISIE!$C$5:$C$504,(VALUE(TRIM(LEFT(SAISIE!$A$5:$A$504,SEARCH("/",SAISIE!$A$5:$A$504&amp;"/")-1)))=$A34)*(ISNUMBER(SEARCH("accidentel",SAISIE!$B$5:$B$504)))*(SAISIE!$E$5:$E$504&lt;&gt;"")),IF(COUNT(v)=0,"-",INDEX(v,1))),"-"))</f>
        <v/>
      </c>
      <c r="O34" s="13">
        <f>IF($A34="","",IFERROR(LET(v,FILTER(SAISIE!$E$5:$E$504,(VALUE(TRIM(LEFT(SAISIE!$A$5:$A$504,SEARCH("/",SAISIE!$A$5:$A$504&amp;"/")-1)))=$A34)*(ISNUMBER(SEARCH("accidentel",SAISIE!$B$5:$B$504)))*(SAISIE!$E$5:$E$504&lt;&gt;"")),IF(COUNT(v)=0,"-",INDEX(v,1))),"-"))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2026-06-18T15:00:11Z</dcterms:created>
  <dcterms:modified xsi:type="dcterms:W3CDTF">2026-06-18T15:00:28Z</dcterms:modified>
</cp:coreProperties>
</file>