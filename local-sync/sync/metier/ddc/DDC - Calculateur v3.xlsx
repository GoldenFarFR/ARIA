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ylvain Rio\Downloads\"/>
    </mc:Choice>
  </mc:AlternateContent>
  <xr:revisionPtr revIDLastSave="0" documentId="13_ncr:1_{6750B7B2-3789-4ABB-8492-F4FB5852490E}" xr6:coauthVersionLast="47" xr6:coauthVersionMax="47" xr10:uidLastSave="{00000000-0000-0000-0000-000000000000}"/>
  <bookViews>
    <workbookView xWindow="28680" yWindow="-120" windowWidth="57840" windowHeight="16440" xr2:uid="{00000000-000D-0000-FFFF-FFFF00000000}"/>
  </bookViews>
  <sheets>
    <sheet name="MODE EMPLOI" sheetId="1" r:id="rId1"/>
    <sheet name="SAISIE" sheetId="2" r:id="rId2"/>
    <sheet name="SYNTHE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4" i="2" l="1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G5" i="3" l="1"/>
  <c r="B6" i="3" l="1"/>
  <c r="C6" i="3"/>
  <c r="B7" i="3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B16" i="3"/>
  <c r="C16" i="3"/>
  <c r="D16" i="3"/>
  <c r="D6" i="3"/>
  <c r="G17" i="3"/>
  <c r="A5" i="3"/>
  <c r="G29" i="3" l="1"/>
  <c r="B28" i="3"/>
  <c r="B27" i="3"/>
  <c r="C26" i="3"/>
  <c r="C25" i="3"/>
  <c r="B23" i="3"/>
  <c r="C22" i="3"/>
  <c r="B22" i="3"/>
  <c r="D21" i="3"/>
  <c r="B21" i="3"/>
  <c r="C20" i="3"/>
  <c r="B20" i="3"/>
  <c r="D19" i="3"/>
  <c r="B19" i="3"/>
  <c r="D28" i="3"/>
  <c r="C28" i="3"/>
  <c r="D27" i="3"/>
  <c r="C27" i="3"/>
  <c r="D26" i="3"/>
  <c r="B26" i="3"/>
  <c r="D25" i="3"/>
  <c r="B25" i="3"/>
  <c r="D24" i="3"/>
  <c r="C24" i="3"/>
  <c r="B24" i="3"/>
  <c r="D23" i="3"/>
  <c r="C23" i="3"/>
  <c r="D22" i="3"/>
  <c r="C21" i="3"/>
  <c r="D20" i="3"/>
  <c r="C19" i="3"/>
  <c r="D18" i="3"/>
  <c r="C18" i="3"/>
  <c r="B18" i="3"/>
  <c r="A17" i="3"/>
  <c r="A29" i="3"/>
  <c r="D40" i="3" l="1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D31" i="3"/>
  <c r="B31" i="3"/>
  <c r="C30" i="3"/>
  <c r="C40" i="3"/>
  <c r="B40" i="3"/>
  <c r="D39" i="3"/>
  <c r="B32" i="3"/>
  <c r="C31" i="3"/>
  <c r="D30" i="3"/>
  <c r="B30" i="3"/>
  <c r="G41" i="3"/>
  <c r="G53" i="3"/>
  <c r="A41" i="3"/>
  <c r="B52" i="3" l="1"/>
  <c r="C51" i="3"/>
  <c r="D50" i="3"/>
  <c r="B50" i="3"/>
  <c r="B49" i="3"/>
  <c r="D47" i="3"/>
  <c r="B46" i="3"/>
  <c r="C45" i="3"/>
  <c r="B42" i="3"/>
  <c r="D51" i="3"/>
  <c r="B51" i="3"/>
  <c r="C50" i="3"/>
  <c r="D49" i="3"/>
  <c r="D48" i="3"/>
  <c r="B48" i="3"/>
  <c r="D45" i="3"/>
  <c r="B45" i="3"/>
  <c r="D44" i="3"/>
  <c r="C44" i="3"/>
  <c r="D43" i="3"/>
  <c r="B43" i="3"/>
  <c r="C42" i="3"/>
  <c r="D52" i="3"/>
  <c r="C52" i="3"/>
  <c r="C49" i="3"/>
  <c r="C48" i="3"/>
  <c r="C47" i="3"/>
  <c r="B47" i="3"/>
  <c r="D46" i="3"/>
  <c r="C46" i="3"/>
  <c r="B44" i="3"/>
  <c r="C43" i="3"/>
  <c r="D42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D56" i="3"/>
  <c r="C56" i="3"/>
  <c r="D55" i="3"/>
  <c r="D54" i="3"/>
  <c r="B54" i="3"/>
  <c r="B57" i="3"/>
  <c r="B56" i="3"/>
  <c r="C55" i="3"/>
  <c r="B55" i="3"/>
  <c r="C54" i="3"/>
  <c r="G77" i="3"/>
  <c r="G65" i="3"/>
  <c r="G89" i="3"/>
  <c r="A53" i="3"/>
  <c r="D88" i="3" l="1"/>
  <c r="C88" i="3"/>
  <c r="B88" i="3"/>
  <c r="D87" i="3"/>
  <c r="C87" i="3"/>
  <c r="B87" i="3"/>
  <c r="D86" i="3"/>
  <c r="C86" i="3"/>
  <c r="B86" i="3"/>
  <c r="D85" i="3"/>
  <c r="C85" i="3"/>
  <c r="B85" i="3"/>
  <c r="D84" i="3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66" i="3"/>
  <c r="B76" i="3"/>
  <c r="C76" i="3"/>
  <c r="D76" i="3"/>
  <c r="B66" i="3"/>
  <c r="C66" i="3"/>
  <c r="B67" i="3"/>
  <c r="C67" i="3"/>
  <c r="D67" i="3"/>
  <c r="B68" i="3"/>
  <c r="C68" i="3"/>
  <c r="D68" i="3"/>
  <c r="B69" i="3"/>
  <c r="C69" i="3"/>
  <c r="D69" i="3"/>
  <c r="B70" i="3"/>
  <c r="C70" i="3"/>
  <c r="D70" i="3"/>
  <c r="B71" i="3"/>
  <c r="C71" i="3"/>
  <c r="D71" i="3"/>
  <c r="B72" i="3"/>
  <c r="C72" i="3"/>
  <c r="D72" i="3"/>
  <c r="B73" i="3"/>
  <c r="C73" i="3"/>
  <c r="D73" i="3"/>
  <c r="B74" i="3"/>
  <c r="C74" i="3"/>
  <c r="D74" i="3"/>
  <c r="B75" i="3"/>
  <c r="C75" i="3"/>
  <c r="D75" i="3"/>
  <c r="G101" i="3"/>
  <c r="D100" i="3"/>
  <c r="C100" i="3"/>
  <c r="B100" i="3"/>
  <c r="D99" i="3"/>
  <c r="C99" i="3"/>
  <c r="B99" i="3"/>
  <c r="D98" i="3"/>
  <c r="C98" i="3"/>
  <c r="B98" i="3"/>
  <c r="D97" i="3"/>
  <c r="C97" i="3"/>
  <c r="B97" i="3"/>
  <c r="D96" i="3"/>
  <c r="C96" i="3"/>
  <c r="B96" i="3"/>
  <c r="D95" i="3"/>
  <c r="C95" i="3"/>
  <c r="B95" i="3"/>
  <c r="D94" i="3"/>
  <c r="C94" i="3"/>
  <c r="B94" i="3"/>
  <c r="D93" i="3"/>
  <c r="C93" i="3"/>
  <c r="B93" i="3"/>
  <c r="D92" i="3"/>
  <c r="C92" i="3"/>
  <c r="B92" i="3"/>
  <c r="D91" i="3"/>
  <c r="B91" i="3"/>
  <c r="D90" i="3"/>
  <c r="C90" i="3"/>
  <c r="C91" i="3"/>
  <c r="B90" i="3"/>
  <c r="A65" i="3"/>
  <c r="B102" i="3" l="1"/>
  <c r="C102" i="3"/>
  <c r="D102" i="3"/>
  <c r="B103" i="3"/>
  <c r="C103" i="3"/>
  <c r="D103" i="3"/>
  <c r="B104" i="3"/>
  <c r="C104" i="3"/>
  <c r="D104" i="3"/>
  <c r="B105" i="3"/>
  <c r="C105" i="3"/>
  <c r="D105" i="3"/>
  <c r="B106" i="3"/>
  <c r="C106" i="3"/>
  <c r="D106" i="3"/>
  <c r="B107" i="3"/>
  <c r="C107" i="3"/>
  <c r="D107" i="3"/>
  <c r="B108" i="3"/>
  <c r="C108" i="3"/>
  <c r="D108" i="3"/>
  <c r="B109" i="3"/>
  <c r="C109" i="3"/>
  <c r="D109" i="3"/>
  <c r="B110" i="3"/>
  <c r="C110" i="3"/>
  <c r="D110" i="3"/>
  <c r="B111" i="3"/>
  <c r="C111" i="3"/>
  <c r="D111" i="3"/>
  <c r="B112" i="3"/>
  <c r="C112" i="3"/>
  <c r="D112" i="3"/>
  <c r="G113" i="3"/>
  <c r="A77" i="3"/>
  <c r="G125" i="3" l="1"/>
  <c r="C114" i="3"/>
  <c r="C115" i="3"/>
  <c r="B116" i="3"/>
  <c r="D116" i="3"/>
  <c r="C117" i="3"/>
  <c r="D118" i="3"/>
  <c r="C119" i="3"/>
  <c r="C120" i="3"/>
  <c r="B121" i="3"/>
  <c r="D121" i="3"/>
  <c r="C122" i="3"/>
  <c r="D122" i="3"/>
  <c r="C123" i="3"/>
  <c r="D123" i="3"/>
  <c r="C124" i="3"/>
  <c r="D124" i="3"/>
  <c r="B114" i="3"/>
  <c r="D114" i="3"/>
  <c r="B115" i="3"/>
  <c r="D115" i="3"/>
  <c r="C116" i="3"/>
  <c r="B117" i="3"/>
  <c r="D117" i="3"/>
  <c r="B118" i="3"/>
  <c r="C118" i="3"/>
  <c r="B119" i="3"/>
  <c r="D119" i="3"/>
  <c r="B120" i="3"/>
  <c r="D120" i="3"/>
  <c r="C121" i="3"/>
  <c r="B122" i="3"/>
  <c r="B123" i="3"/>
  <c r="B124" i="3"/>
  <c r="A89" i="3"/>
  <c r="G137" i="3" l="1"/>
  <c r="B126" i="3"/>
  <c r="C126" i="3"/>
  <c r="D126" i="3"/>
  <c r="B127" i="3"/>
  <c r="C127" i="3"/>
  <c r="D127" i="3"/>
  <c r="B128" i="3"/>
  <c r="D128" i="3"/>
  <c r="C129" i="3"/>
  <c r="B130" i="3"/>
  <c r="C130" i="3"/>
  <c r="B131" i="3"/>
  <c r="C131" i="3"/>
  <c r="D131" i="3"/>
  <c r="C132" i="3"/>
  <c r="D132" i="3"/>
  <c r="B133" i="3"/>
  <c r="D133" i="3"/>
  <c r="B134" i="3"/>
  <c r="D134" i="3"/>
  <c r="C135" i="3"/>
  <c r="D135" i="3"/>
  <c r="B136" i="3"/>
  <c r="D136" i="3"/>
  <c r="C128" i="3"/>
  <c r="B129" i="3"/>
  <c r="D129" i="3"/>
  <c r="D130" i="3"/>
  <c r="B132" i="3"/>
  <c r="C133" i="3"/>
  <c r="C134" i="3"/>
  <c r="B135" i="3"/>
  <c r="C136" i="3"/>
  <c r="A101" i="3"/>
  <c r="G149" i="3" l="1"/>
  <c r="B138" i="3"/>
  <c r="D138" i="3"/>
  <c r="C139" i="3"/>
  <c r="B140" i="3"/>
  <c r="C140" i="3"/>
  <c r="B141" i="3"/>
  <c r="B142" i="3"/>
  <c r="D142" i="3"/>
  <c r="B143" i="3"/>
  <c r="D143" i="3"/>
  <c r="B145" i="3"/>
  <c r="D145" i="3"/>
  <c r="C146" i="3"/>
  <c r="B147" i="3"/>
  <c r="C147" i="3"/>
  <c r="D147" i="3"/>
  <c r="B148" i="3"/>
  <c r="C148" i="3"/>
  <c r="D148" i="3"/>
  <c r="C138" i="3"/>
  <c r="B139" i="3"/>
  <c r="C141" i="3"/>
  <c r="D141" i="3"/>
  <c r="C142" i="3"/>
  <c r="B144" i="3"/>
  <c r="D144" i="3"/>
  <c r="C145" i="3"/>
  <c r="D146" i="3"/>
  <c r="D139" i="3"/>
  <c r="D140" i="3"/>
  <c r="C143" i="3"/>
  <c r="C144" i="3"/>
  <c r="B146" i="3"/>
  <c r="A113" i="3"/>
  <c r="B151" i="3" l="1"/>
  <c r="D151" i="3"/>
  <c r="C152" i="3"/>
  <c r="C153" i="3"/>
  <c r="D154" i="3"/>
  <c r="D155" i="3"/>
  <c r="C156" i="3"/>
  <c r="B157" i="3"/>
  <c r="D157" i="3"/>
  <c r="B158" i="3"/>
  <c r="D158" i="3"/>
  <c r="B159" i="3"/>
  <c r="D159" i="3"/>
  <c r="B160" i="3"/>
  <c r="C160" i="3"/>
  <c r="D160" i="3"/>
  <c r="B150" i="3"/>
  <c r="C150" i="3"/>
  <c r="D150" i="3"/>
  <c r="C151" i="3"/>
  <c r="B152" i="3"/>
  <c r="D152" i="3"/>
  <c r="B153" i="3"/>
  <c r="D153" i="3"/>
  <c r="B154" i="3"/>
  <c r="C154" i="3"/>
  <c r="B155" i="3"/>
  <c r="C155" i="3"/>
  <c r="B156" i="3"/>
  <c r="D156" i="3"/>
  <c r="C157" i="3"/>
  <c r="C158" i="3"/>
  <c r="C159" i="3"/>
  <c r="G161" i="3"/>
  <c r="A125" i="3"/>
  <c r="G173" i="3" l="1"/>
  <c r="B162" i="3"/>
  <c r="D162" i="3"/>
  <c r="B163" i="3"/>
  <c r="D163" i="3"/>
  <c r="B164" i="3"/>
  <c r="C164" i="3"/>
  <c r="B165" i="3"/>
  <c r="C165" i="3"/>
  <c r="D165" i="3"/>
  <c r="B166" i="3"/>
  <c r="C166" i="3"/>
  <c r="B167" i="3"/>
  <c r="C167" i="3"/>
  <c r="B168" i="3"/>
  <c r="D168" i="3"/>
  <c r="D169" i="3"/>
  <c r="B170" i="3"/>
  <c r="D170" i="3"/>
  <c r="C171" i="3"/>
  <c r="B172" i="3"/>
  <c r="C172" i="3"/>
  <c r="C162" i="3"/>
  <c r="C163" i="3"/>
  <c r="D164" i="3"/>
  <c r="D166" i="3"/>
  <c r="D167" i="3"/>
  <c r="C168" i="3"/>
  <c r="B169" i="3"/>
  <c r="C169" i="3"/>
  <c r="C170" i="3"/>
  <c r="B171" i="3"/>
  <c r="D171" i="3"/>
  <c r="D172" i="3"/>
  <c r="A137" i="3"/>
  <c r="G185" i="3" l="1"/>
  <c r="B174" i="3"/>
  <c r="C174" i="3"/>
  <c r="D174" i="3"/>
  <c r="B175" i="3"/>
  <c r="C175" i="3"/>
  <c r="D175" i="3"/>
  <c r="B176" i="3"/>
  <c r="C176" i="3"/>
  <c r="D176" i="3"/>
  <c r="B177" i="3"/>
  <c r="C177" i="3"/>
  <c r="D177" i="3"/>
  <c r="B178" i="3"/>
  <c r="C178" i="3"/>
  <c r="D178" i="3"/>
  <c r="B179" i="3"/>
  <c r="C179" i="3"/>
  <c r="D179" i="3"/>
  <c r="B180" i="3"/>
  <c r="C180" i="3"/>
  <c r="D180" i="3"/>
  <c r="B181" i="3"/>
  <c r="C181" i="3"/>
  <c r="D181" i="3"/>
  <c r="B182" i="3"/>
  <c r="C182" i="3"/>
  <c r="D182" i="3"/>
  <c r="B183" i="3"/>
  <c r="C183" i="3"/>
  <c r="D183" i="3"/>
  <c r="B184" i="3"/>
  <c r="C184" i="3"/>
  <c r="D184" i="3"/>
  <c r="A149" i="3"/>
  <c r="G197" i="3" l="1"/>
  <c r="B186" i="3"/>
  <c r="C186" i="3"/>
  <c r="D186" i="3"/>
  <c r="B187" i="3"/>
  <c r="C187" i="3"/>
  <c r="D187" i="3"/>
  <c r="B188" i="3"/>
  <c r="C188" i="3"/>
  <c r="D188" i="3"/>
  <c r="B189" i="3"/>
  <c r="C189" i="3"/>
  <c r="D189" i="3"/>
  <c r="B190" i="3"/>
  <c r="C190" i="3"/>
  <c r="D190" i="3"/>
  <c r="B191" i="3"/>
  <c r="C191" i="3"/>
  <c r="D191" i="3"/>
  <c r="B192" i="3"/>
  <c r="C192" i="3"/>
  <c r="D192" i="3"/>
  <c r="B193" i="3"/>
  <c r="C193" i="3"/>
  <c r="D193" i="3"/>
  <c r="B194" i="3"/>
  <c r="C194" i="3"/>
  <c r="D194" i="3"/>
  <c r="B195" i="3"/>
  <c r="C195" i="3"/>
  <c r="D195" i="3"/>
  <c r="B196" i="3"/>
  <c r="C196" i="3"/>
  <c r="D196" i="3"/>
  <c r="A161" i="3"/>
  <c r="G209" i="3" l="1"/>
  <c r="B198" i="3"/>
  <c r="C198" i="3"/>
  <c r="D198" i="3"/>
  <c r="B199" i="3"/>
  <c r="C199" i="3"/>
  <c r="D199" i="3"/>
  <c r="B200" i="3"/>
  <c r="C200" i="3"/>
  <c r="D200" i="3"/>
  <c r="B201" i="3"/>
  <c r="C201" i="3"/>
  <c r="D201" i="3"/>
  <c r="B202" i="3"/>
  <c r="C202" i="3"/>
  <c r="D202" i="3"/>
  <c r="B203" i="3"/>
  <c r="C203" i="3"/>
  <c r="D203" i="3"/>
  <c r="B204" i="3"/>
  <c r="C204" i="3"/>
  <c r="D204" i="3"/>
  <c r="B205" i="3"/>
  <c r="C205" i="3"/>
  <c r="D205" i="3"/>
  <c r="B206" i="3"/>
  <c r="C206" i="3"/>
  <c r="D206" i="3"/>
  <c r="B207" i="3"/>
  <c r="C207" i="3"/>
  <c r="D207" i="3"/>
  <c r="B208" i="3"/>
  <c r="C208" i="3"/>
  <c r="D208" i="3"/>
  <c r="A173" i="3"/>
  <c r="G221" i="3" l="1"/>
  <c r="B210" i="3"/>
  <c r="C210" i="3"/>
  <c r="D210" i="3"/>
  <c r="B211" i="3"/>
  <c r="C211" i="3"/>
  <c r="D211" i="3"/>
  <c r="B212" i="3"/>
  <c r="C212" i="3"/>
  <c r="D212" i="3"/>
  <c r="B213" i="3"/>
  <c r="C213" i="3"/>
  <c r="D213" i="3"/>
  <c r="B214" i="3"/>
  <c r="C214" i="3"/>
  <c r="D214" i="3"/>
  <c r="B215" i="3"/>
  <c r="C215" i="3"/>
  <c r="D215" i="3"/>
  <c r="B216" i="3"/>
  <c r="C216" i="3"/>
  <c r="D216" i="3"/>
  <c r="B217" i="3"/>
  <c r="C217" i="3"/>
  <c r="D217" i="3"/>
  <c r="B218" i="3"/>
  <c r="C218" i="3"/>
  <c r="D218" i="3"/>
  <c r="B219" i="3"/>
  <c r="C219" i="3"/>
  <c r="D219" i="3"/>
  <c r="B220" i="3"/>
  <c r="C220" i="3"/>
  <c r="D220" i="3"/>
  <c r="A185" i="3"/>
  <c r="B222" i="3" l="1"/>
  <c r="C222" i="3"/>
  <c r="B223" i="3"/>
  <c r="D223" i="3"/>
  <c r="B224" i="3"/>
  <c r="D224" i="3"/>
  <c r="C225" i="3"/>
  <c r="B226" i="3"/>
  <c r="D226" i="3"/>
  <c r="D227" i="3"/>
  <c r="C228" i="3"/>
  <c r="B229" i="3"/>
  <c r="D229" i="3"/>
  <c r="B230" i="3"/>
  <c r="C230" i="3"/>
  <c r="B231" i="3"/>
  <c r="C231" i="3"/>
  <c r="D231" i="3"/>
  <c r="B232" i="3"/>
  <c r="D232" i="3"/>
  <c r="D222" i="3"/>
  <c r="C223" i="3"/>
  <c r="C224" i="3"/>
  <c r="B225" i="3"/>
  <c r="D225" i="3"/>
  <c r="C226" i="3"/>
  <c r="B227" i="3"/>
  <c r="C227" i="3"/>
  <c r="B228" i="3"/>
  <c r="D228" i="3"/>
  <c r="C229" i="3"/>
  <c r="D230" i="3"/>
  <c r="C232" i="3"/>
  <c r="G233" i="3"/>
  <c r="A197" i="3"/>
  <c r="G245" i="3" l="1"/>
  <c r="D234" i="3"/>
  <c r="B234" i="3"/>
  <c r="C235" i="3"/>
  <c r="D235" i="3"/>
  <c r="C236" i="3"/>
  <c r="B237" i="3"/>
  <c r="C237" i="3"/>
  <c r="D237" i="3"/>
  <c r="B238" i="3"/>
  <c r="C238" i="3"/>
  <c r="D238" i="3"/>
  <c r="B239" i="3"/>
  <c r="C239" i="3"/>
  <c r="C240" i="3"/>
  <c r="C243" i="3"/>
  <c r="B244" i="3"/>
  <c r="D244" i="3"/>
  <c r="C234" i="3"/>
  <c r="B235" i="3"/>
  <c r="B236" i="3"/>
  <c r="D236" i="3"/>
  <c r="D239" i="3"/>
  <c r="B240" i="3"/>
  <c r="D240" i="3"/>
  <c r="B241" i="3"/>
  <c r="C241" i="3"/>
  <c r="D241" i="3"/>
  <c r="B242" i="3"/>
  <c r="C242" i="3"/>
  <c r="D242" i="3"/>
  <c r="B243" i="3"/>
  <c r="D243" i="3"/>
  <c r="C244" i="3"/>
  <c r="A209" i="3"/>
  <c r="G257" i="3" l="1"/>
  <c r="C246" i="3"/>
  <c r="B247" i="3"/>
  <c r="C247" i="3"/>
  <c r="B248" i="3"/>
  <c r="B250" i="3"/>
  <c r="C250" i="3"/>
  <c r="D250" i="3"/>
  <c r="B251" i="3"/>
  <c r="C251" i="3"/>
  <c r="D251" i="3"/>
  <c r="B252" i="3"/>
  <c r="C252" i="3"/>
  <c r="D252" i="3"/>
  <c r="B253" i="3"/>
  <c r="C253" i="3"/>
  <c r="D253" i="3"/>
  <c r="B254" i="3"/>
  <c r="C254" i="3"/>
  <c r="D254" i="3"/>
  <c r="B255" i="3"/>
  <c r="C255" i="3"/>
  <c r="D255" i="3"/>
  <c r="B256" i="3"/>
  <c r="C256" i="3"/>
  <c r="D256" i="3"/>
  <c r="B246" i="3"/>
  <c r="D246" i="3"/>
  <c r="D247" i="3"/>
  <c r="C248" i="3"/>
  <c r="D248" i="3"/>
  <c r="B249" i="3"/>
  <c r="C249" i="3"/>
  <c r="D249" i="3"/>
  <c r="A221" i="3"/>
  <c r="G269" i="3" l="1"/>
  <c r="B258" i="3"/>
  <c r="C258" i="3"/>
  <c r="D258" i="3"/>
  <c r="B259" i="3"/>
  <c r="C259" i="3"/>
  <c r="D259" i="3"/>
  <c r="B260" i="3"/>
  <c r="C260" i="3"/>
  <c r="B261" i="3"/>
  <c r="C261" i="3"/>
  <c r="B262" i="3"/>
  <c r="B263" i="3"/>
  <c r="D263" i="3"/>
  <c r="C264" i="3"/>
  <c r="B265" i="3"/>
  <c r="D265" i="3"/>
  <c r="C266" i="3"/>
  <c r="D266" i="3"/>
  <c r="C267" i="3"/>
  <c r="D267" i="3"/>
  <c r="B268" i="3"/>
  <c r="C268" i="3"/>
  <c r="D268" i="3"/>
  <c r="D260" i="3"/>
  <c r="D261" i="3"/>
  <c r="C262" i="3"/>
  <c r="D262" i="3"/>
  <c r="C263" i="3"/>
  <c r="B264" i="3"/>
  <c r="D264" i="3"/>
  <c r="C265" i="3"/>
  <c r="B266" i="3"/>
  <c r="B267" i="3"/>
  <c r="A233" i="3"/>
  <c r="C270" i="3" l="1"/>
  <c r="D270" i="3"/>
  <c r="D271" i="3"/>
  <c r="C272" i="3"/>
  <c r="D272" i="3"/>
  <c r="C273" i="3"/>
  <c r="B274" i="3"/>
  <c r="C274" i="3"/>
  <c r="B275" i="3"/>
  <c r="C275" i="3"/>
  <c r="D275" i="3"/>
  <c r="C276" i="3"/>
  <c r="B277" i="3"/>
  <c r="D277" i="3"/>
  <c r="C278" i="3"/>
  <c r="B279" i="3"/>
  <c r="D279" i="3"/>
  <c r="C280" i="3"/>
  <c r="B270" i="3"/>
  <c r="B271" i="3"/>
  <c r="C271" i="3"/>
  <c r="B272" i="3"/>
  <c r="B273" i="3"/>
  <c r="D273" i="3"/>
  <c r="D274" i="3"/>
  <c r="B276" i="3"/>
  <c r="D276" i="3"/>
  <c r="C277" i="3"/>
  <c r="B278" i="3"/>
  <c r="D278" i="3"/>
  <c r="C279" i="3"/>
  <c r="B280" i="3"/>
  <c r="D280" i="3"/>
  <c r="G281" i="3"/>
  <c r="A245" i="3"/>
  <c r="G293" i="3" l="1"/>
  <c r="C282" i="3"/>
  <c r="D282" i="3"/>
  <c r="D283" i="3"/>
  <c r="D284" i="3"/>
  <c r="D285" i="3"/>
  <c r="B287" i="3"/>
  <c r="D287" i="3"/>
  <c r="B282" i="3"/>
  <c r="B283" i="3"/>
  <c r="B284" i="3"/>
  <c r="C284" i="3"/>
  <c r="C285" i="3"/>
  <c r="C286" i="3"/>
  <c r="B288" i="3"/>
  <c r="D288" i="3"/>
  <c r="C289" i="3"/>
  <c r="B290" i="3"/>
  <c r="B291" i="3"/>
  <c r="B292" i="3"/>
  <c r="C283" i="3"/>
  <c r="B285" i="3"/>
  <c r="B286" i="3"/>
  <c r="D286" i="3"/>
  <c r="C287" i="3"/>
  <c r="C288" i="3"/>
  <c r="B289" i="3"/>
  <c r="D289" i="3"/>
  <c r="C290" i="3"/>
  <c r="D290" i="3"/>
  <c r="C291" i="3"/>
  <c r="D291" i="3"/>
  <c r="C292" i="3"/>
  <c r="D292" i="3"/>
  <c r="A257" i="3"/>
  <c r="G305" i="3" l="1"/>
  <c r="B294" i="3"/>
  <c r="C294" i="3"/>
  <c r="B295" i="3"/>
  <c r="D295" i="3"/>
  <c r="C296" i="3"/>
  <c r="D296" i="3"/>
  <c r="C297" i="3"/>
  <c r="C298" i="3"/>
  <c r="B299" i="3"/>
  <c r="C299" i="3"/>
  <c r="D299" i="3"/>
  <c r="C300" i="3"/>
  <c r="D300" i="3"/>
  <c r="C301" i="3"/>
  <c r="C302" i="3"/>
  <c r="B301" i="3"/>
  <c r="D294" i="3"/>
  <c r="C295" i="3"/>
  <c r="B296" i="3"/>
  <c r="B297" i="3"/>
  <c r="D297" i="3"/>
  <c r="B298" i="3"/>
  <c r="D298" i="3"/>
  <c r="B300" i="3"/>
  <c r="D301" i="3"/>
  <c r="B302" i="3"/>
  <c r="D302" i="3"/>
  <c r="B303" i="3"/>
  <c r="C303" i="3"/>
  <c r="D303" i="3"/>
  <c r="B304" i="3"/>
  <c r="C304" i="3"/>
  <c r="D304" i="3"/>
  <c r="A269" i="3"/>
  <c r="C306" i="3" l="1"/>
  <c r="D306" i="3"/>
  <c r="C307" i="3"/>
  <c r="D309" i="3"/>
  <c r="C310" i="3"/>
  <c r="D310" i="3"/>
  <c r="B311" i="3"/>
  <c r="C311" i="3"/>
  <c r="D311" i="3"/>
  <c r="B312" i="3"/>
  <c r="C312" i="3"/>
  <c r="D312" i="3"/>
  <c r="B313" i="3"/>
  <c r="C313" i="3"/>
  <c r="D313" i="3"/>
  <c r="B314" i="3"/>
  <c r="C314" i="3"/>
  <c r="D314" i="3"/>
  <c r="B315" i="3"/>
  <c r="C315" i="3"/>
  <c r="D315" i="3"/>
  <c r="B316" i="3"/>
  <c r="C316" i="3"/>
  <c r="D316" i="3"/>
  <c r="B306" i="3"/>
  <c r="B307" i="3"/>
  <c r="D307" i="3"/>
  <c r="B308" i="3"/>
  <c r="C308" i="3"/>
  <c r="D308" i="3"/>
  <c r="B309" i="3"/>
  <c r="C309" i="3"/>
  <c r="B310" i="3"/>
  <c r="G317" i="3"/>
  <c r="A281" i="3"/>
  <c r="G329" i="3" l="1"/>
  <c r="B318" i="3"/>
  <c r="C318" i="3"/>
  <c r="D318" i="3"/>
  <c r="B319" i="3"/>
  <c r="C319" i="3"/>
  <c r="D319" i="3"/>
  <c r="B320" i="3"/>
  <c r="C320" i="3"/>
  <c r="D320" i="3"/>
  <c r="B321" i="3"/>
  <c r="C321" i="3"/>
  <c r="D321" i="3"/>
  <c r="B322" i="3"/>
  <c r="C322" i="3"/>
  <c r="D322" i="3"/>
  <c r="B323" i="3"/>
  <c r="C323" i="3"/>
  <c r="D323" i="3"/>
  <c r="B324" i="3"/>
  <c r="C324" i="3"/>
  <c r="D324" i="3"/>
  <c r="B325" i="3"/>
  <c r="C325" i="3"/>
  <c r="D325" i="3"/>
  <c r="B326" i="3"/>
  <c r="C326" i="3"/>
  <c r="D326" i="3"/>
  <c r="B327" i="3"/>
  <c r="C327" i="3"/>
  <c r="D327" i="3"/>
  <c r="B328" i="3"/>
  <c r="C328" i="3"/>
  <c r="D328" i="3"/>
  <c r="A293" i="3"/>
  <c r="G341" i="3" l="1"/>
  <c r="B330" i="3"/>
  <c r="C330" i="3"/>
  <c r="D330" i="3"/>
  <c r="B331" i="3"/>
  <c r="C331" i="3"/>
  <c r="D331" i="3"/>
  <c r="B332" i="3"/>
  <c r="C332" i="3"/>
  <c r="D332" i="3"/>
  <c r="B333" i="3"/>
  <c r="C333" i="3"/>
  <c r="D333" i="3"/>
  <c r="B334" i="3"/>
  <c r="C334" i="3"/>
  <c r="D334" i="3"/>
  <c r="B335" i="3"/>
  <c r="C335" i="3"/>
  <c r="D335" i="3"/>
  <c r="B336" i="3"/>
  <c r="C336" i="3"/>
  <c r="D336" i="3"/>
  <c r="B337" i="3"/>
  <c r="C337" i="3"/>
  <c r="D337" i="3"/>
  <c r="B338" i="3"/>
  <c r="C338" i="3"/>
  <c r="D338" i="3"/>
  <c r="B339" i="3"/>
  <c r="C339" i="3"/>
  <c r="D339" i="3"/>
  <c r="B340" i="3"/>
  <c r="C340" i="3"/>
  <c r="D340" i="3"/>
  <c r="A305" i="3"/>
  <c r="G353" i="3" l="1"/>
  <c r="B342" i="3"/>
  <c r="C342" i="3"/>
  <c r="D342" i="3"/>
  <c r="B343" i="3"/>
  <c r="C343" i="3"/>
  <c r="D343" i="3"/>
  <c r="B344" i="3"/>
  <c r="C344" i="3"/>
  <c r="D344" i="3"/>
  <c r="B345" i="3"/>
  <c r="C345" i="3"/>
  <c r="D345" i="3"/>
  <c r="B346" i="3"/>
  <c r="C346" i="3"/>
  <c r="D346" i="3"/>
  <c r="B347" i="3"/>
  <c r="C347" i="3"/>
  <c r="D347" i="3"/>
  <c r="B348" i="3"/>
  <c r="C348" i="3"/>
  <c r="D348" i="3"/>
  <c r="B349" i="3"/>
  <c r="C349" i="3"/>
  <c r="D349" i="3"/>
  <c r="B350" i="3"/>
  <c r="C350" i="3"/>
  <c r="D350" i="3"/>
  <c r="B351" i="3"/>
  <c r="C351" i="3"/>
  <c r="D351" i="3"/>
  <c r="B352" i="3"/>
  <c r="C352" i="3"/>
  <c r="D352" i="3"/>
  <c r="A317" i="3"/>
  <c r="G365" i="3" l="1"/>
  <c r="B354" i="3"/>
  <c r="C354" i="3"/>
  <c r="D354" i="3"/>
  <c r="B355" i="3"/>
  <c r="C355" i="3"/>
  <c r="D355" i="3"/>
  <c r="B356" i="3"/>
  <c r="C356" i="3"/>
  <c r="D356" i="3"/>
  <c r="B357" i="3"/>
  <c r="C357" i="3"/>
  <c r="D357" i="3"/>
  <c r="B358" i="3"/>
  <c r="C358" i="3"/>
  <c r="D358" i="3"/>
  <c r="B359" i="3"/>
  <c r="C359" i="3"/>
  <c r="D359" i="3"/>
  <c r="B360" i="3"/>
  <c r="C360" i="3"/>
  <c r="D360" i="3"/>
  <c r="B361" i="3"/>
  <c r="C361" i="3"/>
  <c r="D361" i="3"/>
  <c r="B362" i="3"/>
  <c r="C362" i="3"/>
  <c r="D362" i="3"/>
  <c r="B363" i="3"/>
  <c r="C363" i="3"/>
  <c r="D363" i="3"/>
  <c r="B364" i="3"/>
  <c r="C364" i="3"/>
  <c r="D364" i="3"/>
  <c r="A329" i="3"/>
  <c r="B366" i="3" l="1"/>
  <c r="C366" i="3"/>
  <c r="D366" i="3"/>
  <c r="B367" i="3"/>
  <c r="C367" i="3"/>
  <c r="D367" i="3"/>
  <c r="B368" i="3"/>
  <c r="C368" i="3"/>
  <c r="D368" i="3"/>
  <c r="B369" i="3"/>
  <c r="C369" i="3"/>
  <c r="D369" i="3"/>
  <c r="B370" i="3"/>
  <c r="C370" i="3"/>
  <c r="D370" i="3"/>
  <c r="B371" i="3"/>
  <c r="C371" i="3"/>
  <c r="D371" i="3"/>
  <c r="B372" i="3"/>
  <c r="C372" i="3"/>
  <c r="D372" i="3"/>
  <c r="B373" i="3"/>
  <c r="C373" i="3"/>
  <c r="D373" i="3"/>
  <c r="B374" i="3"/>
  <c r="C374" i="3"/>
  <c r="D374" i="3"/>
  <c r="B375" i="3"/>
  <c r="C375" i="3"/>
  <c r="D375" i="3"/>
  <c r="B376" i="3"/>
  <c r="C376" i="3"/>
  <c r="D376" i="3"/>
  <c r="G377" i="3"/>
  <c r="A341" i="3"/>
  <c r="G389" i="3" l="1"/>
  <c r="B378" i="3"/>
  <c r="C378" i="3"/>
  <c r="D378" i="3"/>
  <c r="B379" i="3"/>
  <c r="C379" i="3"/>
  <c r="D379" i="3"/>
  <c r="B380" i="3"/>
  <c r="C380" i="3"/>
  <c r="D380" i="3"/>
  <c r="B381" i="3"/>
  <c r="C381" i="3"/>
  <c r="D381" i="3"/>
  <c r="B382" i="3"/>
  <c r="C382" i="3"/>
  <c r="D382" i="3"/>
  <c r="B383" i="3"/>
  <c r="C383" i="3"/>
  <c r="D383" i="3"/>
  <c r="B384" i="3"/>
  <c r="C384" i="3"/>
  <c r="D384" i="3"/>
  <c r="B385" i="3"/>
  <c r="C385" i="3"/>
  <c r="D385" i="3"/>
  <c r="B386" i="3"/>
  <c r="C386" i="3"/>
  <c r="D386" i="3"/>
  <c r="B387" i="3"/>
  <c r="C387" i="3"/>
  <c r="D387" i="3"/>
  <c r="B388" i="3"/>
  <c r="C388" i="3"/>
  <c r="D388" i="3"/>
  <c r="A353" i="3"/>
  <c r="C390" i="3" l="1"/>
  <c r="D390" i="3"/>
  <c r="B392" i="3"/>
  <c r="C392" i="3"/>
  <c r="D392" i="3"/>
  <c r="B393" i="3"/>
  <c r="C393" i="3"/>
  <c r="D393" i="3"/>
  <c r="B394" i="3"/>
  <c r="C394" i="3"/>
  <c r="D394" i="3"/>
  <c r="B395" i="3"/>
  <c r="C395" i="3"/>
  <c r="D395" i="3"/>
  <c r="B396" i="3"/>
  <c r="C396" i="3"/>
  <c r="D396" i="3"/>
  <c r="B397" i="3"/>
  <c r="C397" i="3"/>
  <c r="D397" i="3"/>
  <c r="B398" i="3"/>
  <c r="C398" i="3"/>
  <c r="D398" i="3"/>
  <c r="B399" i="3"/>
  <c r="C399" i="3"/>
  <c r="D399" i="3"/>
  <c r="B400" i="3"/>
  <c r="C400" i="3"/>
  <c r="D400" i="3"/>
  <c r="B390" i="3"/>
  <c r="B391" i="3"/>
  <c r="C391" i="3"/>
  <c r="D391" i="3"/>
  <c r="G401" i="3"/>
  <c r="A365" i="3"/>
  <c r="G413" i="3" l="1"/>
  <c r="C402" i="3"/>
  <c r="D402" i="3"/>
  <c r="D403" i="3"/>
  <c r="C404" i="3"/>
  <c r="B405" i="3"/>
  <c r="D405" i="3"/>
  <c r="C406" i="3"/>
  <c r="C407" i="3"/>
  <c r="D407" i="3"/>
  <c r="B408" i="3"/>
  <c r="C408" i="3"/>
  <c r="D408" i="3"/>
  <c r="B409" i="3"/>
  <c r="C409" i="3"/>
  <c r="D409" i="3"/>
  <c r="B410" i="3"/>
  <c r="C410" i="3"/>
  <c r="D410" i="3"/>
  <c r="C411" i="3"/>
  <c r="C412" i="3"/>
  <c r="B402" i="3"/>
  <c r="B403" i="3"/>
  <c r="C403" i="3"/>
  <c r="B404" i="3"/>
  <c r="D404" i="3"/>
  <c r="C405" i="3"/>
  <c r="B406" i="3"/>
  <c r="D406" i="3"/>
  <c r="B407" i="3"/>
  <c r="B411" i="3"/>
  <c r="D411" i="3"/>
  <c r="B412" i="3"/>
  <c r="D412" i="3"/>
  <c r="A377" i="3"/>
  <c r="B414" i="3" l="1"/>
  <c r="C414" i="3"/>
  <c r="D414" i="3"/>
  <c r="B415" i="3"/>
  <c r="C415" i="3"/>
  <c r="D415" i="3"/>
  <c r="B416" i="3"/>
  <c r="C416" i="3"/>
  <c r="D416" i="3"/>
  <c r="B417" i="3"/>
  <c r="C417" i="3"/>
  <c r="D417" i="3"/>
  <c r="B418" i="3"/>
  <c r="C418" i="3"/>
  <c r="D418" i="3"/>
  <c r="B419" i="3"/>
  <c r="C419" i="3"/>
  <c r="D419" i="3"/>
  <c r="B420" i="3"/>
  <c r="C420" i="3"/>
  <c r="D420" i="3"/>
  <c r="B421" i="3"/>
  <c r="C421" i="3"/>
  <c r="D421" i="3"/>
  <c r="B422" i="3"/>
  <c r="C422" i="3"/>
  <c r="D422" i="3"/>
  <c r="B423" i="3"/>
  <c r="C423" i="3"/>
  <c r="D423" i="3"/>
  <c r="B424" i="3"/>
  <c r="C424" i="3"/>
  <c r="D424" i="3"/>
  <c r="G425" i="3"/>
  <c r="A389" i="3"/>
  <c r="G437" i="3" l="1"/>
  <c r="B426" i="3"/>
  <c r="C426" i="3"/>
  <c r="D426" i="3"/>
  <c r="B427" i="3"/>
  <c r="C427" i="3"/>
  <c r="D427" i="3"/>
  <c r="B428" i="3"/>
  <c r="C428" i="3"/>
  <c r="D428" i="3"/>
  <c r="B429" i="3"/>
  <c r="C429" i="3"/>
  <c r="D429" i="3"/>
  <c r="B430" i="3"/>
  <c r="C430" i="3"/>
  <c r="C431" i="3"/>
  <c r="B432" i="3"/>
  <c r="D432" i="3"/>
  <c r="B433" i="3"/>
  <c r="C433" i="3"/>
  <c r="B434" i="3"/>
  <c r="C434" i="3"/>
  <c r="D434" i="3"/>
  <c r="B435" i="3"/>
  <c r="C435" i="3"/>
  <c r="D435" i="3"/>
  <c r="B436" i="3"/>
  <c r="C436" i="3"/>
  <c r="D436" i="3"/>
  <c r="D430" i="3"/>
  <c r="B431" i="3"/>
  <c r="D431" i="3"/>
  <c r="C432" i="3"/>
  <c r="D433" i="3"/>
  <c r="A401" i="3"/>
  <c r="G449" i="3" l="1"/>
  <c r="B438" i="3"/>
  <c r="C438" i="3"/>
  <c r="D438" i="3"/>
  <c r="B439" i="3"/>
  <c r="C439" i="3"/>
  <c r="D439" i="3"/>
  <c r="B440" i="3"/>
  <c r="C440" i="3"/>
  <c r="D440" i="3"/>
  <c r="B441" i="3"/>
  <c r="C441" i="3"/>
  <c r="D441" i="3"/>
  <c r="B442" i="3"/>
  <c r="C442" i="3"/>
  <c r="D442" i="3"/>
  <c r="B443" i="3"/>
  <c r="C443" i="3"/>
  <c r="D443" i="3"/>
  <c r="B444" i="3"/>
  <c r="C444" i="3"/>
  <c r="D444" i="3"/>
  <c r="B445" i="3"/>
  <c r="C445" i="3"/>
  <c r="D445" i="3"/>
  <c r="B446" i="3"/>
  <c r="C446" i="3"/>
  <c r="D446" i="3"/>
  <c r="B447" i="3"/>
  <c r="C447" i="3"/>
  <c r="D447" i="3"/>
  <c r="B448" i="3"/>
  <c r="C448" i="3"/>
  <c r="D448" i="3"/>
  <c r="A413" i="3"/>
  <c r="G461" i="3" l="1"/>
  <c r="B450" i="3"/>
  <c r="C450" i="3"/>
  <c r="D450" i="3"/>
  <c r="B451" i="3"/>
  <c r="C451" i="3"/>
  <c r="D451" i="3"/>
  <c r="B452" i="3"/>
  <c r="C452" i="3"/>
  <c r="D452" i="3"/>
  <c r="B453" i="3"/>
  <c r="C453" i="3"/>
  <c r="D453" i="3"/>
  <c r="B454" i="3"/>
  <c r="C454" i="3"/>
  <c r="D454" i="3"/>
  <c r="B455" i="3"/>
  <c r="C455" i="3"/>
  <c r="D455" i="3"/>
  <c r="B456" i="3"/>
  <c r="C456" i="3"/>
  <c r="D456" i="3"/>
  <c r="B457" i="3"/>
  <c r="C457" i="3"/>
  <c r="D457" i="3"/>
  <c r="B458" i="3"/>
  <c r="C458" i="3"/>
  <c r="D458" i="3"/>
  <c r="B459" i="3"/>
  <c r="C459" i="3"/>
  <c r="D459" i="3"/>
  <c r="B460" i="3"/>
  <c r="C460" i="3"/>
  <c r="D460" i="3"/>
  <c r="A425" i="3"/>
  <c r="G473" i="3" l="1"/>
  <c r="B462" i="3"/>
  <c r="C462" i="3"/>
  <c r="D462" i="3"/>
  <c r="B463" i="3"/>
  <c r="C463" i="3"/>
  <c r="D463" i="3"/>
  <c r="B464" i="3"/>
  <c r="C464" i="3"/>
  <c r="D464" i="3"/>
  <c r="B465" i="3"/>
  <c r="C465" i="3"/>
  <c r="D465" i="3"/>
  <c r="B466" i="3"/>
  <c r="C466" i="3"/>
  <c r="D466" i="3"/>
  <c r="B467" i="3"/>
  <c r="C467" i="3"/>
  <c r="D467" i="3"/>
  <c r="B468" i="3"/>
  <c r="C468" i="3"/>
  <c r="D468" i="3"/>
  <c r="B469" i="3"/>
  <c r="C469" i="3"/>
  <c r="D469" i="3"/>
  <c r="B470" i="3"/>
  <c r="C470" i="3"/>
  <c r="D470" i="3"/>
  <c r="B471" i="3"/>
  <c r="C471" i="3"/>
  <c r="D471" i="3"/>
  <c r="B472" i="3"/>
  <c r="C472" i="3"/>
  <c r="D472" i="3"/>
  <c r="A437" i="3"/>
  <c r="B474" i="3" l="1"/>
  <c r="C474" i="3"/>
  <c r="D474" i="3"/>
  <c r="B475" i="3"/>
  <c r="C475" i="3"/>
  <c r="D475" i="3"/>
  <c r="B476" i="3"/>
  <c r="C476" i="3"/>
  <c r="D476" i="3"/>
  <c r="B477" i="3"/>
  <c r="C477" i="3"/>
  <c r="D477" i="3"/>
  <c r="B478" i="3"/>
  <c r="C478" i="3"/>
  <c r="D478" i="3"/>
  <c r="B479" i="3"/>
  <c r="C479" i="3"/>
  <c r="D479" i="3"/>
  <c r="B480" i="3"/>
  <c r="C480" i="3"/>
  <c r="D480" i="3"/>
  <c r="B481" i="3"/>
  <c r="C481" i="3"/>
  <c r="D481" i="3"/>
  <c r="B482" i="3"/>
  <c r="C482" i="3"/>
  <c r="D482" i="3"/>
  <c r="B483" i="3"/>
  <c r="C483" i="3"/>
  <c r="D483" i="3"/>
  <c r="B484" i="3"/>
  <c r="C484" i="3"/>
  <c r="D484" i="3"/>
  <c r="A449" i="3"/>
  <c r="A461" i="3" l="1"/>
  <c r="A473" i="3" l="1"/>
  <c r="A2" i="3" l="1"/>
</calcChain>
</file>

<file path=xl/sharedStrings.xml><?xml version="1.0" encoding="utf-8"?>
<sst xmlns="http://schemas.openxmlformats.org/spreadsheetml/2006/main" count="809" uniqueCount="62">
  <si>
    <t>DDC Calculateur — synthese automatique</t>
  </si>
  <si>
    <t>1. SAISIE : collez vos cas (colonnes A a E). Colonne F = noeud (auto).</t>
  </si>
  <si>
    <t>2. SYNTHESE : 11 lignes par noeud detecte — le tableau grandit avec vos noeuds.</t>
  </si>
  <si>
    <t>3. Plus de cas dans un meme noeud ne rajoute pas de lignes (maxi/mini par famille).</t>
  </si>
  <si>
    <t>4. Si besoin : touche F9 pour forcer le recalcul.</t>
  </si>
  <si>
    <t>Excel 2019 ou 365 requis (formules MINIFS / MAXIFS).</t>
  </si>
  <si>
    <t>Gardez Vent G/D, Vent D/G, Neige... dans Nom_cas.</t>
  </si>
  <si>
    <t>SAISIE — Vos cas de charge</t>
  </si>
  <si>
    <t>Collez toutes vos lignes DDC ici (plusieurs noeuds possibles).</t>
  </si>
  <si>
    <t>Noeud_Cas</t>
  </si>
  <si>
    <t>Nom_cas</t>
  </si>
  <si>
    <t>FX_daN</t>
  </si>
  <si>
    <t>FY_daN</t>
  </si>
  <si>
    <t>FZ_daN</t>
  </si>
  <si>
    <t>Noeud</t>
  </si>
  <si>
    <t>47/1</t>
  </si>
  <si>
    <t>G : Couverture : PA 6 BS 10 PV15</t>
  </si>
  <si>
    <t>47/2</t>
  </si>
  <si>
    <t>Vent G/D dep.(-) Portique 2</t>
  </si>
  <si>
    <t>47/3</t>
  </si>
  <si>
    <t>Vent G/D sur.(+) Portique 2</t>
  </si>
  <si>
    <t>47/4</t>
  </si>
  <si>
    <t>Vent D/G dep.(-) Cpe - Portique 2</t>
  </si>
  <si>
    <t>47/5</t>
  </si>
  <si>
    <t>Vent D/G dep.(-) Cpe + Portique 2</t>
  </si>
  <si>
    <t>47/6</t>
  </si>
  <si>
    <t>Vent D/G sur.(+) Cpe - Portique 2</t>
  </si>
  <si>
    <t>47/7</t>
  </si>
  <si>
    <t>Vent D/G sur.(+) Cpe + Portique 2</t>
  </si>
  <si>
    <t>47/8</t>
  </si>
  <si>
    <t>Vent Av./Arr. dep.(-) Portique 2</t>
  </si>
  <si>
    <t>47/9</t>
  </si>
  <si>
    <t>Vent Av./Arr. sur.(+) Portique 2</t>
  </si>
  <si>
    <t>47/10</t>
  </si>
  <si>
    <t>Vent Arr./Av. dep.(-) Portique 2</t>
  </si>
  <si>
    <t>47/11</t>
  </si>
  <si>
    <t>Vent Arr./Av. sur.(+) Portique 2</t>
  </si>
  <si>
    <t>47/12</t>
  </si>
  <si>
    <t>Neige cas I</t>
  </si>
  <si>
    <t>47/13</t>
  </si>
  <si>
    <t>Neige cas II</t>
  </si>
  <si>
    <t>47/14</t>
  </si>
  <si>
    <t>Neige accidentel</t>
  </si>
  <si>
    <t>SYNTHESE — Calcul automatique par noeud</t>
  </si>
  <si>
    <t>Nom du cas</t>
  </si>
  <si>
    <t>FX [daN]</t>
  </si>
  <si>
    <t>FY [daN]</t>
  </si>
  <si>
    <t>FZ [daN]</t>
  </si>
  <si>
    <t>Note</t>
  </si>
  <si>
    <t>Couverture</t>
  </si>
  <si>
    <t>Vent G/D maxi</t>
  </si>
  <si>
    <t>(compression)</t>
  </si>
  <si>
    <t>Vent G/D mini</t>
  </si>
  <si>
    <t>(soulevement)</t>
  </si>
  <si>
    <t>Vent D/ G maxi</t>
  </si>
  <si>
    <t>Vent D/G mini</t>
  </si>
  <si>
    <t>Vent Av./Arr. maxi</t>
  </si>
  <si>
    <t>Vent Av./Arr. mini</t>
  </si>
  <si>
    <t>Vent Arr./Av maxi</t>
  </si>
  <si>
    <t>Vent Arr./Av mini</t>
  </si>
  <si>
    <t>Neige normale</t>
  </si>
  <si>
    <t>Neige accidentelle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</si>
</sst>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1"/>
      <name val="Arial"/>
    </font>
    <font>
      <b/>
      <sz val="11"/>
      <color rgb="FFFFFFFF"/>
      <name val="Arial"/>
    </font>
    <font>
      <b/>
      <sz val="12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/>
    <xf numFmtId="0" fontId="1" fillId="0" borderId="0" xfId="0" applyFont="1"/>
    <xf numFmtId="0" fontId="4" fillId="4" borderId="1" xfId="0" applyFont="1" applyFill="1" applyBorder="1"/>
    <xf numFmtId="0" fontId="0" fillId="4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Charges" displayName="CasCharges" ref="A4:F504">
  <autoFilter ref="A4:F504" xr:uid="{00000000-0009-0000-0100-000001000000}"/>
  <tableColumns count="6">
    <tableColumn id="1" xr3:uid="{00000000-0010-0000-0000-000001000000}" name="Noeud_Cas"/>
    <tableColumn id="2" xr3:uid="{00000000-0010-0000-0000-000002000000}" name="Nom_cas"/>
    <tableColumn id="3" xr3:uid="{00000000-0010-0000-0000-000003000000}" name="FX_daN"/>
    <tableColumn id="4" xr3:uid="{00000000-0010-0000-0000-000004000000}" name="FY_daN"/>
    <tableColumn id="5" xr3:uid="{00000000-0010-0000-0000-000005000000}" name="FZ_daN"/>
    <tableColumn id="6" xr3:uid="{00000000-0010-0000-0000-000006000000}" name="Noe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baseColWidth="10" defaultColWidth="9.140625" defaultRowHeight="15" x14ac:dyDescent="0.25"/>
  <cols>
    <col min="1" max="1" width="72" customWidth="1"/>
  </cols>
  <sheetData>
    <row r="1" spans="1:1" ht="18" x14ac:dyDescent="0.25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/>
    </row>
    <row r="9" spans="1:1" x14ac:dyDescent="0.25">
      <c r="A9" s="2" t="s">
        <v>5</v>
      </c>
    </row>
    <row r="10" spans="1:1" x14ac:dyDescent="0.25">
      <c r="A10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44" customWidth="1"/>
    <col min="3" max="5" width="11" customWidth="1"/>
    <col min="6" max="6" width="8" customWidth="1"/>
  </cols>
  <sheetData>
    <row r="1" spans="1:6" ht="18" x14ac:dyDescent="0.25">
      <c r="A1" s="8" t="s">
        <v>7</v>
      </c>
      <c r="B1" s="7"/>
      <c r="C1" s="7"/>
      <c r="D1" s="7"/>
      <c r="E1" s="7"/>
      <c r="F1" s="7"/>
    </row>
    <row r="2" spans="1:6" x14ac:dyDescent="0.25">
      <c r="A2" s="7" t="s">
        <v>8</v>
      </c>
      <c r="B2" s="7"/>
      <c r="C2" s="7"/>
      <c r="D2" s="7"/>
      <c r="E2" s="7"/>
      <c r="F2" s="7"/>
    </row>
    <row r="4" spans="1:6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1:6" x14ac:dyDescent="0.25">
      <c r="A5" s="4" t="s">
        <v>15</v>
      </c>
      <c r="B5" s="4" t="s">
        <v>16</v>
      </c>
      <c r="C5" s="4">
        <v>-116</v>
      </c>
      <c r="D5" s="4">
        <v>7</v>
      </c>
      <c r="E5" s="4">
        <v>-1285</v>
      </c>
      <c r="F5">
        <f>IF(A5="","",VALUE(LEFT(A5,FIND("/",A5&amp;"/")-1)))</f>
        <v>47</v>
      </c>
    </row>
    <row r="6" spans="1:6" x14ac:dyDescent="0.25">
      <c r="A6" s="4" t="s">
        <v>17</v>
      </c>
      <c r="B6" s="4" t="s">
        <v>18</v>
      </c>
      <c r="C6" s="4">
        <v>905</v>
      </c>
      <c r="D6" s="4">
        <v>40</v>
      </c>
      <c r="E6" s="4">
        <v>1422</v>
      </c>
      <c r="F6">
        <f>IF(A6="","",VALUE(LEFT(A6,FIND("/",A6&amp;"/")-1)))</f>
        <v>47</v>
      </c>
    </row>
    <row r="7" spans="1:6" x14ac:dyDescent="0.25">
      <c r="A7" s="4" t="s">
        <v>19</v>
      </c>
      <c r="B7" s="4" t="s">
        <v>20</v>
      </c>
      <c r="C7" s="4">
        <v>900</v>
      </c>
      <c r="D7" s="4">
        <v>32</v>
      </c>
      <c r="E7" s="4">
        <v>1444</v>
      </c>
      <c r="F7">
        <f>IF(A7="","",VALUE(LEFT(A7,FIND("/",A7&amp;"/")-1)))</f>
        <v>47</v>
      </c>
    </row>
    <row r="8" spans="1:6" x14ac:dyDescent="0.25">
      <c r="A8" s="4" t="s">
        <v>21</v>
      </c>
      <c r="B8" s="4" t="s">
        <v>22</v>
      </c>
      <c r="C8" s="4">
        <v>-345</v>
      </c>
      <c r="D8" s="4">
        <v>5</v>
      </c>
      <c r="E8" s="4">
        <v>462</v>
      </c>
      <c r="F8">
        <f>IF(A8="","",VALUE(LEFT(A8,FIND("/",A8&amp;"/")-1)))</f>
        <v>47</v>
      </c>
    </row>
    <row r="9" spans="1:6" x14ac:dyDescent="0.25">
      <c r="A9" s="4" t="s">
        <v>23</v>
      </c>
      <c r="B9" s="4" t="s">
        <v>24</v>
      </c>
      <c r="C9" s="4">
        <v>-513</v>
      </c>
      <c r="D9" s="4">
        <v>-11</v>
      </c>
      <c r="E9" s="4">
        <v>-281</v>
      </c>
      <c r="F9">
        <f>IF(A9="","",VALUE(LEFT(A9,FIND("/",A9&amp;"/")-1)))</f>
        <v>47</v>
      </c>
    </row>
    <row r="10" spans="1:6" x14ac:dyDescent="0.25">
      <c r="A10" s="4" t="s">
        <v>25</v>
      </c>
      <c r="B10" s="4" t="s">
        <v>26</v>
      </c>
      <c r="C10" s="4">
        <v>-349</v>
      </c>
      <c r="D10" s="4">
        <v>-2</v>
      </c>
      <c r="E10" s="4">
        <v>485</v>
      </c>
      <c r="F10">
        <f>IF(A10="","",VALUE(LEFT(A10,FIND("/",A10&amp;"/")-1)))</f>
        <v>47</v>
      </c>
    </row>
    <row r="11" spans="1:6" x14ac:dyDescent="0.25">
      <c r="A11" s="4" t="s">
        <v>27</v>
      </c>
      <c r="B11" s="4" t="s">
        <v>28</v>
      </c>
      <c r="C11" s="4">
        <v>-518</v>
      </c>
      <c r="D11" s="4">
        <v>-22</v>
      </c>
      <c r="E11" s="4">
        <v>-258</v>
      </c>
      <c r="F11">
        <f>IF(A11="","",VALUE(LEFT(A11,FIND("/",A11&amp;"/")-1)))</f>
        <v>47</v>
      </c>
    </row>
    <row r="12" spans="1:6" x14ac:dyDescent="0.25">
      <c r="A12" s="4" t="s">
        <v>29</v>
      </c>
      <c r="B12" s="4" t="s">
        <v>30</v>
      </c>
      <c r="C12" s="4">
        <v>-241</v>
      </c>
      <c r="D12" s="4">
        <v>205</v>
      </c>
      <c r="E12" s="4">
        <v>815</v>
      </c>
      <c r="F12">
        <f>IF(A12="","",VALUE(LEFT(A12,FIND("/",A12&amp;"/")-1)))</f>
        <v>47</v>
      </c>
    </row>
    <row r="13" spans="1:6" x14ac:dyDescent="0.25">
      <c r="A13" s="4" t="s">
        <v>31</v>
      </c>
      <c r="B13" s="4" t="s">
        <v>32</v>
      </c>
      <c r="C13" s="4">
        <v>-198</v>
      </c>
      <c r="D13" s="4">
        <v>195</v>
      </c>
      <c r="E13" s="4">
        <v>598</v>
      </c>
      <c r="F13">
        <f>IF(A13="","",VALUE(LEFT(A13,FIND("/",A13&amp;"/")-1)))</f>
        <v>47</v>
      </c>
    </row>
    <row r="14" spans="1:6" x14ac:dyDescent="0.25">
      <c r="A14" s="4" t="s">
        <v>33</v>
      </c>
      <c r="B14" s="4" t="s">
        <v>34</v>
      </c>
      <c r="C14" s="4">
        <v>-105</v>
      </c>
      <c r="D14" s="4">
        <v>0</v>
      </c>
      <c r="E14" s="4">
        <v>400</v>
      </c>
      <c r="F14">
        <f>IF(A14="","",VALUE(LEFT(A14,FIND("/",A14&amp;"/")-1)))</f>
        <v>47</v>
      </c>
    </row>
    <row r="15" spans="1:6" x14ac:dyDescent="0.25">
      <c r="A15" s="4" t="s">
        <v>35</v>
      </c>
      <c r="B15" s="4" t="s">
        <v>36</v>
      </c>
      <c r="C15" s="4">
        <v>-37</v>
      </c>
      <c r="D15" s="4">
        <v>-11</v>
      </c>
      <c r="E15" s="4">
        <v>56</v>
      </c>
      <c r="F15">
        <f>IF(A15="","",VALUE(LEFT(A15,FIND("/",A15&amp;"/")-1)))</f>
        <v>47</v>
      </c>
    </row>
    <row r="16" spans="1:6" x14ac:dyDescent="0.25">
      <c r="A16" s="4" t="s">
        <v>37</v>
      </c>
      <c r="B16" s="4" t="s">
        <v>38</v>
      </c>
      <c r="C16" s="4">
        <v>-113</v>
      </c>
      <c r="D16" s="4">
        <v>0</v>
      </c>
      <c r="E16" s="4">
        <v>-1010</v>
      </c>
      <c r="F16">
        <f>IF(A16="","",VALUE(LEFT(A16,FIND("/",A16&amp;"/")-1)))</f>
        <v>47</v>
      </c>
    </row>
    <row r="17" spans="1:6" x14ac:dyDescent="0.25">
      <c r="A17" s="4" t="s">
        <v>39</v>
      </c>
      <c r="B17" s="4" t="s">
        <v>40</v>
      </c>
      <c r="C17" s="4">
        <v>-56</v>
      </c>
      <c r="D17" s="4">
        <v>0</v>
      </c>
      <c r="E17" s="4">
        <v>-505</v>
      </c>
      <c r="F17">
        <f>IF(A17="","",VALUE(LEFT(A17,FIND("/",A17&amp;"/")-1)))</f>
        <v>47</v>
      </c>
    </row>
    <row r="18" spans="1:6" x14ac:dyDescent="0.25">
      <c r="A18" s="4" t="s">
        <v>41</v>
      </c>
      <c r="B18" s="4" t="s">
        <v>42</v>
      </c>
      <c r="C18" s="4">
        <v>-251</v>
      </c>
      <c r="D18" s="4">
        <v>0</v>
      </c>
      <c r="E18" s="4">
        <v>-2244</v>
      </c>
      <c r="F18">
        <f>IF(A18="","",VALUE(LEFT(A18,FIND("/",A18&amp;"/")-1)))</f>
        <v>47</v>
      </c>
    </row>
    <row r="19" spans="1:6" x14ac:dyDescent="0.25">
      <c r="F19" t="str">
        <f>IF(A19="","",VALUE(LEFT(A19,FIND("/",A19&amp;"/")-1)))</f>
        <v/>
      </c>
    </row>
    <row r="20" spans="1:6" x14ac:dyDescent="0.25">
      <c r="F20" t="str">
        <f>IF(A20="","",VALUE(LEFT(A20,FIND("/",A20&amp;"/")-1)))</f>
        <v/>
      </c>
    </row>
    <row r="21" spans="1:6" x14ac:dyDescent="0.25">
      <c r="F21" t="str">
        <f>IF(A21="","",VALUE(LEFT(A21,FIND("/",A21&amp;"/")-1)))</f>
        <v/>
      </c>
    </row>
    <row r="22" spans="1:6" x14ac:dyDescent="0.25">
      <c r="F22" t="str">
        <f>IF(A22="","",VALUE(LEFT(A22,FIND("/",A22&amp;"/")-1)))</f>
        <v/>
      </c>
    </row>
    <row r="23" spans="1:6" x14ac:dyDescent="0.25">
      <c r="F23" t="str">
        <f>IF(A23="","",VALUE(LEFT(A23,FIND("/",A23&amp;"/")-1)))</f>
        <v/>
      </c>
    </row>
    <row r="24" spans="1:6" x14ac:dyDescent="0.25">
      <c r="F24" t="str">
        <f>IF(A24="","",VALUE(LEFT(A24,FIND("/",A24&amp;"/")-1)))</f>
        <v/>
      </c>
    </row>
    <row r="25" spans="1:6" x14ac:dyDescent="0.25">
      <c r="F25" t="str">
        <f>IF(A25="","",VALUE(LEFT(A25,FIND("/",A25&amp;"/")-1)))</f>
        <v/>
      </c>
    </row>
    <row r="26" spans="1:6" x14ac:dyDescent="0.25">
      <c r="F26" t="str">
        <f>IF(A26="","",VALUE(LEFT(A26,FIND("/",A26&amp;"/")-1)))</f>
        <v/>
      </c>
    </row>
    <row r="27" spans="1:6" x14ac:dyDescent="0.25">
      <c r="F27" t="str">
        <f>IF(A27="","",VALUE(LEFT(A27,FIND("/",A27&amp;"/")-1)))</f>
        <v/>
      </c>
    </row>
    <row r="28" spans="1:6" x14ac:dyDescent="0.25">
      <c r="F28" t="str">
        <f>IF(A28="","",VALUE(LEFT(A28,FIND("/",A28&amp;"/")-1)))</f>
        <v/>
      </c>
    </row>
    <row r="29" spans="1:6" x14ac:dyDescent="0.25">
      <c r="F29" t="str">
        <f>IF(A29="","",VALUE(LEFT(A29,FIND("/",A29&amp;"/")-1)))</f>
        <v/>
      </c>
    </row>
    <row r="30" spans="1:6" x14ac:dyDescent="0.25">
      <c r="F30" t="str">
        <f>IF(A30="","",VALUE(LEFT(A30,FIND("/",A30&amp;"/")-1)))</f>
        <v/>
      </c>
    </row>
    <row r="31" spans="1:6" x14ac:dyDescent="0.25">
      <c r="F31" t="str">
        <f>IF(A31="","",VALUE(LEFT(A31,FIND("/",A31&amp;"/")-1)))</f>
        <v/>
      </c>
    </row>
    <row r="32" spans="1:6" x14ac:dyDescent="0.25">
      <c r="F32" t="str">
        <f>IF(A32="","",VALUE(LEFT(A32,FIND("/",A32&amp;"/")-1)))</f>
        <v/>
      </c>
    </row>
    <row r="33" spans="6:6" x14ac:dyDescent="0.25">
      <c r="F33" t="str">
        <f>IF(A33="","",VALUE(LEFT(A33,FIND("/",A33&amp;"/")-1)))</f>
        <v/>
      </c>
    </row>
    <row r="34" spans="6:6" x14ac:dyDescent="0.25">
      <c r="F34" t="str">
        <f>IF(A34="","",VALUE(LEFT(A34,FIND("/",A34&amp;"/")-1)))</f>
        <v/>
      </c>
    </row>
    <row r="35" spans="6:6" x14ac:dyDescent="0.25">
      <c r="F35" t="str">
        <f>IF(A35="","",VALUE(LEFT(A35,FIND("/",A35&amp;"/")-1)))</f>
        <v/>
      </c>
    </row>
    <row r="36" spans="6:6" x14ac:dyDescent="0.25">
      <c r="F36" t="str">
        <f>IF(A36="","",VALUE(LEFT(A36,FIND("/",A36&amp;"/")-1)))</f>
        <v/>
      </c>
    </row>
    <row r="37" spans="6:6" x14ac:dyDescent="0.25">
      <c r="F37" t="str">
        <f>IF(A37="","",VALUE(LEFT(A37,FIND("/",A37&amp;"/")-1)))</f>
        <v/>
      </c>
    </row>
    <row r="38" spans="6:6" x14ac:dyDescent="0.25">
      <c r="F38" t="str">
        <f>IF(A38="","",VALUE(LEFT(A38,FIND("/",A38&amp;"/")-1)))</f>
        <v/>
      </c>
    </row>
    <row r="39" spans="6:6" x14ac:dyDescent="0.25">
      <c r="F39" t="str">
        <f>IF(A39="","",VALUE(LEFT(A39,FIND("/",A39&amp;"/")-1)))</f>
        <v/>
      </c>
    </row>
    <row r="40" spans="6:6" x14ac:dyDescent="0.25">
      <c r="F40" t="str">
        <f>IF(A40="","",VALUE(LEFT(A40,FIND("/",A40&amp;"/")-1)))</f>
        <v/>
      </c>
    </row>
    <row r="41" spans="6:6" x14ac:dyDescent="0.25">
      <c r="F41" t="str">
        <f>IF(A41="","",VALUE(LEFT(A41,FIND("/",A41&amp;"/")-1)))</f>
        <v/>
      </c>
    </row>
    <row r="42" spans="6:6" x14ac:dyDescent="0.25">
      <c r="F42" t="str">
        <f>IF(A42="","",VALUE(LEFT(A42,FIND("/",A42&amp;"/")-1)))</f>
        <v/>
      </c>
    </row>
    <row r="43" spans="6:6" x14ac:dyDescent="0.25">
      <c r="F43" t="str">
        <f>IF(A43="","",VALUE(LEFT(A43,FIND("/",A43&amp;"/")-1)))</f>
        <v/>
      </c>
    </row>
    <row r="44" spans="6:6" x14ac:dyDescent="0.25">
      <c r="F44" t="str">
        <f>IF(A44="","",VALUE(LEFT(A44,FIND("/",A44&amp;"/")-1)))</f>
        <v/>
      </c>
    </row>
    <row r="45" spans="6:6" x14ac:dyDescent="0.25">
      <c r="F45" t="str">
        <f>IF(A45="","",VALUE(LEFT(A45,FIND("/",A45&amp;"/")-1)))</f>
        <v/>
      </c>
    </row>
    <row r="46" spans="6:6" x14ac:dyDescent="0.25">
      <c r="F46" t="str">
        <f>IF(A46="","",VALUE(LEFT(A46,FIND("/",A46&amp;"/")-1)))</f>
        <v/>
      </c>
    </row>
    <row r="47" spans="6:6" x14ac:dyDescent="0.25">
      <c r="F47" t="str">
        <f>IF(A47="","",VALUE(LEFT(A47,FIND("/",A47&amp;"/")-1)))</f>
        <v/>
      </c>
    </row>
    <row r="48" spans="6:6" x14ac:dyDescent="0.25">
      <c r="F48" t="str">
        <f>IF(A48="","",VALUE(LEFT(A48,FIND("/",A48&amp;"/")-1)))</f>
        <v/>
      </c>
    </row>
    <row r="49" spans="6:6" x14ac:dyDescent="0.25">
      <c r="F49" t="str">
        <f>IF(A49="","",VALUE(LEFT(A49,FIND("/",A49&amp;"/")-1)))</f>
        <v/>
      </c>
    </row>
    <row r="50" spans="6:6" x14ac:dyDescent="0.25">
      <c r="F50" t="str">
        <f>IF(A50="","",VALUE(LEFT(A50,FIND("/",A50&amp;"/")-1)))</f>
        <v/>
      </c>
    </row>
    <row r="51" spans="6:6" x14ac:dyDescent="0.25">
      <c r="F51" t="str">
        <f>IF(A51="","",VALUE(LEFT(A51,FIND("/",A51&amp;"/")-1)))</f>
        <v/>
      </c>
    </row>
    <row r="52" spans="6:6" x14ac:dyDescent="0.25">
      <c r="F52" t="str">
        <f>IF(A52="","",VALUE(LEFT(A52,FIND("/",A52&amp;"/")-1)))</f>
        <v/>
      </c>
    </row>
    <row r="53" spans="6:6" x14ac:dyDescent="0.25">
      <c r="F53" t="str">
        <f>IF(A53="","",VALUE(LEFT(A53,FIND("/",A53&amp;"/")-1)))</f>
        <v/>
      </c>
    </row>
    <row r="54" spans="6:6" x14ac:dyDescent="0.25">
      <c r="F54" t="str">
        <f>IF(A54="","",VALUE(LEFT(A54,FIND("/",A54&amp;"/")-1)))</f>
        <v/>
      </c>
    </row>
    <row r="55" spans="6:6" x14ac:dyDescent="0.25">
      <c r="F55" t="str">
        <f>IF(A55="","",VALUE(LEFT(A55,FIND("/",A55&amp;"/")-1)))</f>
        <v/>
      </c>
    </row>
    <row r="56" spans="6:6" x14ac:dyDescent="0.25">
      <c r="F56" t="str">
        <f>IF(A56="","",VALUE(LEFT(A56,FIND("/",A56&amp;"/")-1)))</f>
        <v/>
      </c>
    </row>
    <row r="57" spans="6:6" x14ac:dyDescent="0.25">
      <c r="F57" t="str">
        <f>IF(A57="","",VALUE(LEFT(A57,FIND("/",A57&amp;"/")-1)))</f>
        <v/>
      </c>
    </row>
    <row r="58" spans="6:6" x14ac:dyDescent="0.25">
      <c r="F58" t="str">
        <f>IF(A58="","",VALUE(LEFT(A58,FIND("/",A58&amp;"/")-1)))</f>
        <v/>
      </c>
    </row>
    <row r="59" spans="6:6" x14ac:dyDescent="0.25">
      <c r="F59" t="str">
        <f>IF(A59="","",VALUE(LEFT(A59,FIND("/",A59&amp;"/")-1)))</f>
        <v/>
      </c>
    </row>
    <row r="60" spans="6:6" x14ac:dyDescent="0.25">
      <c r="F60" t="str">
        <f>IF(A60="","",VALUE(LEFT(A60,FIND("/",A60&amp;"/")-1)))</f>
        <v/>
      </c>
    </row>
    <row r="61" spans="6:6" x14ac:dyDescent="0.25">
      <c r="F61" t="str">
        <f>IF(A61="","",VALUE(LEFT(A61,FIND("/",A61&amp;"/")-1)))</f>
        <v/>
      </c>
    </row>
    <row r="62" spans="6:6" x14ac:dyDescent="0.25">
      <c r="F62" t="str">
        <f>IF(A62="","",VALUE(LEFT(A62,FIND("/",A62&amp;"/")-1)))</f>
        <v/>
      </c>
    </row>
    <row r="63" spans="6:6" x14ac:dyDescent="0.25">
      <c r="F63" t="str">
        <f>IF(A63="","",VALUE(LEFT(A63,FIND("/",A63&amp;"/")-1)))</f>
        <v/>
      </c>
    </row>
    <row r="64" spans="6:6" x14ac:dyDescent="0.25">
      <c r="F64" t="str">
        <f>IF(A64="","",VALUE(LEFT(A64,FIND("/",A64&amp;"/")-1)))</f>
        <v/>
      </c>
    </row>
    <row r="65" spans="6:6" x14ac:dyDescent="0.25">
      <c r="F65" t="str">
        <f>IF(A65="","",VALUE(LEFT(A65,FIND("/",A65&amp;"/")-1)))</f>
        <v/>
      </c>
    </row>
    <row r="66" spans="6:6" x14ac:dyDescent="0.25">
      <c r="F66" t="str">
        <f>IF(A66="","",VALUE(LEFT(A66,FIND("/",A66&amp;"/")-1)))</f>
        <v/>
      </c>
    </row>
    <row r="67" spans="6:6" x14ac:dyDescent="0.25">
      <c r="F67" t="str">
        <f>IF(A67="","",VALUE(LEFT(A67,FIND("/",A67&amp;"/")-1)))</f>
        <v/>
      </c>
    </row>
    <row r="68" spans="6:6" x14ac:dyDescent="0.25">
      <c r="F68" t="str">
        <f>IF(A68="","",VALUE(LEFT(A68,FIND("/",A68&amp;"/")-1)))</f>
        <v/>
      </c>
    </row>
    <row r="69" spans="6:6" x14ac:dyDescent="0.25">
      <c r="F69" t="str">
        <f>IF(A69="","",VALUE(LEFT(A69,FIND("/",A69&amp;"/")-1)))</f>
        <v/>
      </c>
    </row>
    <row r="70" spans="6:6" x14ac:dyDescent="0.25">
      <c r="F70" t="str">
        <f>IF(A70="","",VALUE(LEFT(A70,FIND("/",A70&amp;"/")-1)))</f>
        <v/>
      </c>
    </row>
    <row r="71" spans="6:6" x14ac:dyDescent="0.25">
      <c r="F71" t="str">
        <f>IF(A71="","",VALUE(LEFT(A71,FIND("/",A71&amp;"/")-1)))</f>
        <v/>
      </c>
    </row>
    <row r="72" spans="6:6" x14ac:dyDescent="0.25">
      <c r="F72" t="str">
        <f>IF(A72="","",VALUE(LEFT(A72,FIND("/",A72&amp;"/")-1)))</f>
        <v/>
      </c>
    </row>
    <row r="73" spans="6:6" x14ac:dyDescent="0.25">
      <c r="F73" t="str">
        <f>IF(A73="","",VALUE(LEFT(A73,FIND("/",A73&amp;"/")-1)))</f>
        <v/>
      </c>
    </row>
    <row r="74" spans="6:6" x14ac:dyDescent="0.25">
      <c r="F74" t="str">
        <f>IF(A74="","",VALUE(LEFT(A74,FIND("/",A74&amp;"/")-1)))</f>
        <v/>
      </c>
    </row>
    <row r="75" spans="6:6" x14ac:dyDescent="0.25">
      <c r="F75" t="str">
        <f>IF(A75="","",VALUE(LEFT(A75,FIND("/",A75&amp;"/")-1)))</f>
        <v/>
      </c>
    </row>
    <row r="76" spans="6:6" x14ac:dyDescent="0.25">
      <c r="F76" t="str">
        <f>IF(A76="","",VALUE(LEFT(A76,FIND("/",A76&amp;"/")-1)))</f>
        <v/>
      </c>
    </row>
    <row r="77" spans="6:6" x14ac:dyDescent="0.25">
      <c r="F77" t="str">
        <f>IF(A77="","",VALUE(LEFT(A77,FIND("/",A77&amp;"/")-1)))</f>
        <v/>
      </c>
    </row>
    <row r="78" spans="6:6" x14ac:dyDescent="0.25">
      <c r="F78" t="str">
        <f>IF(A78="","",VALUE(LEFT(A78,FIND("/",A78&amp;"/")-1)))</f>
        <v/>
      </c>
    </row>
    <row r="79" spans="6:6" x14ac:dyDescent="0.25">
      <c r="F79" t="str">
        <f>IF(A79="","",VALUE(LEFT(A79,FIND("/",A79&amp;"/")-1)))</f>
        <v/>
      </c>
    </row>
    <row r="80" spans="6:6" x14ac:dyDescent="0.25">
      <c r="F80" t="str">
        <f>IF(A80="","",VALUE(LEFT(A80,FIND("/",A80&amp;"/")-1)))</f>
        <v/>
      </c>
    </row>
    <row r="81" spans="6:6" x14ac:dyDescent="0.25">
      <c r="F81" t="str">
        <f>IF(A81="","",VALUE(LEFT(A81,FIND("/",A81&amp;"/")-1)))</f>
        <v/>
      </c>
    </row>
    <row r="82" spans="6:6" x14ac:dyDescent="0.25">
      <c r="F82" t="str">
        <f>IF(A82="","",VALUE(LEFT(A82,FIND("/",A82&amp;"/")-1)))</f>
        <v/>
      </c>
    </row>
    <row r="83" spans="6:6" x14ac:dyDescent="0.25">
      <c r="F83" t="str">
        <f>IF(A83="","",VALUE(LEFT(A83,FIND("/",A83&amp;"/")-1)))</f>
        <v/>
      </c>
    </row>
    <row r="84" spans="6:6" x14ac:dyDescent="0.25">
      <c r="F84" t="str">
        <f>IF(A84="","",VALUE(LEFT(A84,FIND("/",A84&amp;"/")-1)))</f>
        <v/>
      </c>
    </row>
    <row r="85" spans="6:6" x14ac:dyDescent="0.25">
      <c r="F85" t="str">
        <f>IF(A85="","",VALUE(LEFT(A85,FIND("/",A85&amp;"/")-1)))</f>
        <v/>
      </c>
    </row>
    <row r="86" spans="6:6" x14ac:dyDescent="0.25">
      <c r="F86" t="str">
        <f>IF(A86="","",VALUE(LEFT(A86,FIND("/",A86&amp;"/")-1)))</f>
        <v/>
      </c>
    </row>
    <row r="87" spans="6:6" x14ac:dyDescent="0.25">
      <c r="F87" t="str">
        <f>IF(A87="","",VALUE(LEFT(A87,FIND("/",A87&amp;"/")-1)))</f>
        <v/>
      </c>
    </row>
    <row r="88" spans="6:6" x14ac:dyDescent="0.25">
      <c r="F88" t="str">
        <f>IF(A88="","",VALUE(LEFT(A88,FIND("/",A88&amp;"/")-1)))</f>
        <v/>
      </c>
    </row>
    <row r="89" spans="6:6" x14ac:dyDescent="0.25">
      <c r="F89" t="str">
        <f>IF(A89="","",VALUE(LEFT(A89,FIND("/",A89&amp;"/")-1)))</f>
        <v/>
      </c>
    </row>
    <row r="90" spans="6:6" x14ac:dyDescent="0.25">
      <c r="F90" t="str">
        <f>IF(A90="","",VALUE(LEFT(A90,FIND("/",A90&amp;"/")-1)))</f>
        <v/>
      </c>
    </row>
    <row r="91" spans="6:6" x14ac:dyDescent="0.25">
      <c r="F91" t="str">
        <f>IF(A91="","",VALUE(LEFT(A91,FIND("/",A91&amp;"/")-1)))</f>
        <v/>
      </c>
    </row>
    <row r="92" spans="6:6" x14ac:dyDescent="0.25">
      <c r="F92" t="str">
        <f>IF(A92="","",VALUE(LEFT(A92,FIND("/",A92&amp;"/")-1)))</f>
        <v/>
      </c>
    </row>
    <row r="93" spans="6:6" x14ac:dyDescent="0.25">
      <c r="F93" t="str">
        <f>IF(A93="","",VALUE(LEFT(A93,FIND("/",A93&amp;"/")-1)))</f>
        <v/>
      </c>
    </row>
    <row r="94" spans="6:6" x14ac:dyDescent="0.25">
      <c r="F94" t="str">
        <f>IF(A94="","",VALUE(LEFT(A94,FIND("/",A94&amp;"/")-1)))</f>
        <v/>
      </c>
    </row>
    <row r="95" spans="6:6" x14ac:dyDescent="0.25">
      <c r="F95" t="str">
        <f>IF(A95="","",VALUE(LEFT(A95,FIND("/",A95&amp;"/")-1)))</f>
        <v/>
      </c>
    </row>
    <row r="96" spans="6:6" x14ac:dyDescent="0.25">
      <c r="F96" t="str">
        <f>IF(A96="","",VALUE(LEFT(A96,FIND("/",A96&amp;"/")-1)))</f>
        <v/>
      </c>
    </row>
    <row r="97" spans="6:6" x14ac:dyDescent="0.25">
      <c r="F97" t="str">
        <f>IF(A97="","",VALUE(LEFT(A97,FIND("/",A97&amp;"/")-1)))</f>
        <v/>
      </c>
    </row>
    <row r="98" spans="6:6" x14ac:dyDescent="0.25">
      <c r="F98" t="str">
        <f>IF(A98="","",VALUE(LEFT(A98,FIND("/",A98&amp;"/")-1)))</f>
        <v/>
      </c>
    </row>
    <row r="99" spans="6:6" x14ac:dyDescent="0.25">
      <c r="F99" t="str">
        <f>IF(A99="","",VALUE(LEFT(A99,FIND("/",A99&amp;"/")-1)))</f>
        <v/>
      </c>
    </row>
    <row r="100" spans="6:6" x14ac:dyDescent="0.25">
      <c r="F100" t="str">
        <f>IF(A100="","",VALUE(LEFT(A100,FIND("/",A100&amp;"/")-1)))</f>
        <v/>
      </c>
    </row>
    <row r="101" spans="6:6" x14ac:dyDescent="0.25">
      <c r="F101" t="str">
        <f>IF(A101="","",VALUE(LEFT(A101,FIND("/",A101&amp;"/")-1)))</f>
        <v/>
      </c>
    </row>
    <row r="102" spans="6:6" x14ac:dyDescent="0.25">
      <c r="F102" t="str">
        <f>IF(A102="","",VALUE(LEFT(A102,FIND("/",A102&amp;"/")-1)))</f>
        <v/>
      </c>
    </row>
    <row r="103" spans="6:6" x14ac:dyDescent="0.25">
      <c r="F103" t="str">
        <f>IF(A103="","",VALUE(LEFT(A103,FIND("/",A103&amp;"/")-1)))</f>
        <v/>
      </c>
    </row>
    <row r="104" spans="6:6" x14ac:dyDescent="0.25">
      <c r="F104" t="str">
        <f>IF(A104="","",VALUE(LEFT(A104,FIND("/",A104&amp;"/")-1)))</f>
        <v/>
      </c>
    </row>
    <row r="105" spans="6:6" x14ac:dyDescent="0.25">
      <c r="F105" t="str">
        <f>IF(A105="","",VALUE(LEFT(A105,FIND("/",A105&amp;"/")-1)))</f>
        <v/>
      </c>
    </row>
    <row r="106" spans="6:6" x14ac:dyDescent="0.25">
      <c r="F106" t="str">
        <f>IF(A106="","",VALUE(LEFT(A106,FIND("/",A106&amp;"/")-1)))</f>
        <v/>
      </c>
    </row>
    <row r="107" spans="6:6" x14ac:dyDescent="0.25">
      <c r="F107" t="str">
        <f>IF(A107="","",VALUE(LEFT(A107,FIND("/",A107&amp;"/")-1)))</f>
        <v/>
      </c>
    </row>
    <row r="108" spans="6:6" x14ac:dyDescent="0.25">
      <c r="F108" t="str">
        <f>IF(A108="","",VALUE(LEFT(A108,FIND("/",A108&amp;"/")-1)))</f>
        <v/>
      </c>
    </row>
    <row r="109" spans="6:6" x14ac:dyDescent="0.25">
      <c r="F109" t="str">
        <f>IF(A109="","",VALUE(LEFT(A109,FIND("/",A109&amp;"/")-1)))</f>
        <v/>
      </c>
    </row>
    <row r="110" spans="6:6" x14ac:dyDescent="0.25">
      <c r="F110" t="str">
        <f>IF(A110="","",VALUE(LEFT(A110,FIND("/",A110&amp;"/")-1)))</f>
        <v/>
      </c>
    </row>
    <row r="111" spans="6:6" x14ac:dyDescent="0.25">
      <c r="F111" t="str">
        <f>IF(A111="","",VALUE(LEFT(A111,FIND("/",A111&amp;"/")-1)))</f>
        <v/>
      </c>
    </row>
    <row r="112" spans="6:6" x14ac:dyDescent="0.25">
      <c r="F112" t="str">
        <f>IF(A112="","",VALUE(LEFT(A112,FIND("/",A112&amp;"/")-1)))</f>
        <v/>
      </c>
    </row>
    <row r="113" spans="6:6" x14ac:dyDescent="0.25">
      <c r="F113" t="str">
        <f>IF(A113="","",VALUE(LEFT(A113,FIND("/",A113&amp;"/")-1)))</f>
        <v/>
      </c>
    </row>
    <row r="114" spans="6:6" x14ac:dyDescent="0.25">
      <c r="F114" t="str">
        <f>IF(A114="","",VALUE(LEFT(A114,FIND("/",A114&amp;"/")-1)))</f>
        <v/>
      </c>
    </row>
    <row r="115" spans="6:6" x14ac:dyDescent="0.25">
      <c r="F115" t="str">
        <f>IF(A115="","",VALUE(LEFT(A115,FIND("/",A115&amp;"/")-1)))</f>
        <v/>
      </c>
    </row>
    <row r="116" spans="6:6" x14ac:dyDescent="0.25">
      <c r="F116" t="str">
        <f>IF(A116="","",VALUE(LEFT(A116,FIND("/",A116&amp;"/")-1)))</f>
        <v/>
      </c>
    </row>
    <row r="117" spans="6:6" x14ac:dyDescent="0.25">
      <c r="F117" t="str">
        <f>IF(A117="","",VALUE(LEFT(A117,FIND("/",A117&amp;"/")-1)))</f>
        <v/>
      </c>
    </row>
    <row r="118" spans="6:6" x14ac:dyDescent="0.25">
      <c r="F118" t="str">
        <f>IF(A118="","",VALUE(LEFT(A118,FIND("/",A118&amp;"/")-1)))</f>
        <v/>
      </c>
    </row>
    <row r="119" spans="6:6" x14ac:dyDescent="0.25">
      <c r="F119" t="str">
        <f>IF(A119="","",VALUE(LEFT(A119,FIND("/",A119&amp;"/")-1)))</f>
        <v/>
      </c>
    </row>
    <row r="120" spans="6:6" x14ac:dyDescent="0.25">
      <c r="F120" t="str">
        <f>IF(A120="","",VALUE(LEFT(A120,FIND("/",A120&amp;"/")-1)))</f>
        <v/>
      </c>
    </row>
    <row r="121" spans="6:6" x14ac:dyDescent="0.25">
      <c r="F121" t="str">
        <f>IF(A121="","",VALUE(LEFT(A121,FIND("/",A121&amp;"/")-1)))</f>
        <v/>
      </c>
    </row>
    <row r="122" spans="6:6" x14ac:dyDescent="0.25">
      <c r="F122" t="str">
        <f>IF(A122="","",VALUE(LEFT(A122,FIND("/",A122&amp;"/")-1)))</f>
        <v/>
      </c>
    </row>
    <row r="123" spans="6:6" x14ac:dyDescent="0.25">
      <c r="F123" t="str">
        <f>IF(A123="","",VALUE(LEFT(A123,FIND("/",A123&amp;"/")-1)))</f>
        <v/>
      </c>
    </row>
    <row r="124" spans="6:6" x14ac:dyDescent="0.25">
      <c r="F124" t="str">
        <f>IF(A124="","",VALUE(LEFT(A124,FIND("/",A124&amp;"/")-1)))</f>
        <v/>
      </c>
    </row>
    <row r="125" spans="6:6" x14ac:dyDescent="0.25">
      <c r="F125" t="str">
        <f>IF(A125="","",VALUE(LEFT(A125,FIND("/",A125&amp;"/")-1)))</f>
        <v/>
      </c>
    </row>
    <row r="126" spans="6:6" x14ac:dyDescent="0.25">
      <c r="F126" t="str">
        <f>IF(A126="","",VALUE(LEFT(A126,FIND("/",A126&amp;"/")-1)))</f>
        <v/>
      </c>
    </row>
    <row r="127" spans="6:6" x14ac:dyDescent="0.25">
      <c r="F127" t="str">
        <f>IF(A127="","",VALUE(LEFT(A127,FIND("/",A127&amp;"/")-1)))</f>
        <v/>
      </c>
    </row>
    <row r="128" spans="6:6" x14ac:dyDescent="0.25">
      <c r="F128" t="str">
        <f>IF(A128="","",VALUE(LEFT(A128,FIND("/",A128&amp;"/")-1)))</f>
        <v/>
      </c>
    </row>
    <row r="129" spans="6:6" x14ac:dyDescent="0.25">
      <c r="F129" t="str">
        <f>IF(A129="","",VALUE(LEFT(A129,FIND("/",A129&amp;"/")-1)))</f>
        <v/>
      </c>
    </row>
    <row r="130" spans="6:6" x14ac:dyDescent="0.25">
      <c r="F130" t="str">
        <f>IF(A130="","",VALUE(LEFT(A130,FIND("/",A130&amp;"/")-1)))</f>
        <v/>
      </c>
    </row>
    <row r="131" spans="6:6" x14ac:dyDescent="0.25">
      <c r="F131" t="str">
        <f>IF(A131="","",VALUE(LEFT(A131,FIND("/",A131&amp;"/")-1)))</f>
        <v/>
      </c>
    </row>
    <row r="132" spans="6:6" x14ac:dyDescent="0.25">
      <c r="F132" t="str">
        <f>IF(A132="","",VALUE(LEFT(A132,FIND("/",A132&amp;"/")-1)))</f>
        <v/>
      </c>
    </row>
    <row r="133" spans="6:6" x14ac:dyDescent="0.25">
      <c r="F133" t="str">
        <f>IF(A133="","",VALUE(LEFT(A133,FIND("/",A133&amp;"/")-1)))</f>
        <v/>
      </c>
    </row>
    <row r="134" spans="6:6" x14ac:dyDescent="0.25">
      <c r="F134" t="str">
        <f>IF(A134="","",VALUE(LEFT(A134,FIND("/",A134&amp;"/")-1)))</f>
        <v/>
      </c>
    </row>
    <row r="135" spans="6:6" x14ac:dyDescent="0.25">
      <c r="F135" t="str">
        <f>IF(A135="","",VALUE(LEFT(A135,FIND("/",A135&amp;"/")-1)))</f>
        <v/>
      </c>
    </row>
    <row r="136" spans="6:6" x14ac:dyDescent="0.25">
      <c r="F136" t="str">
        <f>IF(A136="","",VALUE(LEFT(A136,FIND("/",A136&amp;"/")-1)))</f>
        <v/>
      </c>
    </row>
    <row r="137" spans="6:6" x14ac:dyDescent="0.25">
      <c r="F137" t="str">
        <f>IF(A137="","",VALUE(LEFT(A137,FIND("/",A137&amp;"/")-1)))</f>
        <v/>
      </c>
    </row>
    <row r="138" spans="6:6" x14ac:dyDescent="0.25">
      <c r="F138" t="str">
        <f>IF(A138="","",VALUE(LEFT(A138,FIND("/",A138&amp;"/")-1)))</f>
        <v/>
      </c>
    </row>
    <row r="139" spans="6:6" x14ac:dyDescent="0.25">
      <c r="F139" t="str">
        <f>IF(A139="","",VALUE(LEFT(A139,FIND("/",A139&amp;"/")-1)))</f>
        <v/>
      </c>
    </row>
    <row r="140" spans="6:6" x14ac:dyDescent="0.25">
      <c r="F140" t="str">
        <f>IF(A140="","",VALUE(LEFT(A140,FIND("/",A140&amp;"/")-1)))</f>
        <v/>
      </c>
    </row>
    <row r="141" spans="6:6" x14ac:dyDescent="0.25">
      <c r="F141" t="str">
        <f>IF(A141="","",VALUE(LEFT(A141,FIND("/",A141&amp;"/")-1)))</f>
        <v/>
      </c>
    </row>
    <row r="142" spans="6:6" x14ac:dyDescent="0.25">
      <c r="F142" t="str">
        <f>IF(A142="","",VALUE(LEFT(A142,FIND("/",A142&amp;"/")-1)))</f>
        <v/>
      </c>
    </row>
    <row r="143" spans="6:6" x14ac:dyDescent="0.25">
      <c r="F143" t="str">
        <f>IF(A143="","",VALUE(LEFT(A143,FIND("/",A143&amp;"/")-1)))</f>
        <v/>
      </c>
    </row>
    <row r="144" spans="6:6" x14ac:dyDescent="0.25">
      <c r="F144" t="str">
        <f>IF(A144="","",VALUE(LEFT(A144,FIND("/",A144&amp;"/")-1)))</f>
        <v/>
      </c>
    </row>
    <row r="145" spans="6:6" x14ac:dyDescent="0.25">
      <c r="F145" t="str">
        <f>IF(A145="","",VALUE(LEFT(A145,FIND("/",A145&amp;"/")-1)))</f>
        <v/>
      </c>
    </row>
    <row r="146" spans="6:6" x14ac:dyDescent="0.25">
      <c r="F146" t="str">
        <f>IF(A146="","",VALUE(LEFT(A146,FIND("/",A146&amp;"/")-1)))</f>
        <v/>
      </c>
    </row>
    <row r="147" spans="6:6" x14ac:dyDescent="0.25">
      <c r="F147" t="str">
        <f>IF(A147="","",VALUE(LEFT(A147,FIND("/",A147&amp;"/")-1)))</f>
        <v/>
      </c>
    </row>
    <row r="148" spans="6:6" x14ac:dyDescent="0.25">
      <c r="F148" t="str">
        <f>IF(A148="","",VALUE(LEFT(A148,FIND("/",A148&amp;"/")-1)))</f>
        <v/>
      </c>
    </row>
    <row r="149" spans="6:6" x14ac:dyDescent="0.25">
      <c r="F149" t="str">
        <f>IF(A149="","",VALUE(LEFT(A149,FIND("/",A149&amp;"/")-1)))</f>
        <v/>
      </c>
    </row>
    <row r="150" spans="6:6" x14ac:dyDescent="0.25">
      <c r="F150" t="str">
        <f>IF(A150="","",VALUE(LEFT(A150,FIND("/",A150&amp;"/")-1)))</f>
        <v/>
      </c>
    </row>
    <row r="151" spans="6:6" x14ac:dyDescent="0.25">
      <c r="F151" t="str">
        <f>IF(A151="","",VALUE(LEFT(A151,FIND("/",A151&amp;"/")-1)))</f>
        <v/>
      </c>
    </row>
    <row r="152" spans="6:6" x14ac:dyDescent="0.25">
      <c r="F152" t="str">
        <f>IF(A152="","",VALUE(LEFT(A152,FIND("/",A152&amp;"/")-1)))</f>
        <v/>
      </c>
    </row>
    <row r="153" spans="6:6" x14ac:dyDescent="0.25">
      <c r="F153" t="str">
        <f>IF(A153="","",VALUE(LEFT(A153,FIND("/",A153&amp;"/")-1)))</f>
        <v/>
      </c>
    </row>
    <row r="154" spans="6:6" x14ac:dyDescent="0.25">
      <c r="F154" t="str">
        <f>IF(A154="","",VALUE(LEFT(A154,FIND("/",A154&amp;"/")-1)))</f>
        <v/>
      </c>
    </row>
    <row r="155" spans="6:6" x14ac:dyDescent="0.25">
      <c r="F155" t="str">
        <f>IF(A155="","",VALUE(LEFT(A155,FIND("/",A155&amp;"/")-1)))</f>
        <v/>
      </c>
    </row>
    <row r="156" spans="6:6" x14ac:dyDescent="0.25">
      <c r="F156" t="str">
        <f>IF(A156="","",VALUE(LEFT(A156,FIND("/",A156&amp;"/")-1)))</f>
        <v/>
      </c>
    </row>
    <row r="157" spans="6:6" x14ac:dyDescent="0.25">
      <c r="F157" t="str">
        <f>IF(A157="","",VALUE(LEFT(A157,FIND("/",A157&amp;"/")-1)))</f>
        <v/>
      </c>
    </row>
    <row r="158" spans="6:6" x14ac:dyDescent="0.25">
      <c r="F158" t="str">
        <f>IF(A158="","",VALUE(LEFT(A158,FIND("/",A158&amp;"/")-1)))</f>
        <v/>
      </c>
    </row>
    <row r="159" spans="6:6" x14ac:dyDescent="0.25">
      <c r="F159" t="str">
        <f>IF(A159="","",VALUE(LEFT(A159,FIND("/",A159&amp;"/")-1)))</f>
        <v/>
      </c>
    </row>
    <row r="160" spans="6:6" x14ac:dyDescent="0.25">
      <c r="F160" t="str">
        <f>IF(A160="","",VALUE(LEFT(A160,FIND("/",A160&amp;"/")-1)))</f>
        <v/>
      </c>
    </row>
    <row r="161" spans="6:6" x14ac:dyDescent="0.25">
      <c r="F161" t="str">
        <f>IF(A161="","",VALUE(LEFT(A161,FIND("/",A161&amp;"/")-1)))</f>
        <v/>
      </c>
    </row>
    <row r="162" spans="6:6" x14ac:dyDescent="0.25">
      <c r="F162" t="str">
        <f>IF(A162="","",VALUE(LEFT(A162,FIND("/",A162&amp;"/")-1)))</f>
        <v/>
      </c>
    </row>
    <row r="163" spans="6:6" x14ac:dyDescent="0.25">
      <c r="F163" t="str">
        <f>IF(A163="","",VALUE(LEFT(A163,FIND("/",A163&amp;"/")-1)))</f>
        <v/>
      </c>
    </row>
    <row r="164" spans="6:6" x14ac:dyDescent="0.25">
      <c r="F164" t="str">
        <f>IF(A164="","",VALUE(LEFT(A164,FIND("/",A164&amp;"/")-1)))</f>
        <v/>
      </c>
    </row>
    <row r="165" spans="6:6" x14ac:dyDescent="0.25">
      <c r="F165" t="str">
        <f>IF(A165="","",VALUE(LEFT(A165,FIND("/",A165&amp;"/")-1)))</f>
        <v/>
      </c>
    </row>
    <row r="166" spans="6:6" x14ac:dyDescent="0.25">
      <c r="F166" t="str">
        <f>IF(A166="","",VALUE(LEFT(A166,FIND("/",A166&amp;"/")-1)))</f>
        <v/>
      </c>
    </row>
    <row r="167" spans="6:6" x14ac:dyDescent="0.25">
      <c r="F167" t="str">
        <f>IF(A167="","",VALUE(LEFT(A167,FIND("/",A167&amp;"/")-1)))</f>
        <v/>
      </c>
    </row>
    <row r="168" spans="6:6" x14ac:dyDescent="0.25">
      <c r="F168" t="str">
        <f>IF(A168="","",VALUE(LEFT(A168,FIND("/",A168&amp;"/")-1)))</f>
        <v/>
      </c>
    </row>
    <row r="169" spans="6:6" x14ac:dyDescent="0.25">
      <c r="F169" t="str">
        <f>IF(A169="","",VALUE(LEFT(A169,FIND("/",A169&amp;"/")-1)))</f>
        <v/>
      </c>
    </row>
    <row r="170" spans="6:6" x14ac:dyDescent="0.25">
      <c r="F170" t="str">
        <f>IF(A170="","",VALUE(LEFT(A170,FIND("/",A170&amp;"/")-1)))</f>
        <v/>
      </c>
    </row>
    <row r="171" spans="6:6" x14ac:dyDescent="0.25">
      <c r="F171" t="str">
        <f>IF(A171="","",VALUE(LEFT(A171,FIND("/",A171&amp;"/")-1)))</f>
        <v/>
      </c>
    </row>
    <row r="172" spans="6:6" x14ac:dyDescent="0.25">
      <c r="F172" t="str">
        <f>IF(A172="","",VALUE(LEFT(A172,FIND("/",A172&amp;"/")-1)))</f>
        <v/>
      </c>
    </row>
    <row r="173" spans="6:6" x14ac:dyDescent="0.25">
      <c r="F173" t="str">
        <f>IF(A173="","",VALUE(LEFT(A173,FIND("/",A173&amp;"/")-1)))</f>
        <v/>
      </c>
    </row>
    <row r="174" spans="6:6" x14ac:dyDescent="0.25">
      <c r="F174" t="str">
        <f>IF(A174="","",VALUE(LEFT(A174,FIND("/",A174&amp;"/")-1)))</f>
        <v/>
      </c>
    </row>
    <row r="175" spans="6:6" x14ac:dyDescent="0.25">
      <c r="F175" t="str">
        <f>IF(A175="","",VALUE(LEFT(A175,FIND("/",A175&amp;"/")-1)))</f>
        <v/>
      </c>
    </row>
    <row r="176" spans="6:6" x14ac:dyDescent="0.25">
      <c r="F176" t="str">
        <f>IF(A176="","",VALUE(LEFT(A176,FIND("/",A176&amp;"/")-1)))</f>
        <v/>
      </c>
    </row>
    <row r="177" spans="6:6" x14ac:dyDescent="0.25">
      <c r="F177" t="str">
        <f>IF(A177="","",VALUE(LEFT(A177,FIND("/",A177&amp;"/")-1)))</f>
        <v/>
      </c>
    </row>
    <row r="178" spans="6:6" x14ac:dyDescent="0.25">
      <c r="F178" t="str">
        <f>IF(A178="","",VALUE(LEFT(A178,FIND("/",A178&amp;"/")-1)))</f>
        <v/>
      </c>
    </row>
    <row r="179" spans="6:6" x14ac:dyDescent="0.25">
      <c r="F179" t="str">
        <f>IF(A179="","",VALUE(LEFT(A179,FIND("/",A179&amp;"/")-1)))</f>
        <v/>
      </c>
    </row>
    <row r="180" spans="6:6" x14ac:dyDescent="0.25">
      <c r="F180" t="str">
        <f>IF(A180="","",VALUE(LEFT(A180,FIND("/",A180&amp;"/")-1)))</f>
        <v/>
      </c>
    </row>
    <row r="181" spans="6:6" x14ac:dyDescent="0.25">
      <c r="F181" t="str">
        <f>IF(A181="","",VALUE(LEFT(A181,FIND("/",A181&amp;"/")-1)))</f>
        <v/>
      </c>
    </row>
    <row r="182" spans="6:6" x14ac:dyDescent="0.25">
      <c r="F182" t="str">
        <f>IF(A182="","",VALUE(LEFT(A182,FIND("/",A182&amp;"/")-1)))</f>
        <v/>
      </c>
    </row>
    <row r="183" spans="6:6" x14ac:dyDescent="0.25">
      <c r="F183" t="str">
        <f>IF(A183="","",VALUE(LEFT(A183,FIND("/",A183&amp;"/")-1)))</f>
        <v/>
      </c>
    </row>
    <row r="184" spans="6:6" x14ac:dyDescent="0.25">
      <c r="F184" t="str">
        <f>IF(A184="","",VALUE(LEFT(A184,FIND("/",A184&amp;"/")-1)))</f>
        <v/>
      </c>
    </row>
    <row r="185" spans="6:6" x14ac:dyDescent="0.25">
      <c r="F185" t="str">
        <f>IF(A185="","",VALUE(LEFT(A185,FIND("/",A185&amp;"/")-1)))</f>
        <v/>
      </c>
    </row>
    <row r="186" spans="6:6" x14ac:dyDescent="0.25">
      <c r="F186" t="str">
        <f>IF(A186="","",VALUE(LEFT(A186,FIND("/",A186&amp;"/")-1)))</f>
        <v/>
      </c>
    </row>
    <row r="187" spans="6:6" x14ac:dyDescent="0.25">
      <c r="F187" t="str">
        <f>IF(A187="","",VALUE(LEFT(A187,FIND("/",A187&amp;"/")-1)))</f>
        <v/>
      </c>
    </row>
    <row r="188" spans="6:6" x14ac:dyDescent="0.25">
      <c r="F188" t="str">
        <f>IF(A188="","",VALUE(LEFT(A188,FIND("/",A188&amp;"/")-1)))</f>
        <v/>
      </c>
    </row>
    <row r="189" spans="6:6" x14ac:dyDescent="0.25">
      <c r="F189" t="str">
        <f>IF(A189="","",VALUE(LEFT(A189,FIND("/",A189&amp;"/")-1)))</f>
        <v/>
      </c>
    </row>
    <row r="190" spans="6:6" x14ac:dyDescent="0.25">
      <c r="F190" t="str">
        <f>IF(A190="","",VALUE(LEFT(A190,FIND("/",A190&amp;"/")-1)))</f>
        <v/>
      </c>
    </row>
    <row r="191" spans="6:6" x14ac:dyDescent="0.25">
      <c r="F191" t="str">
        <f>IF(A191="","",VALUE(LEFT(A191,FIND("/",A191&amp;"/")-1)))</f>
        <v/>
      </c>
    </row>
    <row r="192" spans="6:6" x14ac:dyDescent="0.25">
      <c r="F192" t="str">
        <f>IF(A192="","",VALUE(LEFT(A192,FIND("/",A192&amp;"/")-1)))</f>
        <v/>
      </c>
    </row>
    <row r="193" spans="6:6" x14ac:dyDescent="0.25">
      <c r="F193" t="str">
        <f>IF(A193="","",VALUE(LEFT(A193,FIND("/",A193&amp;"/")-1)))</f>
        <v/>
      </c>
    </row>
    <row r="194" spans="6:6" x14ac:dyDescent="0.25">
      <c r="F194" t="str">
        <f>IF(A194="","",VALUE(LEFT(A194,FIND("/",A194&amp;"/")-1)))</f>
        <v/>
      </c>
    </row>
    <row r="195" spans="6:6" x14ac:dyDescent="0.25">
      <c r="F195" t="str">
        <f>IF(A195="","",VALUE(LEFT(A195,FIND("/",A195&amp;"/")-1)))</f>
        <v/>
      </c>
    </row>
    <row r="196" spans="6:6" x14ac:dyDescent="0.25">
      <c r="F196" t="str">
        <f>IF(A196="","",VALUE(LEFT(A196,FIND("/",A196&amp;"/")-1)))</f>
        <v/>
      </c>
    </row>
    <row r="197" spans="6:6" x14ac:dyDescent="0.25">
      <c r="F197" t="str">
        <f>IF(A197="","",VALUE(LEFT(A197,FIND("/",A197&amp;"/")-1)))</f>
        <v/>
      </c>
    </row>
    <row r="198" spans="6:6" x14ac:dyDescent="0.25">
      <c r="F198" t="str">
        <f>IF(A198="","",VALUE(LEFT(A198,FIND("/",A198&amp;"/")-1)))</f>
        <v/>
      </c>
    </row>
    <row r="199" spans="6:6" x14ac:dyDescent="0.25">
      <c r="F199" t="str">
        <f>IF(A199="","",VALUE(LEFT(A199,FIND("/",A199&amp;"/")-1)))</f>
        <v/>
      </c>
    </row>
    <row r="200" spans="6:6" x14ac:dyDescent="0.25">
      <c r="F200" t="str">
        <f>IF(A200="","",VALUE(LEFT(A200,FIND("/",A200&amp;"/")-1)))</f>
        <v/>
      </c>
    </row>
    <row r="201" spans="6:6" x14ac:dyDescent="0.25">
      <c r="F201" t="str">
        <f>IF(A201="","",VALUE(LEFT(A201,FIND("/",A201&amp;"/")-1)))</f>
        <v/>
      </c>
    </row>
    <row r="202" spans="6:6" x14ac:dyDescent="0.25">
      <c r="F202" t="str">
        <f>IF(A202="","",VALUE(LEFT(A202,FIND("/",A202&amp;"/")-1)))</f>
        <v/>
      </c>
    </row>
    <row r="203" spans="6:6" x14ac:dyDescent="0.25">
      <c r="F203" t="str">
        <f>IF(A203="","",VALUE(LEFT(A203,FIND("/",A203&amp;"/")-1)))</f>
        <v/>
      </c>
    </row>
    <row r="204" spans="6:6" x14ac:dyDescent="0.25">
      <c r="F204" t="str">
        <f>IF(A204="","",VALUE(LEFT(A204,FIND("/",A204&amp;"/")-1)))</f>
        <v/>
      </c>
    </row>
    <row r="205" spans="6:6" x14ac:dyDescent="0.25">
      <c r="F205" t="str">
        <f>IF(A205="","",VALUE(LEFT(A205,FIND("/",A205&amp;"/")-1)))</f>
        <v/>
      </c>
    </row>
    <row r="206" spans="6:6" x14ac:dyDescent="0.25">
      <c r="F206" t="str">
        <f>IF(A206="","",VALUE(LEFT(A206,FIND("/",A206&amp;"/")-1)))</f>
        <v/>
      </c>
    </row>
    <row r="207" spans="6:6" x14ac:dyDescent="0.25">
      <c r="F207" t="str">
        <f>IF(A207="","",VALUE(LEFT(A207,FIND("/",A207&amp;"/")-1)))</f>
        <v/>
      </c>
    </row>
    <row r="208" spans="6:6" x14ac:dyDescent="0.25">
      <c r="F208" t="str">
        <f>IF(A208="","",VALUE(LEFT(A208,FIND("/",A208&amp;"/")-1)))</f>
        <v/>
      </c>
    </row>
    <row r="209" spans="6:6" x14ac:dyDescent="0.25">
      <c r="F209" t="str">
        <f>IF(A209="","",VALUE(LEFT(A209,FIND("/",A209&amp;"/")-1)))</f>
        <v/>
      </c>
    </row>
    <row r="210" spans="6:6" x14ac:dyDescent="0.25">
      <c r="F210" t="str">
        <f>IF(A210="","",VALUE(LEFT(A210,FIND("/",A210&amp;"/")-1)))</f>
        <v/>
      </c>
    </row>
    <row r="211" spans="6:6" x14ac:dyDescent="0.25">
      <c r="F211" t="str">
        <f>IF(A211="","",VALUE(LEFT(A211,FIND("/",A211&amp;"/")-1)))</f>
        <v/>
      </c>
    </row>
    <row r="212" spans="6:6" x14ac:dyDescent="0.25">
      <c r="F212" t="str">
        <f>IF(A212="","",VALUE(LEFT(A212,FIND("/",A212&amp;"/")-1)))</f>
        <v/>
      </c>
    </row>
    <row r="213" spans="6:6" x14ac:dyDescent="0.25">
      <c r="F213" t="str">
        <f>IF(A213="","",VALUE(LEFT(A213,FIND("/",A213&amp;"/")-1)))</f>
        <v/>
      </c>
    </row>
    <row r="214" spans="6:6" x14ac:dyDescent="0.25">
      <c r="F214" t="str">
        <f>IF(A214="","",VALUE(LEFT(A214,FIND("/",A214&amp;"/")-1)))</f>
        <v/>
      </c>
    </row>
    <row r="215" spans="6:6" x14ac:dyDescent="0.25">
      <c r="F215" t="str">
        <f>IF(A215="","",VALUE(LEFT(A215,FIND("/",A215&amp;"/")-1)))</f>
        <v/>
      </c>
    </row>
    <row r="216" spans="6:6" x14ac:dyDescent="0.25">
      <c r="F216" t="str">
        <f>IF(A216="","",VALUE(LEFT(A216,FIND("/",A216&amp;"/")-1)))</f>
        <v/>
      </c>
    </row>
    <row r="217" spans="6:6" x14ac:dyDescent="0.25">
      <c r="F217" t="str">
        <f>IF(A217="","",VALUE(LEFT(A217,FIND("/",A217&amp;"/")-1)))</f>
        <v/>
      </c>
    </row>
    <row r="218" spans="6:6" x14ac:dyDescent="0.25">
      <c r="F218" t="str">
        <f>IF(A218="","",VALUE(LEFT(A218,FIND("/",A218&amp;"/")-1)))</f>
        <v/>
      </c>
    </row>
    <row r="219" spans="6:6" x14ac:dyDescent="0.25">
      <c r="F219" t="str">
        <f>IF(A219="","",VALUE(LEFT(A219,FIND("/",A219&amp;"/")-1)))</f>
        <v/>
      </c>
    </row>
    <row r="220" spans="6:6" x14ac:dyDescent="0.25">
      <c r="F220" t="str">
        <f>IF(A220="","",VALUE(LEFT(A220,FIND("/",A220&amp;"/")-1)))</f>
        <v/>
      </c>
    </row>
    <row r="221" spans="6:6" x14ac:dyDescent="0.25">
      <c r="F221" t="str">
        <f>IF(A221="","",VALUE(LEFT(A221,FIND("/",A221&amp;"/")-1)))</f>
        <v/>
      </c>
    </row>
    <row r="222" spans="6:6" x14ac:dyDescent="0.25">
      <c r="F222" t="str">
        <f>IF(A222="","",VALUE(LEFT(A222,FIND("/",A222&amp;"/")-1)))</f>
        <v/>
      </c>
    </row>
    <row r="223" spans="6:6" x14ac:dyDescent="0.25">
      <c r="F223" t="str">
        <f>IF(A223="","",VALUE(LEFT(A223,FIND("/",A223&amp;"/")-1)))</f>
        <v/>
      </c>
    </row>
    <row r="224" spans="6:6" x14ac:dyDescent="0.25">
      <c r="F224" t="str">
        <f>IF(A224="","",VALUE(LEFT(A224,FIND("/",A224&amp;"/")-1)))</f>
        <v/>
      </c>
    </row>
    <row r="225" spans="6:6" x14ac:dyDescent="0.25">
      <c r="F225" t="str">
        <f>IF(A225="","",VALUE(LEFT(A225,FIND("/",A225&amp;"/")-1)))</f>
        <v/>
      </c>
    </row>
    <row r="226" spans="6:6" x14ac:dyDescent="0.25">
      <c r="F226" t="str">
        <f>IF(A226="","",VALUE(LEFT(A226,FIND("/",A226&amp;"/")-1)))</f>
        <v/>
      </c>
    </row>
    <row r="227" spans="6:6" x14ac:dyDescent="0.25">
      <c r="F227" t="str">
        <f>IF(A227="","",VALUE(LEFT(A227,FIND("/",A227&amp;"/")-1)))</f>
        <v/>
      </c>
    </row>
    <row r="228" spans="6:6" x14ac:dyDescent="0.25">
      <c r="F228" t="str">
        <f>IF(A228="","",VALUE(LEFT(A228,FIND("/",A228&amp;"/")-1)))</f>
        <v/>
      </c>
    </row>
    <row r="229" spans="6:6" x14ac:dyDescent="0.25">
      <c r="F229" t="str">
        <f>IF(A229="","",VALUE(LEFT(A229,FIND("/",A229&amp;"/")-1)))</f>
        <v/>
      </c>
    </row>
    <row r="230" spans="6:6" x14ac:dyDescent="0.25">
      <c r="F230" t="str">
        <f>IF(A230="","",VALUE(LEFT(A230,FIND("/",A230&amp;"/")-1)))</f>
        <v/>
      </c>
    </row>
    <row r="231" spans="6:6" x14ac:dyDescent="0.25">
      <c r="F231" t="str">
        <f>IF(A231="","",VALUE(LEFT(A231,FIND("/",A231&amp;"/")-1)))</f>
        <v/>
      </c>
    </row>
    <row r="232" spans="6:6" x14ac:dyDescent="0.25">
      <c r="F232" t="str">
        <f>IF(A232="","",VALUE(LEFT(A232,FIND("/",A232&amp;"/")-1)))</f>
        <v/>
      </c>
    </row>
    <row r="233" spans="6:6" x14ac:dyDescent="0.25">
      <c r="F233" t="str">
        <f>IF(A233="","",VALUE(LEFT(A233,FIND("/",A233&amp;"/")-1)))</f>
        <v/>
      </c>
    </row>
    <row r="234" spans="6:6" x14ac:dyDescent="0.25">
      <c r="F234" t="str">
        <f>IF(A234="","",VALUE(LEFT(A234,FIND("/",A234&amp;"/")-1)))</f>
        <v/>
      </c>
    </row>
    <row r="235" spans="6:6" x14ac:dyDescent="0.25">
      <c r="F235" t="str">
        <f>IF(A235="","",VALUE(LEFT(A235,FIND("/",A235&amp;"/")-1)))</f>
        <v/>
      </c>
    </row>
    <row r="236" spans="6:6" x14ac:dyDescent="0.25">
      <c r="F236" t="str">
        <f>IF(A236="","",VALUE(LEFT(A236,FIND("/",A236&amp;"/")-1)))</f>
        <v/>
      </c>
    </row>
    <row r="237" spans="6:6" x14ac:dyDescent="0.25">
      <c r="F237" t="str">
        <f>IF(A237="","",VALUE(LEFT(A237,FIND("/",A237&amp;"/")-1)))</f>
        <v/>
      </c>
    </row>
    <row r="238" spans="6:6" x14ac:dyDescent="0.25">
      <c r="F238" t="str">
        <f>IF(A238="","",VALUE(LEFT(A238,FIND("/",A238&amp;"/")-1)))</f>
        <v/>
      </c>
    </row>
    <row r="239" spans="6:6" x14ac:dyDescent="0.25">
      <c r="F239" t="str">
        <f>IF(A239="","",VALUE(LEFT(A239,FIND("/",A239&amp;"/")-1)))</f>
        <v/>
      </c>
    </row>
    <row r="240" spans="6:6" x14ac:dyDescent="0.25">
      <c r="F240" t="str">
        <f>IF(A240="","",VALUE(LEFT(A240,FIND("/",A240&amp;"/")-1)))</f>
        <v/>
      </c>
    </row>
    <row r="241" spans="6:6" x14ac:dyDescent="0.25">
      <c r="F241" t="str">
        <f>IF(A241="","",VALUE(LEFT(A241,FIND("/",A241&amp;"/")-1)))</f>
        <v/>
      </c>
    </row>
    <row r="242" spans="6:6" x14ac:dyDescent="0.25">
      <c r="F242" t="str">
        <f>IF(A242="","",VALUE(LEFT(A242,FIND("/",A242&amp;"/")-1)))</f>
        <v/>
      </c>
    </row>
    <row r="243" spans="6:6" x14ac:dyDescent="0.25">
      <c r="F243" t="str">
        <f>IF(A243="","",VALUE(LEFT(A243,FIND("/",A243&amp;"/")-1)))</f>
        <v/>
      </c>
    </row>
    <row r="244" spans="6:6" x14ac:dyDescent="0.25">
      <c r="F244" t="str">
        <f>IF(A244="","",VALUE(LEFT(A244,FIND("/",A244&amp;"/")-1)))</f>
        <v/>
      </c>
    </row>
    <row r="245" spans="6:6" x14ac:dyDescent="0.25">
      <c r="F245" t="str">
        <f>IF(A245="","",VALUE(LEFT(A245,FIND("/",A245&amp;"/")-1)))</f>
        <v/>
      </c>
    </row>
    <row r="246" spans="6:6" x14ac:dyDescent="0.25">
      <c r="F246" t="str">
        <f>IF(A246="","",VALUE(LEFT(A246,FIND("/",A246&amp;"/")-1)))</f>
        <v/>
      </c>
    </row>
    <row r="247" spans="6:6" x14ac:dyDescent="0.25">
      <c r="F247" t="str">
        <f>IF(A247="","",VALUE(LEFT(A247,FIND("/",A247&amp;"/")-1)))</f>
        <v/>
      </c>
    </row>
    <row r="248" spans="6:6" x14ac:dyDescent="0.25">
      <c r="F248" t="str">
        <f>IF(A248="","",VALUE(LEFT(A248,FIND("/",A248&amp;"/")-1)))</f>
        <v/>
      </c>
    </row>
    <row r="249" spans="6:6" x14ac:dyDescent="0.25">
      <c r="F249" t="str">
        <f>IF(A249="","",VALUE(LEFT(A249,FIND("/",A249&amp;"/")-1)))</f>
        <v/>
      </c>
    </row>
    <row r="250" spans="6:6" x14ac:dyDescent="0.25">
      <c r="F250" t="str">
        <f>IF(A250="","",VALUE(LEFT(A250,FIND("/",A250&amp;"/")-1)))</f>
        <v/>
      </c>
    </row>
    <row r="251" spans="6:6" x14ac:dyDescent="0.25">
      <c r="F251" t="str">
        <f>IF(A251="","",VALUE(LEFT(A251,FIND("/",A251&amp;"/")-1)))</f>
        <v/>
      </c>
    </row>
    <row r="252" spans="6:6" x14ac:dyDescent="0.25">
      <c r="F252" t="str">
        <f>IF(A252="","",VALUE(LEFT(A252,FIND("/",A252&amp;"/")-1)))</f>
        <v/>
      </c>
    </row>
    <row r="253" spans="6:6" x14ac:dyDescent="0.25">
      <c r="F253" t="str">
        <f>IF(A253="","",VALUE(LEFT(A253,FIND("/",A253&amp;"/")-1)))</f>
        <v/>
      </c>
    </row>
    <row r="254" spans="6:6" x14ac:dyDescent="0.25">
      <c r="F254" t="str">
        <f>IF(A254="","",VALUE(LEFT(A254,FIND("/",A254&amp;"/")-1)))</f>
        <v/>
      </c>
    </row>
    <row r="255" spans="6:6" x14ac:dyDescent="0.25">
      <c r="F255" t="str">
        <f>IF(A255="","",VALUE(LEFT(A255,FIND("/",A255&amp;"/")-1)))</f>
        <v/>
      </c>
    </row>
    <row r="256" spans="6:6" x14ac:dyDescent="0.25">
      <c r="F256" t="str">
        <f>IF(A256="","",VALUE(LEFT(A256,FIND("/",A256&amp;"/")-1)))</f>
        <v/>
      </c>
    </row>
    <row r="257" spans="6:6" x14ac:dyDescent="0.25">
      <c r="F257" t="str">
        <f>IF(A257="","",VALUE(LEFT(A257,FIND("/",A257&amp;"/")-1)))</f>
        <v/>
      </c>
    </row>
    <row r="258" spans="6:6" x14ac:dyDescent="0.25">
      <c r="F258" t="str">
        <f>IF(A258="","",VALUE(LEFT(A258,FIND("/",A258&amp;"/")-1)))</f>
        <v/>
      </c>
    </row>
    <row r="259" spans="6:6" x14ac:dyDescent="0.25">
      <c r="F259" t="str">
        <f>IF(A259="","",VALUE(LEFT(A259,FIND("/",A259&amp;"/")-1)))</f>
        <v/>
      </c>
    </row>
    <row r="260" spans="6:6" x14ac:dyDescent="0.25">
      <c r="F260" t="str">
        <f>IF(A260="","",VALUE(LEFT(A260,FIND("/",A260&amp;"/")-1)))</f>
        <v/>
      </c>
    </row>
    <row r="261" spans="6:6" x14ac:dyDescent="0.25">
      <c r="F261" t="str">
        <f>IF(A261="","",VALUE(LEFT(A261,FIND("/",A261&amp;"/")-1)))</f>
        <v/>
      </c>
    </row>
    <row r="262" spans="6:6" x14ac:dyDescent="0.25">
      <c r="F262" t="str">
        <f>IF(A262="","",VALUE(LEFT(A262,FIND("/",A262&amp;"/")-1)))</f>
        <v/>
      </c>
    </row>
    <row r="263" spans="6:6" x14ac:dyDescent="0.25">
      <c r="F263" t="str">
        <f>IF(A263="","",VALUE(LEFT(A263,FIND("/",A263&amp;"/")-1)))</f>
        <v/>
      </c>
    </row>
    <row r="264" spans="6:6" x14ac:dyDescent="0.25">
      <c r="F264" t="str">
        <f>IF(A264="","",VALUE(LEFT(A264,FIND("/",A264&amp;"/")-1)))</f>
        <v/>
      </c>
    </row>
    <row r="265" spans="6:6" x14ac:dyDescent="0.25">
      <c r="F265" t="str">
        <f>IF(A265="","",VALUE(LEFT(A265,FIND("/",A265&amp;"/")-1)))</f>
        <v/>
      </c>
    </row>
    <row r="266" spans="6:6" x14ac:dyDescent="0.25">
      <c r="F266" t="str">
        <f>IF(A266="","",VALUE(LEFT(A266,FIND("/",A266&amp;"/")-1)))</f>
        <v/>
      </c>
    </row>
    <row r="267" spans="6:6" x14ac:dyDescent="0.25">
      <c r="F267" t="str">
        <f>IF(A267="","",VALUE(LEFT(A267,FIND("/",A267&amp;"/")-1)))</f>
        <v/>
      </c>
    </row>
    <row r="268" spans="6:6" x14ac:dyDescent="0.25">
      <c r="F268" t="str">
        <f>IF(A268="","",VALUE(LEFT(A268,FIND("/",A268&amp;"/")-1)))</f>
        <v/>
      </c>
    </row>
    <row r="269" spans="6:6" x14ac:dyDescent="0.25">
      <c r="F269" t="str">
        <f>IF(A269="","",VALUE(LEFT(A269,FIND("/",A269&amp;"/")-1)))</f>
        <v/>
      </c>
    </row>
    <row r="270" spans="6:6" x14ac:dyDescent="0.25">
      <c r="F270" t="str">
        <f>IF(A270="","",VALUE(LEFT(A270,FIND("/",A270&amp;"/")-1)))</f>
        <v/>
      </c>
    </row>
    <row r="271" spans="6:6" x14ac:dyDescent="0.25">
      <c r="F271" t="str">
        <f>IF(A271="","",VALUE(LEFT(A271,FIND("/",A271&amp;"/")-1)))</f>
        <v/>
      </c>
    </row>
    <row r="272" spans="6:6" x14ac:dyDescent="0.25">
      <c r="F272" t="str">
        <f>IF(A272="","",VALUE(LEFT(A272,FIND("/",A272&amp;"/")-1)))</f>
        <v/>
      </c>
    </row>
    <row r="273" spans="6:6" x14ac:dyDescent="0.25">
      <c r="F273" t="str">
        <f>IF(A273="","",VALUE(LEFT(A273,FIND("/",A273&amp;"/")-1)))</f>
        <v/>
      </c>
    </row>
    <row r="274" spans="6:6" x14ac:dyDescent="0.25">
      <c r="F274" t="str">
        <f>IF(A274="","",VALUE(LEFT(A274,FIND("/",A274&amp;"/")-1)))</f>
        <v/>
      </c>
    </row>
    <row r="275" spans="6:6" x14ac:dyDescent="0.25">
      <c r="F275" t="str">
        <f>IF(A275="","",VALUE(LEFT(A275,FIND("/",A275&amp;"/")-1)))</f>
        <v/>
      </c>
    </row>
    <row r="276" spans="6:6" x14ac:dyDescent="0.25">
      <c r="F276" t="str">
        <f>IF(A276="","",VALUE(LEFT(A276,FIND("/",A276&amp;"/")-1)))</f>
        <v/>
      </c>
    </row>
    <row r="277" spans="6:6" x14ac:dyDescent="0.25">
      <c r="F277" t="str">
        <f>IF(A277="","",VALUE(LEFT(A277,FIND("/",A277&amp;"/")-1)))</f>
        <v/>
      </c>
    </row>
    <row r="278" spans="6:6" x14ac:dyDescent="0.25">
      <c r="F278" t="str">
        <f>IF(A278="","",VALUE(LEFT(A278,FIND("/",A278&amp;"/")-1)))</f>
        <v/>
      </c>
    </row>
    <row r="279" spans="6:6" x14ac:dyDescent="0.25">
      <c r="F279" t="str">
        <f>IF(A279="","",VALUE(LEFT(A279,FIND("/",A279&amp;"/")-1)))</f>
        <v/>
      </c>
    </row>
    <row r="280" spans="6:6" x14ac:dyDescent="0.25">
      <c r="F280" t="str">
        <f>IF(A280="","",VALUE(LEFT(A280,FIND("/",A280&amp;"/")-1)))</f>
        <v/>
      </c>
    </row>
    <row r="281" spans="6:6" x14ac:dyDescent="0.25">
      <c r="F281" t="str">
        <f>IF(A281="","",VALUE(LEFT(A281,FIND("/",A281&amp;"/")-1)))</f>
        <v/>
      </c>
    </row>
    <row r="282" spans="6:6" x14ac:dyDescent="0.25">
      <c r="F282" t="str">
        <f>IF(A282="","",VALUE(LEFT(A282,FIND("/",A282&amp;"/")-1)))</f>
        <v/>
      </c>
    </row>
    <row r="283" spans="6:6" x14ac:dyDescent="0.25">
      <c r="F283" t="str">
        <f>IF(A283="","",VALUE(LEFT(A283,FIND("/",A283&amp;"/")-1)))</f>
        <v/>
      </c>
    </row>
    <row r="284" spans="6:6" x14ac:dyDescent="0.25">
      <c r="F284" t="str">
        <f>IF(A284="","",VALUE(LEFT(A284,FIND("/",A284&amp;"/")-1)))</f>
        <v/>
      </c>
    </row>
    <row r="285" spans="6:6" x14ac:dyDescent="0.25">
      <c r="F285" t="str">
        <f>IF(A285="","",VALUE(LEFT(A285,FIND("/",A285&amp;"/")-1)))</f>
        <v/>
      </c>
    </row>
    <row r="286" spans="6:6" x14ac:dyDescent="0.25">
      <c r="F286" t="str">
        <f>IF(A286="","",VALUE(LEFT(A286,FIND("/",A286&amp;"/")-1)))</f>
        <v/>
      </c>
    </row>
    <row r="287" spans="6:6" x14ac:dyDescent="0.25">
      <c r="F287" t="str">
        <f>IF(A287="","",VALUE(LEFT(A287,FIND("/",A287&amp;"/")-1)))</f>
        <v/>
      </c>
    </row>
    <row r="288" spans="6:6" x14ac:dyDescent="0.25">
      <c r="F288" t="str">
        <f>IF(A288="","",VALUE(LEFT(A288,FIND("/",A288&amp;"/")-1)))</f>
        <v/>
      </c>
    </row>
    <row r="289" spans="6:6" x14ac:dyDescent="0.25">
      <c r="F289" t="str">
        <f>IF(A289="","",VALUE(LEFT(A289,FIND("/",A289&amp;"/")-1)))</f>
        <v/>
      </c>
    </row>
    <row r="290" spans="6:6" x14ac:dyDescent="0.25">
      <c r="F290" t="str">
        <f>IF(A290="","",VALUE(LEFT(A290,FIND("/",A290&amp;"/")-1)))</f>
        <v/>
      </c>
    </row>
    <row r="291" spans="6:6" x14ac:dyDescent="0.25">
      <c r="F291" t="str">
        <f>IF(A291="","",VALUE(LEFT(A291,FIND("/",A291&amp;"/")-1)))</f>
        <v/>
      </c>
    </row>
    <row r="292" spans="6:6" x14ac:dyDescent="0.25">
      <c r="F292" t="str">
        <f>IF(A292="","",VALUE(LEFT(A292,FIND("/",A292&amp;"/")-1)))</f>
        <v/>
      </c>
    </row>
    <row r="293" spans="6:6" x14ac:dyDescent="0.25">
      <c r="F293" t="str">
        <f>IF(A293="","",VALUE(LEFT(A293,FIND("/",A293&amp;"/")-1)))</f>
        <v/>
      </c>
    </row>
    <row r="294" spans="6:6" x14ac:dyDescent="0.25">
      <c r="F294" t="str">
        <f>IF(A294="","",VALUE(LEFT(A294,FIND("/",A294&amp;"/")-1)))</f>
        <v/>
      </c>
    </row>
    <row r="295" spans="6:6" x14ac:dyDescent="0.25">
      <c r="F295" t="str">
        <f>IF(A295="","",VALUE(LEFT(A295,FIND("/",A295&amp;"/")-1)))</f>
        <v/>
      </c>
    </row>
    <row r="296" spans="6:6" x14ac:dyDescent="0.25">
      <c r="F296" t="str">
        <f>IF(A296="","",VALUE(LEFT(A296,FIND("/",A296&amp;"/")-1)))</f>
        <v/>
      </c>
    </row>
    <row r="297" spans="6:6" x14ac:dyDescent="0.25">
      <c r="F297" t="str">
        <f>IF(A297="","",VALUE(LEFT(A297,FIND("/",A297&amp;"/")-1)))</f>
        <v/>
      </c>
    </row>
    <row r="298" spans="6:6" x14ac:dyDescent="0.25">
      <c r="F298" t="str">
        <f>IF(A298="","",VALUE(LEFT(A298,FIND("/",A298&amp;"/")-1)))</f>
        <v/>
      </c>
    </row>
    <row r="299" spans="6:6" x14ac:dyDescent="0.25">
      <c r="F299" t="str">
        <f>IF(A299="","",VALUE(LEFT(A299,FIND("/",A299&amp;"/")-1)))</f>
        <v/>
      </c>
    </row>
    <row r="300" spans="6:6" x14ac:dyDescent="0.25">
      <c r="F300" t="str">
        <f>IF(A300="","",VALUE(LEFT(A300,FIND("/",A300&amp;"/")-1)))</f>
        <v/>
      </c>
    </row>
    <row r="301" spans="6:6" x14ac:dyDescent="0.25">
      <c r="F301" t="str">
        <f>IF(A301="","",VALUE(LEFT(A301,FIND("/",A301&amp;"/")-1)))</f>
        <v/>
      </c>
    </row>
    <row r="302" spans="6:6" x14ac:dyDescent="0.25">
      <c r="F302" t="str">
        <f>IF(A302="","",VALUE(LEFT(A302,FIND("/",A302&amp;"/")-1)))</f>
        <v/>
      </c>
    </row>
    <row r="303" spans="6:6" x14ac:dyDescent="0.25">
      <c r="F303" t="str">
        <f>IF(A303="","",VALUE(LEFT(A303,FIND("/",A303&amp;"/")-1)))</f>
        <v/>
      </c>
    </row>
    <row r="304" spans="6:6" x14ac:dyDescent="0.25">
      <c r="F304" t="str">
        <f>IF(A304="","",VALUE(LEFT(A304,FIND("/",A304&amp;"/")-1)))</f>
        <v/>
      </c>
    </row>
    <row r="305" spans="6:6" x14ac:dyDescent="0.25">
      <c r="F305" t="str">
        <f>IF(A305="","",VALUE(LEFT(A305,FIND("/",A305&amp;"/")-1)))</f>
        <v/>
      </c>
    </row>
    <row r="306" spans="6:6" x14ac:dyDescent="0.25">
      <c r="F306" t="str">
        <f>IF(A306="","",VALUE(LEFT(A306,FIND("/",A306&amp;"/")-1)))</f>
        <v/>
      </c>
    </row>
    <row r="307" spans="6:6" x14ac:dyDescent="0.25">
      <c r="F307" t="str">
        <f>IF(A307="","",VALUE(LEFT(A307,FIND("/",A307&amp;"/")-1)))</f>
        <v/>
      </c>
    </row>
    <row r="308" spans="6:6" x14ac:dyDescent="0.25">
      <c r="F308" t="str">
        <f>IF(A308="","",VALUE(LEFT(A308,FIND("/",A308&amp;"/")-1)))</f>
        <v/>
      </c>
    </row>
    <row r="309" spans="6:6" x14ac:dyDescent="0.25">
      <c r="F309" t="str">
        <f>IF(A309="","",VALUE(LEFT(A309,FIND("/",A309&amp;"/")-1)))</f>
        <v/>
      </c>
    </row>
    <row r="310" spans="6:6" x14ac:dyDescent="0.25">
      <c r="F310" t="str">
        <f>IF(A310="","",VALUE(LEFT(A310,FIND("/",A310&amp;"/")-1)))</f>
        <v/>
      </c>
    </row>
    <row r="311" spans="6:6" x14ac:dyDescent="0.25">
      <c r="F311" t="str">
        <f>IF(A311="","",VALUE(LEFT(A311,FIND("/",A311&amp;"/")-1)))</f>
        <v/>
      </c>
    </row>
    <row r="312" spans="6:6" x14ac:dyDescent="0.25">
      <c r="F312" t="str">
        <f>IF(A312="","",VALUE(LEFT(A312,FIND("/",A312&amp;"/")-1)))</f>
        <v/>
      </c>
    </row>
    <row r="313" spans="6:6" x14ac:dyDescent="0.25">
      <c r="F313" t="str">
        <f>IF(A313="","",VALUE(LEFT(A313,FIND("/",A313&amp;"/")-1)))</f>
        <v/>
      </c>
    </row>
    <row r="314" spans="6:6" x14ac:dyDescent="0.25">
      <c r="F314" t="str">
        <f>IF(A314="","",VALUE(LEFT(A314,FIND("/",A314&amp;"/")-1)))</f>
        <v/>
      </c>
    </row>
    <row r="315" spans="6:6" x14ac:dyDescent="0.25">
      <c r="F315" t="str">
        <f>IF(A315="","",VALUE(LEFT(A315,FIND("/",A315&amp;"/")-1)))</f>
        <v/>
      </c>
    </row>
    <row r="316" spans="6:6" x14ac:dyDescent="0.25">
      <c r="F316" t="str">
        <f>IF(A316="","",VALUE(LEFT(A316,FIND("/",A316&amp;"/")-1)))</f>
        <v/>
      </c>
    </row>
    <row r="317" spans="6:6" x14ac:dyDescent="0.25">
      <c r="F317" t="str">
        <f>IF(A317="","",VALUE(LEFT(A317,FIND("/",A317&amp;"/")-1)))</f>
        <v/>
      </c>
    </row>
    <row r="318" spans="6:6" x14ac:dyDescent="0.25">
      <c r="F318" t="str">
        <f>IF(A318="","",VALUE(LEFT(A318,FIND("/",A318&amp;"/")-1)))</f>
        <v/>
      </c>
    </row>
    <row r="319" spans="6:6" x14ac:dyDescent="0.25">
      <c r="F319" t="str">
        <f>IF(A319="","",VALUE(LEFT(A319,FIND("/",A319&amp;"/")-1)))</f>
        <v/>
      </c>
    </row>
    <row r="320" spans="6:6" x14ac:dyDescent="0.25">
      <c r="F320" t="str">
        <f>IF(A320="","",VALUE(LEFT(A320,FIND("/",A320&amp;"/")-1)))</f>
        <v/>
      </c>
    </row>
    <row r="321" spans="6:6" x14ac:dyDescent="0.25">
      <c r="F321" t="str">
        <f>IF(A321="","",VALUE(LEFT(A321,FIND("/",A321&amp;"/")-1)))</f>
        <v/>
      </c>
    </row>
    <row r="322" spans="6:6" x14ac:dyDescent="0.25">
      <c r="F322" t="str">
        <f>IF(A322="","",VALUE(LEFT(A322,FIND("/",A322&amp;"/")-1)))</f>
        <v/>
      </c>
    </row>
    <row r="323" spans="6:6" x14ac:dyDescent="0.25">
      <c r="F323" t="str">
        <f>IF(A323="","",VALUE(LEFT(A323,FIND("/",A323&amp;"/")-1)))</f>
        <v/>
      </c>
    </row>
    <row r="324" spans="6:6" x14ac:dyDescent="0.25">
      <c r="F324" t="str">
        <f>IF(A324="","",VALUE(LEFT(A324,FIND("/",A324&amp;"/")-1)))</f>
        <v/>
      </c>
    </row>
    <row r="325" spans="6:6" x14ac:dyDescent="0.25">
      <c r="F325" t="str">
        <f>IF(A325="","",VALUE(LEFT(A325,FIND("/",A325&amp;"/")-1)))</f>
        <v/>
      </c>
    </row>
    <row r="326" spans="6:6" x14ac:dyDescent="0.25">
      <c r="F326" t="str">
        <f>IF(A326="","",VALUE(LEFT(A326,FIND("/",A326&amp;"/")-1)))</f>
        <v/>
      </c>
    </row>
    <row r="327" spans="6:6" x14ac:dyDescent="0.25">
      <c r="F327" t="str">
        <f>IF(A327="","",VALUE(LEFT(A327,FIND("/",A327&amp;"/")-1)))</f>
        <v/>
      </c>
    </row>
    <row r="328" spans="6:6" x14ac:dyDescent="0.25">
      <c r="F328" t="str">
        <f>IF(A328="","",VALUE(LEFT(A328,FIND("/",A328&amp;"/")-1)))</f>
        <v/>
      </c>
    </row>
    <row r="329" spans="6:6" x14ac:dyDescent="0.25">
      <c r="F329" t="str">
        <f>IF(A329="","",VALUE(LEFT(A329,FIND("/",A329&amp;"/")-1)))</f>
        <v/>
      </c>
    </row>
    <row r="330" spans="6:6" x14ac:dyDescent="0.25">
      <c r="F330" t="str">
        <f>IF(A330="","",VALUE(LEFT(A330,FIND("/",A330&amp;"/")-1)))</f>
        <v/>
      </c>
    </row>
    <row r="331" spans="6:6" x14ac:dyDescent="0.25">
      <c r="F331" t="str">
        <f>IF(A331="","",VALUE(LEFT(A331,FIND("/",A331&amp;"/")-1)))</f>
        <v/>
      </c>
    </row>
    <row r="332" spans="6:6" x14ac:dyDescent="0.25">
      <c r="F332" t="str">
        <f>IF(A332="","",VALUE(LEFT(A332,FIND("/",A332&amp;"/")-1)))</f>
        <v/>
      </c>
    </row>
    <row r="333" spans="6:6" x14ac:dyDescent="0.25">
      <c r="F333" t="str">
        <f>IF(A333="","",VALUE(LEFT(A333,FIND("/",A333&amp;"/")-1)))</f>
        <v/>
      </c>
    </row>
    <row r="334" spans="6:6" x14ac:dyDescent="0.25">
      <c r="F334" t="str">
        <f>IF(A334="","",VALUE(LEFT(A334,FIND("/",A334&amp;"/")-1)))</f>
        <v/>
      </c>
    </row>
    <row r="335" spans="6:6" x14ac:dyDescent="0.25">
      <c r="F335" t="str">
        <f>IF(A335="","",VALUE(LEFT(A335,FIND("/",A335&amp;"/")-1)))</f>
        <v/>
      </c>
    </row>
    <row r="336" spans="6:6" x14ac:dyDescent="0.25">
      <c r="F336" t="str">
        <f>IF(A336="","",VALUE(LEFT(A336,FIND("/",A336&amp;"/")-1)))</f>
        <v/>
      </c>
    </row>
    <row r="337" spans="6:6" x14ac:dyDescent="0.25">
      <c r="F337" t="str">
        <f>IF(A337="","",VALUE(LEFT(A337,FIND("/",A337&amp;"/")-1)))</f>
        <v/>
      </c>
    </row>
    <row r="338" spans="6:6" x14ac:dyDescent="0.25">
      <c r="F338" t="str">
        <f>IF(A338="","",VALUE(LEFT(A338,FIND("/",A338&amp;"/")-1)))</f>
        <v/>
      </c>
    </row>
    <row r="339" spans="6:6" x14ac:dyDescent="0.25">
      <c r="F339" t="str">
        <f>IF(A339="","",VALUE(LEFT(A339,FIND("/",A339&amp;"/")-1)))</f>
        <v/>
      </c>
    </row>
    <row r="340" spans="6:6" x14ac:dyDescent="0.25">
      <c r="F340" t="str">
        <f>IF(A340="","",VALUE(LEFT(A340,FIND("/",A340&amp;"/")-1)))</f>
        <v/>
      </c>
    </row>
    <row r="341" spans="6:6" x14ac:dyDescent="0.25">
      <c r="F341" t="str">
        <f>IF(A341="","",VALUE(LEFT(A341,FIND("/",A341&amp;"/")-1)))</f>
        <v/>
      </c>
    </row>
    <row r="342" spans="6:6" x14ac:dyDescent="0.25">
      <c r="F342" t="str">
        <f>IF(A342="","",VALUE(LEFT(A342,FIND("/",A342&amp;"/")-1)))</f>
        <v/>
      </c>
    </row>
    <row r="343" spans="6:6" x14ac:dyDescent="0.25">
      <c r="F343" t="str">
        <f>IF(A343="","",VALUE(LEFT(A343,FIND("/",A343&amp;"/")-1)))</f>
        <v/>
      </c>
    </row>
    <row r="344" spans="6:6" x14ac:dyDescent="0.25">
      <c r="F344" t="str">
        <f>IF(A344="","",VALUE(LEFT(A344,FIND("/",A344&amp;"/")-1)))</f>
        <v/>
      </c>
    </row>
    <row r="345" spans="6:6" x14ac:dyDescent="0.25">
      <c r="F345" t="str">
        <f>IF(A345="","",VALUE(LEFT(A345,FIND("/",A345&amp;"/")-1)))</f>
        <v/>
      </c>
    </row>
    <row r="346" spans="6:6" x14ac:dyDescent="0.25">
      <c r="F346" t="str">
        <f>IF(A346="","",VALUE(LEFT(A346,FIND("/",A346&amp;"/")-1)))</f>
        <v/>
      </c>
    </row>
    <row r="347" spans="6:6" x14ac:dyDescent="0.25">
      <c r="F347" t="str">
        <f>IF(A347="","",VALUE(LEFT(A347,FIND("/",A347&amp;"/")-1)))</f>
        <v/>
      </c>
    </row>
    <row r="348" spans="6:6" x14ac:dyDescent="0.25">
      <c r="F348" t="str">
        <f>IF(A348="","",VALUE(LEFT(A348,FIND("/",A348&amp;"/")-1)))</f>
        <v/>
      </c>
    </row>
    <row r="349" spans="6:6" x14ac:dyDescent="0.25">
      <c r="F349" t="str">
        <f>IF(A349="","",VALUE(LEFT(A349,FIND("/",A349&amp;"/")-1)))</f>
        <v/>
      </c>
    </row>
    <row r="350" spans="6:6" x14ac:dyDescent="0.25">
      <c r="F350" t="str">
        <f>IF(A350="","",VALUE(LEFT(A350,FIND("/",A350&amp;"/")-1)))</f>
        <v/>
      </c>
    </row>
    <row r="351" spans="6:6" x14ac:dyDescent="0.25">
      <c r="F351" t="str">
        <f>IF(A351="","",VALUE(LEFT(A351,FIND("/",A351&amp;"/")-1)))</f>
        <v/>
      </c>
    </row>
    <row r="352" spans="6:6" x14ac:dyDescent="0.25">
      <c r="F352" t="str">
        <f>IF(A352="","",VALUE(LEFT(A352,FIND("/",A352&amp;"/")-1)))</f>
        <v/>
      </c>
    </row>
    <row r="353" spans="6:6" x14ac:dyDescent="0.25">
      <c r="F353" t="str">
        <f>IF(A353="","",VALUE(LEFT(A353,FIND("/",A353&amp;"/")-1)))</f>
        <v/>
      </c>
    </row>
    <row r="354" spans="6:6" x14ac:dyDescent="0.25">
      <c r="F354" t="str">
        <f>IF(A354="","",VALUE(LEFT(A354,FIND("/",A354&amp;"/")-1)))</f>
        <v/>
      </c>
    </row>
    <row r="355" spans="6:6" x14ac:dyDescent="0.25">
      <c r="F355" t="str">
        <f>IF(A355="","",VALUE(LEFT(A355,FIND("/",A355&amp;"/")-1)))</f>
        <v/>
      </c>
    </row>
    <row r="356" spans="6:6" x14ac:dyDescent="0.25">
      <c r="F356" t="str">
        <f>IF(A356="","",VALUE(LEFT(A356,FIND("/",A356&amp;"/")-1)))</f>
        <v/>
      </c>
    </row>
    <row r="357" spans="6:6" x14ac:dyDescent="0.25">
      <c r="F357" t="str">
        <f>IF(A357="","",VALUE(LEFT(A357,FIND("/",A357&amp;"/")-1)))</f>
        <v/>
      </c>
    </row>
    <row r="358" spans="6:6" x14ac:dyDescent="0.25">
      <c r="F358" t="str">
        <f>IF(A358="","",VALUE(LEFT(A358,FIND("/",A358&amp;"/")-1)))</f>
        <v/>
      </c>
    </row>
    <row r="359" spans="6:6" x14ac:dyDescent="0.25">
      <c r="F359" t="str">
        <f>IF(A359="","",VALUE(LEFT(A359,FIND("/",A359&amp;"/")-1)))</f>
        <v/>
      </c>
    </row>
    <row r="360" spans="6:6" x14ac:dyDescent="0.25">
      <c r="F360" t="str">
        <f>IF(A360="","",VALUE(LEFT(A360,FIND("/",A360&amp;"/")-1)))</f>
        <v/>
      </c>
    </row>
    <row r="361" spans="6:6" x14ac:dyDescent="0.25">
      <c r="F361" t="str">
        <f>IF(A361="","",VALUE(LEFT(A361,FIND("/",A361&amp;"/")-1)))</f>
        <v/>
      </c>
    </row>
    <row r="362" spans="6:6" x14ac:dyDescent="0.25">
      <c r="F362" t="str">
        <f>IF(A362="","",VALUE(LEFT(A362,FIND("/",A362&amp;"/")-1)))</f>
        <v/>
      </c>
    </row>
    <row r="363" spans="6:6" x14ac:dyDescent="0.25">
      <c r="F363" t="str">
        <f>IF(A363="","",VALUE(LEFT(A363,FIND("/",A363&amp;"/")-1)))</f>
        <v/>
      </c>
    </row>
    <row r="364" spans="6:6" x14ac:dyDescent="0.25">
      <c r="F364" t="str">
        <f>IF(A364="","",VALUE(LEFT(A364,FIND("/",A364&amp;"/")-1)))</f>
        <v/>
      </c>
    </row>
    <row r="365" spans="6:6" x14ac:dyDescent="0.25">
      <c r="F365" t="str">
        <f>IF(A365="","",VALUE(LEFT(A365,FIND("/",A365&amp;"/")-1)))</f>
        <v/>
      </c>
    </row>
    <row r="366" spans="6:6" x14ac:dyDescent="0.25">
      <c r="F366" t="str">
        <f>IF(A366="","",VALUE(LEFT(A366,FIND("/",A366&amp;"/")-1)))</f>
        <v/>
      </c>
    </row>
    <row r="367" spans="6:6" x14ac:dyDescent="0.25">
      <c r="F367" t="str">
        <f>IF(A367="","",VALUE(LEFT(A367,FIND("/",A367&amp;"/")-1)))</f>
        <v/>
      </c>
    </row>
    <row r="368" spans="6:6" x14ac:dyDescent="0.25">
      <c r="F368" t="str">
        <f>IF(A368="","",VALUE(LEFT(A368,FIND("/",A368&amp;"/")-1)))</f>
        <v/>
      </c>
    </row>
    <row r="369" spans="6:6" x14ac:dyDescent="0.25">
      <c r="F369" t="str">
        <f>IF(A369="","",VALUE(LEFT(A369,FIND("/",A369&amp;"/")-1)))</f>
        <v/>
      </c>
    </row>
    <row r="370" spans="6:6" x14ac:dyDescent="0.25">
      <c r="F370" t="str">
        <f>IF(A370="","",VALUE(LEFT(A370,FIND("/",A370&amp;"/")-1)))</f>
        <v/>
      </c>
    </row>
    <row r="371" spans="6:6" x14ac:dyDescent="0.25">
      <c r="F371" t="str">
        <f>IF(A371="","",VALUE(LEFT(A371,FIND("/",A371&amp;"/")-1)))</f>
        <v/>
      </c>
    </row>
    <row r="372" spans="6:6" x14ac:dyDescent="0.25">
      <c r="F372" t="str">
        <f>IF(A372="","",VALUE(LEFT(A372,FIND("/",A372&amp;"/")-1)))</f>
        <v/>
      </c>
    </row>
    <row r="373" spans="6:6" x14ac:dyDescent="0.25">
      <c r="F373" t="str">
        <f>IF(A373="","",VALUE(LEFT(A373,FIND("/",A373&amp;"/")-1)))</f>
        <v/>
      </c>
    </row>
    <row r="374" spans="6:6" x14ac:dyDescent="0.25">
      <c r="F374" t="str">
        <f>IF(A374="","",VALUE(LEFT(A374,FIND("/",A374&amp;"/")-1)))</f>
        <v/>
      </c>
    </row>
    <row r="375" spans="6:6" x14ac:dyDescent="0.25">
      <c r="F375" t="str">
        <f>IF(A375="","",VALUE(LEFT(A375,FIND("/",A375&amp;"/")-1)))</f>
        <v/>
      </c>
    </row>
    <row r="376" spans="6:6" x14ac:dyDescent="0.25">
      <c r="F376" t="str">
        <f>IF(A376="","",VALUE(LEFT(A376,FIND("/",A376&amp;"/")-1)))</f>
        <v/>
      </c>
    </row>
    <row r="377" spans="6:6" x14ac:dyDescent="0.25">
      <c r="F377" t="str">
        <f>IF(A377="","",VALUE(LEFT(A377,FIND("/",A377&amp;"/")-1)))</f>
        <v/>
      </c>
    </row>
    <row r="378" spans="6:6" x14ac:dyDescent="0.25">
      <c r="F378" t="str">
        <f>IF(A378="","",VALUE(LEFT(A378,FIND("/",A378&amp;"/")-1)))</f>
        <v/>
      </c>
    </row>
    <row r="379" spans="6:6" x14ac:dyDescent="0.25">
      <c r="F379" t="str">
        <f>IF(A379="","",VALUE(LEFT(A379,FIND("/",A379&amp;"/")-1)))</f>
        <v/>
      </c>
    </row>
    <row r="380" spans="6:6" x14ac:dyDescent="0.25">
      <c r="F380" t="str">
        <f>IF(A380="","",VALUE(LEFT(A380,FIND("/",A380&amp;"/")-1)))</f>
        <v/>
      </c>
    </row>
    <row r="381" spans="6:6" x14ac:dyDescent="0.25">
      <c r="F381" t="str">
        <f>IF(A381="","",VALUE(LEFT(A381,FIND("/",A381&amp;"/")-1)))</f>
        <v/>
      </c>
    </row>
    <row r="382" spans="6:6" x14ac:dyDescent="0.25">
      <c r="F382" t="str">
        <f>IF(A382="","",VALUE(LEFT(A382,FIND("/",A382&amp;"/")-1)))</f>
        <v/>
      </c>
    </row>
    <row r="383" spans="6:6" x14ac:dyDescent="0.25">
      <c r="F383" t="str">
        <f>IF(A383="","",VALUE(LEFT(A383,FIND("/",A383&amp;"/")-1)))</f>
        <v/>
      </c>
    </row>
    <row r="384" spans="6:6" x14ac:dyDescent="0.25">
      <c r="F384" t="str">
        <f>IF(A384="","",VALUE(LEFT(A384,FIND("/",A384&amp;"/")-1)))</f>
        <v/>
      </c>
    </row>
    <row r="385" spans="6:6" x14ac:dyDescent="0.25">
      <c r="F385" t="str">
        <f>IF(A385="","",VALUE(LEFT(A385,FIND("/",A385&amp;"/")-1)))</f>
        <v/>
      </c>
    </row>
    <row r="386" spans="6:6" x14ac:dyDescent="0.25">
      <c r="F386" t="str">
        <f>IF(A386="","",VALUE(LEFT(A386,FIND("/",A386&amp;"/")-1)))</f>
        <v/>
      </c>
    </row>
    <row r="387" spans="6:6" x14ac:dyDescent="0.25">
      <c r="F387" t="str">
        <f>IF(A387="","",VALUE(LEFT(A387,FIND("/",A387&amp;"/")-1)))</f>
        <v/>
      </c>
    </row>
    <row r="388" spans="6:6" x14ac:dyDescent="0.25">
      <c r="F388" t="str">
        <f>IF(A388="","",VALUE(LEFT(A388,FIND("/",A388&amp;"/")-1)))</f>
        <v/>
      </c>
    </row>
    <row r="389" spans="6:6" x14ac:dyDescent="0.25">
      <c r="F389" t="str">
        <f>IF(A389="","",VALUE(LEFT(A389,FIND("/",A389&amp;"/")-1)))</f>
        <v/>
      </c>
    </row>
    <row r="390" spans="6:6" x14ac:dyDescent="0.25">
      <c r="F390" t="str">
        <f>IF(A390="","",VALUE(LEFT(A390,FIND("/",A390&amp;"/")-1)))</f>
        <v/>
      </c>
    </row>
    <row r="391" spans="6:6" x14ac:dyDescent="0.25">
      <c r="F391" t="str">
        <f>IF(A391="","",VALUE(LEFT(A391,FIND("/",A391&amp;"/")-1)))</f>
        <v/>
      </c>
    </row>
    <row r="392" spans="6:6" x14ac:dyDescent="0.25">
      <c r="F392" t="str">
        <f>IF(A392="","",VALUE(LEFT(A392,FIND("/",A392&amp;"/")-1)))</f>
        <v/>
      </c>
    </row>
    <row r="393" spans="6:6" x14ac:dyDescent="0.25">
      <c r="F393" t="str">
        <f>IF(A393="","",VALUE(LEFT(A393,FIND("/",A393&amp;"/")-1)))</f>
        <v/>
      </c>
    </row>
    <row r="394" spans="6:6" x14ac:dyDescent="0.25">
      <c r="F394" t="str">
        <f>IF(A394="","",VALUE(LEFT(A394,FIND("/",A394&amp;"/")-1)))</f>
        <v/>
      </c>
    </row>
    <row r="395" spans="6:6" x14ac:dyDescent="0.25">
      <c r="F395" t="str">
        <f>IF(A395="","",VALUE(LEFT(A395,FIND("/",A395&amp;"/")-1)))</f>
        <v/>
      </c>
    </row>
    <row r="396" spans="6:6" x14ac:dyDescent="0.25">
      <c r="F396" t="str">
        <f>IF(A396="","",VALUE(LEFT(A396,FIND("/",A396&amp;"/")-1)))</f>
        <v/>
      </c>
    </row>
    <row r="397" spans="6:6" x14ac:dyDescent="0.25">
      <c r="F397" t="str">
        <f>IF(A397="","",VALUE(LEFT(A397,FIND("/",A397&amp;"/")-1)))</f>
        <v/>
      </c>
    </row>
    <row r="398" spans="6:6" x14ac:dyDescent="0.25">
      <c r="F398" t="str">
        <f>IF(A398="","",VALUE(LEFT(A398,FIND("/",A398&amp;"/")-1)))</f>
        <v/>
      </c>
    </row>
    <row r="399" spans="6:6" x14ac:dyDescent="0.25">
      <c r="F399" t="str">
        <f>IF(A399="","",VALUE(LEFT(A399,FIND("/",A399&amp;"/")-1)))</f>
        <v/>
      </c>
    </row>
    <row r="400" spans="6:6" x14ac:dyDescent="0.25">
      <c r="F400" t="str">
        <f>IF(A400="","",VALUE(LEFT(A400,FIND("/",A400&amp;"/")-1)))</f>
        <v/>
      </c>
    </row>
    <row r="401" spans="6:6" x14ac:dyDescent="0.25">
      <c r="F401" t="str">
        <f>IF(A401="","",VALUE(LEFT(A401,FIND("/",A401&amp;"/")-1)))</f>
        <v/>
      </c>
    </row>
    <row r="402" spans="6:6" x14ac:dyDescent="0.25">
      <c r="F402" t="str">
        <f>IF(A402="","",VALUE(LEFT(A402,FIND("/",A402&amp;"/")-1)))</f>
        <v/>
      </c>
    </row>
    <row r="403" spans="6:6" x14ac:dyDescent="0.25">
      <c r="F403" t="str">
        <f>IF(A403="","",VALUE(LEFT(A403,FIND("/",A403&amp;"/")-1)))</f>
        <v/>
      </c>
    </row>
    <row r="404" spans="6:6" x14ac:dyDescent="0.25">
      <c r="F404" t="str">
        <f>IF(A404="","",VALUE(LEFT(A404,FIND("/",A404&amp;"/")-1)))</f>
        <v/>
      </c>
    </row>
    <row r="405" spans="6:6" x14ac:dyDescent="0.25">
      <c r="F405" t="str">
        <f>IF(A405="","",VALUE(LEFT(A405,FIND("/",A405&amp;"/")-1)))</f>
        <v/>
      </c>
    </row>
    <row r="406" spans="6:6" x14ac:dyDescent="0.25">
      <c r="F406" t="str">
        <f>IF(A406="","",VALUE(LEFT(A406,FIND("/",A406&amp;"/")-1)))</f>
        <v/>
      </c>
    </row>
    <row r="407" spans="6:6" x14ac:dyDescent="0.25">
      <c r="F407" t="str">
        <f>IF(A407="","",VALUE(LEFT(A407,FIND("/",A407&amp;"/")-1)))</f>
        <v/>
      </c>
    </row>
    <row r="408" spans="6:6" x14ac:dyDescent="0.25">
      <c r="F408" t="str">
        <f>IF(A408="","",VALUE(LEFT(A408,FIND("/",A408&amp;"/")-1)))</f>
        <v/>
      </c>
    </row>
    <row r="409" spans="6:6" x14ac:dyDescent="0.25">
      <c r="F409" t="str">
        <f>IF(A409="","",VALUE(LEFT(A409,FIND("/",A409&amp;"/")-1)))</f>
        <v/>
      </c>
    </row>
    <row r="410" spans="6:6" x14ac:dyDescent="0.25">
      <c r="F410" t="str">
        <f>IF(A410="","",VALUE(LEFT(A410,FIND("/",A410&amp;"/")-1)))</f>
        <v/>
      </c>
    </row>
    <row r="411" spans="6:6" x14ac:dyDescent="0.25">
      <c r="F411" t="str">
        <f>IF(A411="","",VALUE(LEFT(A411,FIND("/",A411&amp;"/")-1)))</f>
        <v/>
      </c>
    </row>
    <row r="412" spans="6:6" x14ac:dyDescent="0.25">
      <c r="F412" t="str">
        <f>IF(A412="","",VALUE(LEFT(A412,FIND("/",A412&amp;"/")-1)))</f>
        <v/>
      </c>
    </row>
    <row r="413" spans="6:6" x14ac:dyDescent="0.25">
      <c r="F413" t="str">
        <f>IF(A413="","",VALUE(LEFT(A413,FIND("/",A413&amp;"/")-1)))</f>
        <v/>
      </c>
    </row>
    <row r="414" spans="6:6" x14ac:dyDescent="0.25">
      <c r="F414" t="str">
        <f>IF(A414="","",VALUE(LEFT(A414,FIND("/",A414&amp;"/")-1)))</f>
        <v/>
      </c>
    </row>
    <row r="415" spans="6:6" x14ac:dyDescent="0.25">
      <c r="F415" t="str">
        <f>IF(A415="","",VALUE(LEFT(A415,FIND("/",A415&amp;"/")-1)))</f>
        <v/>
      </c>
    </row>
    <row r="416" spans="6:6" x14ac:dyDescent="0.25">
      <c r="F416" t="str">
        <f>IF(A416="","",VALUE(LEFT(A416,FIND("/",A416&amp;"/")-1)))</f>
        <v/>
      </c>
    </row>
    <row r="417" spans="6:6" x14ac:dyDescent="0.25">
      <c r="F417" t="str">
        <f>IF(A417="","",VALUE(LEFT(A417,FIND("/",A417&amp;"/")-1)))</f>
        <v/>
      </c>
    </row>
    <row r="418" spans="6:6" x14ac:dyDescent="0.25">
      <c r="F418" t="str">
        <f>IF(A418="","",VALUE(LEFT(A418,FIND("/",A418&amp;"/")-1)))</f>
        <v/>
      </c>
    </row>
    <row r="419" spans="6:6" x14ac:dyDescent="0.25">
      <c r="F419" t="str">
        <f>IF(A419="","",VALUE(LEFT(A419,FIND("/",A419&amp;"/")-1)))</f>
        <v/>
      </c>
    </row>
    <row r="420" spans="6:6" x14ac:dyDescent="0.25">
      <c r="F420" t="str">
        <f>IF(A420="","",VALUE(LEFT(A420,FIND("/",A420&amp;"/")-1)))</f>
        <v/>
      </c>
    </row>
    <row r="421" spans="6:6" x14ac:dyDescent="0.25">
      <c r="F421" t="str">
        <f>IF(A421="","",VALUE(LEFT(A421,FIND("/",A421&amp;"/")-1)))</f>
        <v/>
      </c>
    </row>
    <row r="422" spans="6:6" x14ac:dyDescent="0.25">
      <c r="F422" t="str">
        <f>IF(A422="","",VALUE(LEFT(A422,FIND("/",A422&amp;"/")-1)))</f>
        <v/>
      </c>
    </row>
    <row r="423" spans="6:6" x14ac:dyDescent="0.25">
      <c r="F423" t="str">
        <f>IF(A423="","",VALUE(LEFT(A423,FIND("/",A423&amp;"/")-1)))</f>
        <v/>
      </c>
    </row>
    <row r="424" spans="6:6" x14ac:dyDescent="0.25">
      <c r="F424" t="str">
        <f>IF(A424="","",VALUE(LEFT(A424,FIND("/",A424&amp;"/")-1)))</f>
        <v/>
      </c>
    </row>
    <row r="425" spans="6:6" x14ac:dyDescent="0.25">
      <c r="F425" t="str">
        <f>IF(A425="","",VALUE(LEFT(A425,FIND("/",A425&amp;"/")-1)))</f>
        <v/>
      </c>
    </row>
    <row r="426" spans="6:6" x14ac:dyDescent="0.25">
      <c r="F426" t="str">
        <f>IF(A426="","",VALUE(LEFT(A426,FIND("/",A426&amp;"/")-1)))</f>
        <v/>
      </c>
    </row>
    <row r="427" spans="6:6" x14ac:dyDescent="0.25">
      <c r="F427" t="str">
        <f>IF(A427="","",VALUE(LEFT(A427,FIND("/",A427&amp;"/")-1)))</f>
        <v/>
      </c>
    </row>
    <row r="428" spans="6:6" x14ac:dyDescent="0.25">
      <c r="F428" t="str">
        <f>IF(A428="","",VALUE(LEFT(A428,FIND("/",A428&amp;"/")-1)))</f>
        <v/>
      </c>
    </row>
    <row r="429" spans="6:6" x14ac:dyDescent="0.25">
      <c r="F429" t="str">
        <f>IF(A429="","",VALUE(LEFT(A429,FIND("/",A429&amp;"/")-1)))</f>
        <v/>
      </c>
    </row>
    <row r="430" spans="6:6" x14ac:dyDescent="0.25">
      <c r="F430" t="str">
        <f>IF(A430="","",VALUE(LEFT(A430,FIND("/",A430&amp;"/")-1)))</f>
        <v/>
      </c>
    </row>
    <row r="431" spans="6:6" x14ac:dyDescent="0.25">
      <c r="F431" t="str">
        <f>IF(A431="","",VALUE(LEFT(A431,FIND("/",A431&amp;"/")-1)))</f>
        <v/>
      </c>
    </row>
    <row r="432" spans="6:6" x14ac:dyDescent="0.25">
      <c r="F432" t="str">
        <f>IF(A432="","",VALUE(LEFT(A432,FIND("/",A432&amp;"/")-1)))</f>
        <v/>
      </c>
    </row>
    <row r="433" spans="6:6" x14ac:dyDescent="0.25">
      <c r="F433" t="str">
        <f>IF(A433="","",VALUE(LEFT(A433,FIND("/",A433&amp;"/")-1)))</f>
        <v/>
      </c>
    </row>
    <row r="434" spans="6:6" x14ac:dyDescent="0.25">
      <c r="F434" t="str">
        <f>IF(A434="","",VALUE(LEFT(A434,FIND("/",A434&amp;"/")-1)))</f>
        <v/>
      </c>
    </row>
    <row r="435" spans="6:6" x14ac:dyDescent="0.25">
      <c r="F435" t="str">
        <f>IF(A435="","",VALUE(LEFT(A435,FIND("/",A435&amp;"/")-1)))</f>
        <v/>
      </c>
    </row>
    <row r="436" spans="6:6" x14ac:dyDescent="0.25">
      <c r="F436" t="str">
        <f>IF(A436="","",VALUE(LEFT(A436,FIND("/",A436&amp;"/")-1)))</f>
        <v/>
      </c>
    </row>
    <row r="437" spans="6:6" x14ac:dyDescent="0.25">
      <c r="F437" t="str">
        <f>IF(A437="","",VALUE(LEFT(A437,FIND("/",A437&amp;"/")-1)))</f>
        <v/>
      </c>
    </row>
    <row r="438" spans="6:6" x14ac:dyDescent="0.25">
      <c r="F438" t="str">
        <f>IF(A438="","",VALUE(LEFT(A438,FIND("/",A438&amp;"/")-1)))</f>
        <v/>
      </c>
    </row>
    <row r="439" spans="6:6" x14ac:dyDescent="0.25">
      <c r="F439" t="str">
        <f>IF(A439="","",VALUE(LEFT(A439,FIND("/",A439&amp;"/")-1)))</f>
        <v/>
      </c>
    </row>
    <row r="440" spans="6:6" x14ac:dyDescent="0.25">
      <c r="F440" t="str">
        <f>IF(A440="","",VALUE(LEFT(A440,FIND("/",A440&amp;"/")-1)))</f>
        <v/>
      </c>
    </row>
    <row r="441" spans="6:6" x14ac:dyDescent="0.25">
      <c r="F441" t="str">
        <f>IF(A441="","",VALUE(LEFT(A441,FIND("/",A441&amp;"/")-1)))</f>
        <v/>
      </c>
    </row>
    <row r="442" spans="6:6" x14ac:dyDescent="0.25">
      <c r="F442" t="str">
        <f>IF(A442="","",VALUE(LEFT(A442,FIND("/",A442&amp;"/")-1)))</f>
        <v/>
      </c>
    </row>
    <row r="443" spans="6:6" x14ac:dyDescent="0.25">
      <c r="F443" t="str">
        <f>IF(A443="","",VALUE(LEFT(A443,FIND("/",A443&amp;"/")-1)))</f>
        <v/>
      </c>
    </row>
    <row r="444" spans="6:6" x14ac:dyDescent="0.25">
      <c r="F444" t="str">
        <f>IF(A444="","",VALUE(LEFT(A444,FIND("/",A444&amp;"/")-1)))</f>
        <v/>
      </c>
    </row>
    <row r="445" spans="6:6" x14ac:dyDescent="0.25">
      <c r="F445" t="str">
        <f>IF(A445="","",VALUE(LEFT(A445,FIND("/",A445&amp;"/")-1)))</f>
        <v/>
      </c>
    </row>
    <row r="446" spans="6:6" x14ac:dyDescent="0.25">
      <c r="F446" t="str">
        <f>IF(A446="","",VALUE(LEFT(A446,FIND("/",A446&amp;"/")-1)))</f>
        <v/>
      </c>
    </row>
    <row r="447" spans="6:6" x14ac:dyDescent="0.25">
      <c r="F447" t="str">
        <f>IF(A447="","",VALUE(LEFT(A447,FIND("/",A447&amp;"/")-1)))</f>
        <v/>
      </c>
    </row>
    <row r="448" spans="6:6" x14ac:dyDescent="0.25">
      <c r="F448" t="str">
        <f>IF(A448="","",VALUE(LEFT(A448,FIND("/",A448&amp;"/")-1)))</f>
        <v/>
      </c>
    </row>
    <row r="449" spans="6:6" x14ac:dyDescent="0.25">
      <c r="F449" t="str">
        <f>IF(A449="","",VALUE(LEFT(A449,FIND("/",A449&amp;"/")-1)))</f>
        <v/>
      </c>
    </row>
    <row r="450" spans="6:6" x14ac:dyDescent="0.25">
      <c r="F450" t="str">
        <f>IF(A450="","",VALUE(LEFT(A450,FIND("/",A450&amp;"/")-1)))</f>
        <v/>
      </c>
    </row>
    <row r="451" spans="6:6" x14ac:dyDescent="0.25">
      <c r="F451" t="str">
        <f>IF(A451="","",VALUE(LEFT(A451,FIND("/",A451&amp;"/")-1)))</f>
        <v/>
      </c>
    </row>
    <row r="452" spans="6:6" x14ac:dyDescent="0.25">
      <c r="F452" t="str">
        <f>IF(A452="","",VALUE(LEFT(A452,FIND("/",A452&amp;"/")-1)))</f>
        <v/>
      </c>
    </row>
    <row r="453" spans="6:6" x14ac:dyDescent="0.25">
      <c r="F453" t="str">
        <f>IF(A453="","",VALUE(LEFT(A453,FIND("/",A453&amp;"/")-1)))</f>
        <v/>
      </c>
    </row>
    <row r="454" spans="6:6" x14ac:dyDescent="0.25">
      <c r="F454" t="str">
        <f>IF(A454="","",VALUE(LEFT(A454,FIND("/",A454&amp;"/")-1)))</f>
        <v/>
      </c>
    </row>
    <row r="455" spans="6:6" x14ac:dyDescent="0.25">
      <c r="F455" t="str">
        <f>IF(A455="","",VALUE(LEFT(A455,FIND("/",A455&amp;"/")-1)))</f>
        <v/>
      </c>
    </row>
    <row r="456" spans="6:6" x14ac:dyDescent="0.25">
      <c r="F456" t="str">
        <f>IF(A456="","",VALUE(LEFT(A456,FIND("/",A456&amp;"/")-1)))</f>
        <v/>
      </c>
    </row>
    <row r="457" spans="6:6" x14ac:dyDescent="0.25">
      <c r="F457" t="str">
        <f>IF(A457="","",VALUE(LEFT(A457,FIND("/",A457&amp;"/")-1)))</f>
        <v/>
      </c>
    </row>
    <row r="458" spans="6:6" x14ac:dyDescent="0.25">
      <c r="F458" t="str">
        <f>IF(A458="","",VALUE(LEFT(A458,FIND("/",A458&amp;"/")-1)))</f>
        <v/>
      </c>
    </row>
    <row r="459" spans="6:6" x14ac:dyDescent="0.25">
      <c r="F459" t="str">
        <f>IF(A459="","",VALUE(LEFT(A459,FIND("/",A459&amp;"/")-1)))</f>
        <v/>
      </c>
    </row>
    <row r="460" spans="6:6" x14ac:dyDescent="0.25">
      <c r="F460" t="str">
        <f>IF(A460="","",VALUE(LEFT(A460,FIND("/",A460&amp;"/")-1)))</f>
        <v/>
      </c>
    </row>
    <row r="461" spans="6:6" x14ac:dyDescent="0.25">
      <c r="F461" t="str">
        <f>IF(A461="","",VALUE(LEFT(A461,FIND("/",A461&amp;"/")-1)))</f>
        <v/>
      </c>
    </row>
    <row r="462" spans="6:6" x14ac:dyDescent="0.25">
      <c r="F462" t="str">
        <f>IF(A462="","",VALUE(LEFT(A462,FIND("/",A462&amp;"/")-1)))</f>
        <v/>
      </c>
    </row>
    <row r="463" spans="6:6" x14ac:dyDescent="0.25">
      <c r="F463" t="str">
        <f>IF(A463="","",VALUE(LEFT(A463,FIND("/",A463&amp;"/")-1)))</f>
        <v/>
      </c>
    </row>
    <row r="464" spans="6:6" x14ac:dyDescent="0.25">
      <c r="F464" t="str">
        <f>IF(A464="","",VALUE(LEFT(A464,FIND("/",A464&amp;"/")-1)))</f>
        <v/>
      </c>
    </row>
    <row r="465" spans="6:6" x14ac:dyDescent="0.25">
      <c r="F465" t="str">
        <f>IF(A465="","",VALUE(LEFT(A465,FIND("/",A465&amp;"/")-1)))</f>
        <v/>
      </c>
    </row>
    <row r="466" spans="6:6" x14ac:dyDescent="0.25">
      <c r="F466" t="str">
        <f>IF(A466="","",VALUE(LEFT(A466,FIND("/",A466&amp;"/")-1)))</f>
        <v/>
      </c>
    </row>
    <row r="467" spans="6:6" x14ac:dyDescent="0.25">
      <c r="F467" t="str">
        <f>IF(A467="","",VALUE(LEFT(A467,FIND("/",A467&amp;"/")-1)))</f>
        <v/>
      </c>
    </row>
    <row r="468" spans="6:6" x14ac:dyDescent="0.25">
      <c r="F468" t="str">
        <f>IF(A468="","",VALUE(LEFT(A468,FIND("/",A468&amp;"/")-1)))</f>
        <v/>
      </c>
    </row>
    <row r="469" spans="6:6" x14ac:dyDescent="0.25">
      <c r="F469" t="str">
        <f>IF(A469="","",VALUE(LEFT(A469,FIND("/",A469&amp;"/")-1)))</f>
        <v/>
      </c>
    </row>
    <row r="470" spans="6:6" x14ac:dyDescent="0.25">
      <c r="F470" t="str">
        <f>IF(A470="","",VALUE(LEFT(A470,FIND("/",A470&amp;"/")-1)))</f>
        <v/>
      </c>
    </row>
    <row r="471" spans="6:6" x14ac:dyDescent="0.25">
      <c r="F471" t="str">
        <f>IF(A471="","",VALUE(LEFT(A471,FIND("/",A471&amp;"/")-1)))</f>
        <v/>
      </c>
    </row>
    <row r="472" spans="6:6" x14ac:dyDescent="0.25">
      <c r="F472" t="str">
        <f>IF(A472="","",VALUE(LEFT(A472,FIND("/",A472&amp;"/")-1)))</f>
        <v/>
      </c>
    </row>
    <row r="473" spans="6:6" x14ac:dyDescent="0.25">
      <c r="F473" t="str">
        <f>IF(A473="","",VALUE(LEFT(A473,FIND("/",A473&amp;"/")-1)))</f>
        <v/>
      </c>
    </row>
    <row r="474" spans="6:6" x14ac:dyDescent="0.25">
      <c r="F474" t="str">
        <f>IF(A474="","",VALUE(LEFT(A474,FIND("/",A474&amp;"/")-1)))</f>
        <v/>
      </c>
    </row>
    <row r="475" spans="6:6" x14ac:dyDescent="0.25">
      <c r="F475" t="str">
        <f>IF(A475="","",VALUE(LEFT(A475,FIND("/",A475&amp;"/")-1)))</f>
        <v/>
      </c>
    </row>
    <row r="476" spans="6:6" x14ac:dyDescent="0.25">
      <c r="F476" t="str">
        <f>IF(A476="","",VALUE(LEFT(A476,FIND("/",A476&amp;"/")-1)))</f>
        <v/>
      </c>
    </row>
    <row r="477" spans="6:6" x14ac:dyDescent="0.25">
      <c r="F477" t="str">
        <f>IF(A477="","",VALUE(LEFT(A477,FIND("/",A477&amp;"/")-1)))</f>
        <v/>
      </c>
    </row>
    <row r="478" spans="6:6" x14ac:dyDescent="0.25">
      <c r="F478" t="str">
        <f>IF(A478="","",VALUE(LEFT(A478,FIND("/",A478&amp;"/")-1)))</f>
        <v/>
      </c>
    </row>
    <row r="479" spans="6:6" x14ac:dyDescent="0.25">
      <c r="F479" t="str">
        <f>IF(A479="","",VALUE(LEFT(A479,FIND("/",A479&amp;"/")-1)))</f>
        <v/>
      </c>
    </row>
    <row r="480" spans="6:6" x14ac:dyDescent="0.25">
      <c r="F480" t="str">
        <f>IF(A480="","",VALUE(LEFT(A480,FIND("/",A480&amp;"/")-1)))</f>
        <v/>
      </c>
    </row>
    <row r="481" spans="6:6" x14ac:dyDescent="0.25">
      <c r="F481" t="str">
        <f>IF(A481="","",VALUE(LEFT(A481,FIND("/",A481&amp;"/")-1)))</f>
        <v/>
      </c>
    </row>
    <row r="482" spans="6:6" x14ac:dyDescent="0.25">
      <c r="F482" t="str">
        <f>IF(A482="","",VALUE(LEFT(A482,FIND("/",A482&amp;"/")-1)))</f>
        <v/>
      </c>
    </row>
    <row r="483" spans="6:6" x14ac:dyDescent="0.25">
      <c r="F483" t="str">
        <f>IF(A483="","",VALUE(LEFT(A483,FIND("/",A483&amp;"/")-1)))</f>
        <v/>
      </c>
    </row>
    <row r="484" spans="6:6" x14ac:dyDescent="0.25">
      <c r="F484" t="str">
        <f>IF(A484="","",VALUE(LEFT(A484,FIND("/",A484&amp;"/")-1)))</f>
        <v/>
      </c>
    </row>
    <row r="485" spans="6:6" x14ac:dyDescent="0.25">
      <c r="F485" t="str">
        <f>IF(A485="","",VALUE(LEFT(A485,FIND("/",A485&amp;"/")-1)))</f>
        <v/>
      </c>
    </row>
    <row r="486" spans="6:6" x14ac:dyDescent="0.25">
      <c r="F486" t="str">
        <f>IF(A486="","",VALUE(LEFT(A486,FIND("/",A486&amp;"/")-1)))</f>
        <v/>
      </c>
    </row>
    <row r="487" spans="6:6" x14ac:dyDescent="0.25">
      <c r="F487" t="str">
        <f>IF(A487="","",VALUE(LEFT(A487,FIND("/",A487&amp;"/")-1)))</f>
        <v/>
      </c>
    </row>
    <row r="488" spans="6:6" x14ac:dyDescent="0.25">
      <c r="F488" t="str">
        <f>IF(A488="","",VALUE(LEFT(A488,FIND("/",A488&amp;"/")-1)))</f>
        <v/>
      </c>
    </row>
    <row r="489" spans="6:6" x14ac:dyDescent="0.25">
      <c r="F489" t="str">
        <f>IF(A489="","",VALUE(LEFT(A489,FIND("/",A489&amp;"/")-1)))</f>
        <v/>
      </c>
    </row>
    <row r="490" spans="6:6" x14ac:dyDescent="0.25">
      <c r="F490" t="str">
        <f>IF(A490="","",VALUE(LEFT(A490,FIND("/",A490&amp;"/")-1)))</f>
        <v/>
      </c>
    </row>
    <row r="491" spans="6:6" x14ac:dyDescent="0.25">
      <c r="F491" t="str">
        <f>IF(A491="","",VALUE(LEFT(A491,FIND("/",A491&amp;"/")-1)))</f>
        <v/>
      </c>
    </row>
    <row r="492" spans="6:6" x14ac:dyDescent="0.25">
      <c r="F492" t="str">
        <f>IF(A492="","",VALUE(LEFT(A492,FIND("/",A492&amp;"/")-1)))</f>
        <v/>
      </c>
    </row>
    <row r="493" spans="6:6" x14ac:dyDescent="0.25">
      <c r="F493" t="str">
        <f>IF(A493="","",VALUE(LEFT(A493,FIND("/",A493&amp;"/")-1)))</f>
        <v/>
      </c>
    </row>
    <row r="494" spans="6:6" x14ac:dyDescent="0.25">
      <c r="F494" t="str">
        <f>IF(A494="","",VALUE(LEFT(A494,FIND("/",A494&amp;"/")-1)))</f>
        <v/>
      </c>
    </row>
    <row r="495" spans="6:6" x14ac:dyDescent="0.25">
      <c r="F495" t="str">
        <f>IF(A495="","",VALUE(LEFT(A495,FIND("/",A495&amp;"/")-1)))</f>
        <v/>
      </c>
    </row>
    <row r="496" spans="6:6" x14ac:dyDescent="0.25">
      <c r="F496" t="str">
        <f>IF(A496="","",VALUE(LEFT(A496,FIND("/",A496&amp;"/")-1)))</f>
        <v/>
      </c>
    </row>
    <row r="497" spans="6:6" x14ac:dyDescent="0.25">
      <c r="F497" t="str">
        <f>IF(A497="","",VALUE(LEFT(A497,FIND("/",A497&amp;"/")-1)))</f>
        <v/>
      </c>
    </row>
    <row r="498" spans="6:6" x14ac:dyDescent="0.25">
      <c r="F498" t="str">
        <f>IF(A498="","",VALUE(LEFT(A498,FIND("/",A498&amp;"/")-1)))</f>
        <v/>
      </c>
    </row>
    <row r="499" spans="6:6" x14ac:dyDescent="0.25">
      <c r="F499" t="str">
        <f>IF(A499="","",VALUE(LEFT(A499,FIND("/",A499&amp;"/")-1)))</f>
        <v/>
      </c>
    </row>
    <row r="500" spans="6:6" x14ac:dyDescent="0.25">
      <c r="F500" t="str">
        <f>IF(A500="","",VALUE(LEFT(A500,FIND("/",A500&amp;"/")-1)))</f>
        <v/>
      </c>
    </row>
    <row r="501" spans="6:6" x14ac:dyDescent="0.25">
      <c r="F501" t="str">
        <f>IF(A501="","",VALUE(LEFT(A501,FIND("/",A501&amp;"/")-1)))</f>
        <v/>
      </c>
    </row>
    <row r="502" spans="6:6" x14ac:dyDescent="0.25">
      <c r="F502" t="str">
        <f>IF(A502="","",VALUE(LEFT(A502,FIND("/",A502&amp;"/")-1)))</f>
        <v/>
      </c>
    </row>
    <row r="503" spans="6:6" x14ac:dyDescent="0.25">
      <c r="F503" t="str">
        <f>IF(A503="","",VALUE(LEFT(A503,FIND("/",A503&amp;"/")-1)))</f>
        <v/>
      </c>
    </row>
    <row r="504" spans="6:6" x14ac:dyDescent="0.25">
      <c r="F504" t="str">
        <f>IF(A504="","",VALUE(LEFT(A504,FIND("/",A504&amp;"/")-1)))</f>
        <v/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4" width="12" customWidth="1"/>
    <col min="5" max="5" width="14" customWidth="1"/>
    <col min="7" max="7" width="13" hidden="1" customWidth="1"/>
  </cols>
  <sheetData>
    <row r="1" spans="1:7" ht="18" x14ac:dyDescent="0.25">
      <c r="A1" s="8" t="s">
        <v>43</v>
      </c>
      <c r="B1" s="7"/>
      <c r="C1" s="7"/>
      <c r="D1" s="7"/>
      <c r="E1" s="7"/>
    </row>
    <row r="2" spans="1:7" x14ac:dyDescent="0.25">
      <c r="A2" s="11" t="str">
        <f>COUNTA(SAISIE!$A$5:$A$504)&amp;" cas saisis | "&amp;SUMPRODUCT(--(MOD(ROW($G$5:$G$484)-5,12)=0)*($G$5:$G$484&lt;&gt;""))&amp;" noeud(s)"</f>
        <v>14 cas saisis | 1 noeud(s)</v>
      </c>
      <c r="B2" s="7"/>
      <c r="C2" s="7"/>
      <c r="D2" s="7"/>
      <c r="E2" s="7"/>
    </row>
    <row r="4" spans="1:7" x14ac:dyDescent="0.25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</row>
    <row r="5" spans="1:7" ht="15.75" x14ac:dyDescent="0.25">
      <c r="A5" s="9" t="str">
        <f>IF($G$5="","","Noeud "&amp;$G$5)</f>
        <v>Noeud 47</v>
      </c>
      <c r="B5" s="10"/>
      <c r="C5" s="10"/>
      <c r="D5" s="10"/>
      <c r="E5" s="10"/>
      <c r="G5">
        <f>IFERROR(INDEX(SAISIE!$F$5:$F$504,_xlfn.AGGREGATE(15,6,ROW(SAISIE!$F$5:$F$504)-ROW(SAISIE!$F$5)+1/(SAISIE!$F$5:$F$504&lt;&gt;"")/(COUNTIF($G$4:G4,SAISIE!$F$5:$F$504)=0),1)),"")</f>
        <v>47</v>
      </c>
    </row>
    <row r="6" spans="1:7" x14ac:dyDescent="0.25">
      <c r="A6" s="5" t="s">
        <v>49</v>
      </c>
      <c r="B6" s="6">
        <f>IF($G$5="","",IFERROR(IFERROR(LOOKUP(2,1/((SAISIE!$F$5:$F$504=$G$5)*(LEFT(SAISIE!$B$5:$B$504,2)="G ")),SAISIE!$C$5:$C$504),LOOKUP(2,1/((SAISIE!$F$5:$F$504=$G$5)*(ISNUMBER(SEARCH("Couverture",SAISIE!$B$5:$B$504)))),SAISIE!$C$5:$C$504)),"-"))</f>
        <v>-116</v>
      </c>
      <c r="C6" s="6">
        <f>IF($G$5="","",IFERROR(IFERROR(LOOKUP(2,1/((SAISIE!$F$5:$F$504=$G$5)*(LEFT(SAISIE!$B$5:$B$504,2)="G ")),SAISIE!$D$5:$D$504),LOOKUP(2,1/((SAISIE!$F$5:$F$504=$G$5)*(ISNUMBER(SEARCH("Couverture",SAISIE!$B$5:$B$504)))),SAISIE!$D$5:$D$504)),"-"))</f>
        <v>7</v>
      </c>
      <c r="D6" s="6">
        <f>IF($G$5="","",IFERROR(IFERROR(LOOKUP(2,1/((SAISIE!$F$5:$F$504=$G$5)*(LEFT(SAISIE!$B$5:$B$504,2)="G ")),SAISIE!$E$5:$E$504),LOOKUP(2,1/((SAISIE!$F$5:$F$504=$G$5)*(ISNUMBER(SEARCH("Couverture",SAISIE!$B$5:$B$504)))),SAISIE!$E$5:$E$504)),"-"))</f>
        <v>-1285</v>
      </c>
      <c r="E6" s="6"/>
    </row>
    <row r="7" spans="1:7" x14ac:dyDescent="0.25">
      <c r="A7" s="5" t="s">
        <v>50</v>
      </c>
      <c r="B7" s="6">
        <f>IF($G$5="","",IFERROR(IF(_xlfn.MINIFS(SAISIE!$E$5:$E$504,SAISIE!$B$5:$B$504,"*Vent G/D*",SAISIE!$F$5:$F$504,$G$5)&gt;=0,_xlfn.MAXIFS(SAISIE!$C$5:$C$504,SAISIE!$B$5:$B$504,"*Vent G/D*",SAISIE!$F$5:$F$504,$G$5),INDEX(SAISIE!$C$5:$C$504,MATCH(_xlfn.MINIFS(SAISIE!$E$5:$E$504,SAISIE!$B$5:$B$504,"*Vent G/D*",SAISIE!$F$5:$F$504,$G$5),SAISIE!$E$5:$E$504,0))),"-"))</f>
        <v>905</v>
      </c>
      <c r="C7" s="6">
        <f>IF($G$5="","",IFERROR(IF(_xlfn.MINIFS(SAISIE!$E$5:$E$504,SAISIE!$B$5:$B$504,"*Vent G/D*",SAISIE!$F$5:$F$504,$G$5)&gt;=0,INDEX(SAISIE!$D$5:$D$504,MATCH(_xlfn.MAXIFS(SAISIE!$C$5:$C$504,SAISIE!$B$5:$B$504,"*Vent G/D*",SAISIE!$F$5:$F$504,$G$5),SAISIE!$C$5:$C$504,0)),INDEX(SAISIE!$D$5:$D$504,MATCH(_xlfn.MINIFS(SAISIE!$E$5:$E$504,SAISIE!$B$5:$B$504,"*Vent G/D*",SAISIE!$F$5:$F$504,$G$5),SAISIE!$E$5:$E$504,0))),"-"))</f>
        <v>40</v>
      </c>
      <c r="D7" s="6">
        <f>IF($G$5="","",IFERROR(IF(_xlfn.MINIFS(SAISIE!$E$5:$E$504,SAISIE!$B$5:$B$504,"*Vent G/D*",SAISIE!$F$5:$F$504,$G$5)&gt;=0,0,_xlfn.MINIFS(SAISIE!$E$5:$E$504,SAISIE!$B$5:$B$504,"*Vent G/D*",SAISIE!$F$5:$F$504,$G$5)),"-"))</f>
        <v>0</v>
      </c>
      <c r="E7" s="6" t="s">
        <v>51</v>
      </c>
    </row>
    <row r="8" spans="1:7" x14ac:dyDescent="0.25">
      <c r="A8" s="5" t="s">
        <v>52</v>
      </c>
      <c r="B8" s="6">
        <f>IF($G$5="","",IFERROR(INDEX(SAISIE!$C$5:$C$504,MATCH(_xlfn.MAXIFS(SAISIE!$E$5:$E$504,SAISIE!$B$5:$B$504,"*Vent G/D*",SAISIE!$F$5:$F$504,$G$5),SAISIE!$E$5:$E$504,0)),"-"))</f>
        <v>900</v>
      </c>
      <c r="C8" s="6">
        <f>IF($G$5="","",IFERROR(INDEX(SAISIE!$D$5:$D$504,MATCH(_xlfn.MAXIFS(SAISIE!$E$5:$E$504,SAISIE!$B$5:$B$504,"*Vent G/D*",SAISIE!$F$5:$F$504,$G$5),SAISIE!$E$5:$E$504,0)),"-"))</f>
        <v>32</v>
      </c>
      <c r="D8" s="6">
        <f>IF($G$5="","",IFERROR(_xlfn.MAXIFS(SAISIE!$E$5:$E$504,SAISIE!$B$5:$B$504,"*Vent G/D*",SAISIE!$F$5:$F$504,$G$5),"-"))</f>
        <v>1444</v>
      </c>
      <c r="E8" s="6" t="s">
        <v>53</v>
      </c>
    </row>
    <row r="9" spans="1:7" x14ac:dyDescent="0.25">
      <c r="A9" s="5" t="s">
        <v>54</v>
      </c>
      <c r="B9" s="6">
        <f>IF($G$5="","",IFERROR(IF(_xlfn.MINIFS(SAISIE!$E$5:$E$504,SAISIE!$B$5:$B$504,"*Vent D/G*",SAISIE!$F$5:$F$504,$G$5)&gt;=0,_xlfn.MAXIFS(SAISIE!$C$5:$C$504,SAISIE!$B$5:$B$504,"*Vent D/G*",SAISIE!$F$5:$F$504,$G$5),INDEX(SAISIE!$C$5:$C$504,MATCH(_xlfn.MINIFS(SAISIE!$E$5:$E$504,SAISIE!$B$5:$B$504,"*Vent D/G*",SAISIE!$F$5:$F$504,$G$5),SAISIE!$E$5:$E$504,0))),"-"))</f>
        <v>-513</v>
      </c>
      <c r="C9" s="6">
        <f>IF($G$5="","",IFERROR(IF(_xlfn.MINIFS(SAISIE!$E$5:$E$504,SAISIE!$B$5:$B$504,"*Vent D/G*",SAISIE!$F$5:$F$504,$G$5)&gt;=0,INDEX(SAISIE!$D$5:$D$504,MATCH(_xlfn.MAXIFS(SAISIE!$C$5:$C$504,SAISIE!$B$5:$B$504,"*Vent D/G*",SAISIE!$F$5:$F$504,$G$5),SAISIE!$C$5:$C$504,0)),INDEX(SAISIE!$D$5:$D$504,MATCH(_xlfn.MINIFS(SAISIE!$E$5:$E$504,SAISIE!$B$5:$B$504,"*Vent D/G*",SAISIE!$F$5:$F$504,$G$5),SAISIE!$E$5:$E$504,0))),"-"))</f>
        <v>-11</v>
      </c>
      <c r="D9" s="6">
        <f>IF($G$5="","",IFERROR(IF(_xlfn.MINIFS(SAISIE!$E$5:$E$504,SAISIE!$B$5:$B$504,"*Vent D/G*",SAISIE!$F$5:$F$504,$G$5)&gt;=0,0,_xlfn.MINIFS(SAISIE!$E$5:$E$504,SAISIE!$B$5:$B$504,"*Vent D/G*",SAISIE!$F$5:$F$504,$G$5)),"-"))</f>
        <v>-281</v>
      </c>
      <c r="E9" s="6" t="s">
        <v>51</v>
      </c>
    </row>
    <row r="10" spans="1:7" x14ac:dyDescent="0.25">
      <c r="A10" s="5" t="s">
        <v>55</v>
      </c>
      <c r="B10" s="6">
        <f>IF($G$5="","",IFERROR(INDEX(SAISIE!$C$5:$C$504,MATCH(_xlfn.MAXIFS(SAISIE!$E$5:$E$504,SAISIE!$B$5:$B$504,"*Vent D/G*",SAISIE!$F$5:$F$504,$G$5),SAISIE!$E$5:$E$504,0)),"-"))</f>
        <v>-349</v>
      </c>
      <c r="C10" s="6">
        <f>IF($G$5="","",IFERROR(INDEX(SAISIE!$D$5:$D$504,MATCH(_xlfn.MAXIFS(SAISIE!$E$5:$E$504,SAISIE!$B$5:$B$504,"*Vent D/G*",SAISIE!$F$5:$F$504,$G$5),SAISIE!$E$5:$E$504,0)),"-"))</f>
        <v>-2</v>
      </c>
      <c r="D10" s="6">
        <f>IF($G$5="","",IFERROR(_xlfn.MAXIFS(SAISIE!$E$5:$E$504,SAISIE!$B$5:$B$504,"*Vent D/G*",SAISIE!$F$5:$F$504,$G$5),"-"))</f>
        <v>485</v>
      </c>
      <c r="E10" s="6" t="s">
        <v>53</v>
      </c>
    </row>
    <row r="11" spans="1:7" x14ac:dyDescent="0.25">
      <c r="A11" s="5" t="s">
        <v>56</v>
      </c>
      <c r="B11" s="6">
        <f>IF($G$5="","",IFERROR(IF(_xlfn.MINIFS(SAISIE!$E$5:$E$504,SAISIE!$B$5:$B$504,"*Vent Av./Arr.*",SAISIE!$F$5:$F$504,$G$5)&gt;=0,_xlfn.MAXIFS(SAISIE!$C$5:$C$504,SAISIE!$B$5:$B$504,"*Vent Av./Arr.*",SAISIE!$F$5:$F$504,$G$5),INDEX(SAISIE!$C$5:$C$504,MATCH(_xlfn.MINIFS(SAISIE!$E$5:$E$504,SAISIE!$B$5:$B$504,"*Vent Av./Arr.*",SAISIE!$F$5:$F$504,$G$5),SAISIE!$E$5:$E$504,0))),"-"))</f>
        <v>-198</v>
      </c>
      <c r="C11" s="6">
        <f>IF($G$5="","",IFERROR(IF(_xlfn.MINIFS(SAISIE!$E$5:$E$504,SAISIE!$B$5:$B$504,"*Vent Av./Arr.*",SAISIE!$F$5:$F$504,$G$5)&gt;=0,INDEX(SAISIE!$D$5:$D$504,MATCH(_xlfn.MAXIFS(SAISIE!$C$5:$C$504,SAISIE!$B$5:$B$504,"*Vent Av./Arr.*",SAISIE!$F$5:$F$504,$G$5),SAISIE!$C$5:$C$504,0)),INDEX(SAISIE!$D$5:$D$504,MATCH(_xlfn.MINIFS(SAISIE!$E$5:$E$504,SAISIE!$B$5:$B$504,"*Vent Av./Arr.*",SAISIE!$F$5:$F$504,$G$5),SAISIE!$E$5:$E$504,0))),"-"))</f>
        <v>195</v>
      </c>
      <c r="D11" s="6">
        <f>IF($G$5="","",IFERROR(IF(_xlfn.MINIFS(SAISIE!$E$5:$E$504,SAISIE!$B$5:$B$504,"*Vent Av./Arr.*",SAISIE!$F$5:$F$504,$G$5)&gt;=0,0,_xlfn.MINIFS(SAISIE!$E$5:$E$504,SAISIE!$B$5:$B$504,"*Vent Av./Arr.*",SAISIE!$F$5:$F$504,$G$5)),"-"))</f>
        <v>0</v>
      </c>
      <c r="E11" s="6" t="s">
        <v>51</v>
      </c>
    </row>
    <row r="12" spans="1:7" x14ac:dyDescent="0.25">
      <c r="A12" s="5" t="s">
        <v>57</v>
      </c>
      <c r="B12" s="6">
        <f>IF($G$5="","",IFERROR(INDEX(SAISIE!$C$5:$C$504,MATCH(_xlfn.MAXIFS(SAISIE!$E$5:$E$504,SAISIE!$B$5:$B$504,"*Vent Av./Arr.*",SAISIE!$F$5:$F$504,$G$5),SAISIE!$E$5:$E$504,0)),"-"))</f>
        <v>-241</v>
      </c>
      <c r="C12" s="6">
        <f>IF($G$5="","",IFERROR(INDEX(SAISIE!$D$5:$D$504,MATCH(_xlfn.MAXIFS(SAISIE!$E$5:$E$504,SAISIE!$B$5:$B$504,"*Vent Av./Arr.*",SAISIE!$F$5:$F$504,$G$5),SAISIE!$E$5:$E$504,0)),"-"))</f>
        <v>205</v>
      </c>
      <c r="D12" s="6">
        <f>IF($G$5="","",IFERROR(_xlfn.MAXIFS(SAISIE!$E$5:$E$504,SAISIE!$B$5:$B$504,"*Vent Av./Arr.*",SAISIE!$F$5:$F$504,$G$5),"-"))</f>
        <v>815</v>
      </c>
      <c r="E12" s="6" t="s">
        <v>53</v>
      </c>
    </row>
    <row r="13" spans="1:7" x14ac:dyDescent="0.25">
      <c r="A13" s="5" t="s">
        <v>58</v>
      </c>
      <c r="B13" s="6">
        <f>IF($G$5="","",IFERROR(IF(_xlfn.MINIFS(SAISIE!$E$5:$E$504,SAISIE!$B$5:$B$504,"*Vent Arr./Av.*",SAISIE!$F$5:$F$504,$G$5)&gt;=0,_xlfn.MAXIFS(SAISIE!$C$5:$C$504,SAISIE!$B$5:$B$504,"*Vent Arr./Av.*",SAISIE!$F$5:$F$504,$G$5),INDEX(SAISIE!$C$5:$C$504,MATCH(_xlfn.MINIFS(SAISIE!$E$5:$E$504,SAISIE!$B$5:$B$504,"*Vent Arr./Av.*",SAISIE!$F$5:$F$504,$G$5),SAISIE!$E$5:$E$504,0))),"-"))</f>
        <v>-37</v>
      </c>
      <c r="C13" s="6">
        <f>IF($G$5="","",IFERROR(IF(_xlfn.MINIFS(SAISIE!$E$5:$E$504,SAISIE!$B$5:$B$504,"*Vent Arr./Av.*",SAISIE!$F$5:$F$504,$G$5)&gt;=0,INDEX(SAISIE!$D$5:$D$504,MATCH(_xlfn.MAXIFS(SAISIE!$C$5:$C$504,SAISIE!$B$5:$B$504,"*Vent Arr./Av.*",SAISIE!$F$5:$F$504,$G$5),SAISIE!$C$5:$C$504,0)),INDEX(SAISIE!$D$5:$D$504,MATCH(_xlfn.MINIFS(SAISIE!$E$5:$E$504,SAISIE!$B$5:$B$504,"*Vent Arr./Av.*",SAISIE!$F$5:$F$504,$G$5),SAISIE!$E$5:$E$504,0))),"-"))</f>
        <v>-11</v>
      </c>
      <c r="D13" s="6">
        <f>IF($G$5="","",IFERROR(IF(_xlfn.MINIFS(SAISIE!$E$5:$E$504,SAISIE!$B$5:$B$504,"*Vent Arr./Av.*",SAISIE!$F$5:$F$504,$G$5)&gt;=0,0,_xlfn.MINIFS(SAISIE!$E$5:$E$504,SAISIE!$B$5:$B$504,"*Vent Arr./Av.*",SAISIE!$F$5:$F$504,$G$5)),"-"))</f>
        <v>0</v>
      </c>
      <c r="E13" s="6" t="s">
        <v>51</v>
      </c>
    </row>
    <row r="14" spans="1:7" x14ac:dyDescent="0.25">
      <c r="A14" s="5" t="s">
        <v>59</v>
      </c>
      <c r="B14" s="6">
        <f>IF($G$5="","",IFERROR(INDEX(SAISIE!$C$5:$C$504,MATCH(_xlfn.MAXIFS(SAISIE!$E$5:$E$504,SAISIE!$B$5:$B$504,"*Vent Arr./Av.*",SAISIE!$F$5:$F$504,$G$5),SAISIE!$E$5:$E$504,0)),"-"))</f>
        <v>-105</v>
      </c>
      <c r="C14" s="6">
        <f>IF($G$5="","",IFERROR(INDEX(SAISIE!$D$5:$D$504,MATCH(_xlfn.MAXIFS(SAISIE!$E$5:$E$504,SAISIE!$B$5:$B$504,"*Vent Arr./Av.*",SAISIE!$F$5:$F$504,$G$5),SAISIE!$E$5:$E$504,0)),"-"))</f>
        <v>0</v>
      </c>
      <c r="D14" s="6">
        <f>IF($G$5="","",IFERROR(_xlfn.MAXIFS(SAISIE!$E$5:$E$504,SAISIE!$B$5:$B$504,"*Vent Arr./Av.*",SAISIE!$F$5:$F$504,$G$5),"-"))</f>
        <v>400</v>
      </c>
      <c r="E14" s="6" t="s">
        <v>53</v>
      </c>
    </row>
    <row r="15" spans="1:7" x14ac:dyDescent="0.25">
      <c r="A15" s="5" t="s">
        <v>60</v>
      </c>
      <c r="B15" s="6">
        <f>IF($G$5="","",IFERROR(INDEX(SAISIE!$C$5:$C$504,MATCH(_xlfn.MINIFS(SAISIE!$E$5:$E$504,SAISIE!$B$5:$B$504,"*Neige*",SAISIE!$B$5:$B$504,"&lt;&gt;*accidentel*",SAISIE!$F$5:$F$504,$G$5),SAISIE!$E$5:$E$504,0)),"-"))</f>
        <v>-113</v>
      </c>
      <c r="C15" s="6">
        <f>IF($G$5="","",IFERROR(INDEX(SAISIE!$D$5:$D$504,MATCH(_xlfn.MINIFS(SAISIE!$E$5:$E$504,SAISIE!$B$5:$B$504,"*Neige*",SAISIE!$B$5:$B$504,"&lt;&gt;*accidentel*",SAISIE!$F$5:$F$504,$G$5),SAISIE!$E$5:$E$504,0)),"-"))</f>
        <v>0</v>
      </c>
      <c r="D15" s="6">
        <f>IF($G$5="","",IFERROR(INDEX(SAISIE!$E$5:$E$504,MATCH(_xlfn.MINIFS(SAISIE!$E$5:$E$504,SAISIE!$B$5:$B$504,"*Neige*",SAISIE!$B$5:$B$504,"&lt;&gt;*accidentel*",SAISIE!$F$5:$F$504,$G$5),SAISIE!$E$5:$E$504,0)),"-"))</f>
        <v>-1010</v>
      </c>
      <c r="E15" s="6"/>
    </row>
    <row r="16" spans="1:7" x14ac:dyDescent="0.25">
      <c r="A16" s="5" t="s">
        <v>61</v>
      </c>
      <c r="B16" s="6">
        <f>IF($G$5="","",IFERROR(LOOKUP(2,1/((SAISIE!$F$5:$F$504=$G$5)*(ISNUMBER(SEARCH("accidentel",SAISIE!$B$5:$B$504)))),SAISIE!$C$5:$C$504),"-"))</f>
        <v>-251</v>
      </c>
      <c r="C16" s="6">
        <f>IF($G$5="","",IFERROR(LOOKUP(2,1/((SAISIE!$F$5:$F$504=$G$5)*(ISNUMBER(SEARCH("accidentel",SAISIE!$B$5:$B$504)))),SAISIE!$D$5:$D$504),"-"))</f>
        <v>0</v>
      </c>
      <c r="D16" s="6">
        <f>IF($G$5="","",IFERROR(LOOKUP(2,1/((SAISIE!$F$5:$F$504=$G$5)*(ISNUMBER(SEARCH("accidentel",SAISIE!$B$5:$B$504)))),SAISIE!$E$5:$E$504),"-"))</f>
        <v>-2244</v>
      </c>
      <c r="E16" s="6"/>
    </row>
    <row r="17" spans="1:7" ht="15.75" x14ac:dyDescent="0.25">
      <c r="A17" s="9" t="str">
        <f>IF($G$17="","","Noeud "&amp;$G$17)</f>
        <v/>
      </c>
      <c r="B17" s="10"/>
      <c r="C17" s="10"/>
      <c r="D17" s="10"/>
      <c r="E17" s="10"/>
      <c r="G17" t="str">
        <f>IFERROR(INDEX(SAISIE!$F$5:$F$504,_xlfn.AGGREGATE(15,6,ROW(SAISIE!$F$5:$F$504)-ROW(SAISIE!$F$5)+1/(SAISIE!$F$5:$F$504&lt;&gt;"")/(COUNTIF($G$4:G16,SAISIE!$F$5:$F$504)=0),1)),"")</f>
        <v/>
      </c>
    </row>
    <row r="18" spans="1:7" x14ac:dyDescent="0.25">
      <c r="A18" s="5" t="s">
        <v>49</v>
      </c>
      <c r="B18" s="6" t="str">
        <f>IF($G$17="","",IFERROR(IFERROR(LOOKUP(2,1/((SAISIE!$F$5:$F$504=$G$17)*(LEFT(SAISIE!$B$5:$B$504,2)="G ")),SAISIE!$C$5:$C$504),LOOKUP(2,1/((SAISIE!$F$5:$F$504=$G$17)*(ISNUMBER(SEARCH("Couverture",SAISIE!$B$5:$B$504)))),SAISIE!$C$5:$C$504)),"-"))</f>
        <v/>
      </c>
      <c r="C18" s="6" t="str">
        <f>IF($G$17="","",IFERROR(IFERROR(LOOKUP(2,1/((SAISIE!$F$5:$F$504=$G$17)*(LEFT(SAISIE!$B$5:$B$504,2)="G ")),SAISIE!$D$5:$D$504),LOOKUP(2,1/((SAISIE!$F$5:$F$504=$G$17)*(ISNUMBER(SEARCH("Couverture",SAISIE!$B$5:$B$504)))),SAISIE!$D$5:$D$504)),"-"))</f>
        <v/>
      </c>
      <c r="D18" s="6" t="str">
        <f>IF($G$17="","",IFERROR(IFERROR(LOOKUP(2,1/((SAISIE!$F$5:$F$504=$G$17)*(LEFT(SAISIE!$B$5:$B$504,2)="G ")),SAISIE!$E$5:$E$504),LOOKUP(2,1/((SAISIE!$F$5:$F$504=$G$17)*(ISNUMBER(SEARCH("Couverture",SAISIE!$B$5:$B$504)))),SAISIE!$E$5:$E$504)),"-"))</f>
        <v/>
      </c>
      <c r="E18" s="6"/>
    </row>
    <row r="19" spans="1:7" x14ac:dyDescent="0.25">
      <c r="A19" s="5" t="s">
        <v>50</v>
      </c>
      <c r="B19" s="6" t="str">
        <f>IF($G$17="","",IFERROR(IF(_xlfn.MINIFS(SAISIE!$E$5:$E$504,SAISIE!$B$5:$B$504,"*Vent G/D*",SAISIE!$F$5:$F$504,$G$17)&gt;=0,_xlfn.MAXIFS(SAISIE!$C$5:$C$504,SAISIE!$B$5:$B$504,"*Vent G/D*",SAISIE!$F$5:$F$504,$G$17),INDEX(SAISIE!$C$5:$C$504,MATCH(_xlfn.MINIFS(SAISIE!$E$5:$E$504,SAISIE!$B$5:$B$504,"*Vent G/D*",SAISIE!$F$5:$F$504,$G$17),SAISIE!$E$5:$E$504,0))),"-"))</f>
        <v/>
      </c>
      <c r="C19" s="6" t="str">
        <f>IF($G$17="","",IFERROR(IF(_xlfn.MINIFS(SAISIE!$E$5:$E$504,SAISIE!$B$5:$B$504,"*Vent G/D*",SAISIE!$F$5:$F$504,$G$17)&gt;=0,INDEX(SAISIE!$D$5:$D$504,MATCH(_xlfn.MAXIFS(SAISIE!$C$5:$C$504,SAISIE!$B$5:$B$504,"*Vent G/D*",SAISIE!$F$5:$F$504,$G$17),SAISIE!$C$5:$C$504,0)),INDEX(SAISIE!$D$5:$D$504,MATCH(_xlfn.MINIFS(SAISIE!$E$5:$E$504,SAISIE!$B$5:$B$504,"*Vent G/D*",SAISIE!$F$5:$F$504,$G$17),SAISIE!$E$5:$E$504,0))),"-"))</f>
        <v/>
      </c>
      <c r="D19" s="6" t="str">
        <f>IF($G$17="","",IFERROR(IF(_xlfn.MINIFS(SAISIE!$E$5:$E$504,SAISIE!$B$5:$B$504,"*Vent G/D*",SAISIE!$F$5:$F$504,$G$17)&gt;=0,0,_xlfn.MINIFS(SAISIE!$E$5:$E$504,SAISIE!$B$5:$B$504,"*Vent G/D*",SAISIE!$F$5:$F$504,$G$17)),"-"))</f>
        <v/>
      </c>
      <c r="E19" s="6" t="s">
        <v>51</v>
      </c>
    </row>
    <row r="20" spans="1:7" x14ac:dyDescent="0.25">
      <c r="A20" s="5" t="s">
        <v>52</v>
      </c>
      <c r="B20" s="6" t="str">
        <f>IF($G$17="","",IFERROR(INDEX(SAISIE!$C$5:$C$504,MATCH(_xlfn.MAXIFS(SAISIE!$E$5:$E$504,SAISIE!$B$5:$B$504,"*Vent G/D*",SAISIE!$F$5:$F$504,$G$17),SAISIE!$E$5:$E$504,0)),"-"))</f>
        <v/>
      </c>
      <c r="C20" s="6" t="str">
        <f>IF($G$17="","",IFERROR(INDEX(SAISIE!$D$5:$D$504,MATCH(_xlfn.MAXIFS(SAISIE!$E$5:$E$504,SAISIE!$B$5:$B$504,"*Vent G/D*",SAISIE!$F$5:$F$504,$G$17),SAISIE!$E$5:$E$504,0)),"-"))</f>
        <v/>
      </c>
      <c r="D20" s="6" t="str">
        <f>IF($G$17="","",IFERROR(_xlfn.MAXIFS(SAISIE!$E$5:$E$504,SAISIE!$B$5:$B$504,"*Vent G/D*",SAISIE!$F$5:$F$504,$G$17),"-"))</f>
        <v/>
      </c>
      <c r="E20" s="6" t="s">
        <v>53</v>
      </c>
    </row>
    <row r="21" spans="1:7" x14ac:dyDescent="0.25">
      <c r="A21" s="5" t="s">
        <v>54</v>
      </c>
      <c r="B21" s="6" t="str">
        <f>IF($G$17="","",IFERROR(IF(_xlfn.MINIFS(SAISIE!$E$5:$E$504,SAISIE!$B$5:$B$504,"*Vent D/G*",SAISIE!$F$5:$F$504,$G$17)&gt;=0,_xlfn.MAXIFS(SAISIE!$C$5:$C$504,SAISIE!$B$5:$B$504,"*Vent D/G*",SAISIE!$F$5:$F$504,$G$17),INDEX(SAISIE!$C$5:$C$504,MATCH(_xlfn.MINIFS(SAISIE!$E$5:$E$504,SAISIE!$B$5:$B$504,"*Vent D/G*",SAISIE!$F$5:$F$504,$G$17),SAISIE!$E$5:$E$504,0))),"-"))</f>
        <v/>
      </c>
      <c r="C21" s="6" t="str">
        <f>IF($G$17="","",IFERROR(IF(_xlfn.MINIFS(SAISIE!$E$5:$E$504,SAISIE!$B$5:$B$504,"*Vent D/G*",SAISIE!$F$5:$F$504,$G$17)&gt;=0,INDEX(SAISIE!$D$5:$D$504,MATCH(_xlfn.MAXIFS(SAISIE!$C$5:$C$504,SAISIE!$B$5:$B$504,"*Vent D/G*",SAISIE!$F$5:$F$504,$G$17),SAISIE!$C$5:$C$504,0)),INDEX(SAISIE!$D$5:$D$504,MATCH(_xlfn.MINIFS(SAISIE!$E$5:$E$504,SAISIE!$B$5:$B$504,"*Vent D/G*",SAISIE!$F$5:$F$504,$G$17),SAISIE!$E$5:$E$504,0))),"-"))</f>
        <v/>
      </c>
      <c r="D21" s="6" t="str">
        <f>IF($G$17="","",IFERROR(IF(_xlfn.MINIFS(SAISIE!$E$5:$E$504,SAISIE!$B$5:$B$504,"*Vent D/G*",SAISIE!$F$5:$F$504,$G$17)&gt;=0,0,_xlfn.MINIFS(SAISIE!$E$5:$E$504,SAISIE!$B$5:$B$504,"*Vent D/G*",SAISIE!$F$5:$F$504,$G$17)),"-"))</f>
        <v/>
      </c>
      <c r="E21" s="6" t="s">
        <v>51</v>
      </c>
    </row>
    <row r="22" spans="1:7" x14ac:dyDescent="0.25">
      <c r="A22" s="5" t="s">
        <v>55</v>
      </c>
      <c r="B22" s="6" t="str">
        <f>IF($G$17="","",IFERROR(INDEX(SAISIE!$C$5:$C$504,MATCH(_xlfn.MAXIFS(SAISIE!$E$5:$E$504,SAISIE!$B$5:$B$504,"*Vent D/G*",SAISIE!$F$5:$F$504,$G$17),SAISIE!$E$5:$E$504,0)),"-"))</f>
        <v/>
      </c>
      <c r="C22" s="6" t="str">
        <f>IF($G$17="","",IFERROR(INDEX(SAISIE!$D$5:$D$504,MATCH(_xlfn.MAXIFS(SAISIE!$E$5:$E$504,SAISIE!$B$5:$B$504,"*Vent D/G*",SAISIE!$F$5:$F$504,$G$17),SAISIE!$E$5:$E$504,0)),"-"))</f>
        <v/>
      </c>
      <c r="D22" s="6" t="str">
        <f>IF($G$17="","",IFERROR(_xlfn.MAXIFS(SAISIE!$E$5:$E$504,SAISIE!$B$5:$B$504,"*Vent D/G*",SAISIE!$F$5:$F$504,$G$17),"-"))</f>
        <v/>
      </c>
      <c r="E22" s="6" t="s">
        <v>53</v>
      </c>
    </row>
    <row r="23" spans="1:7" x14ac:dyDescent="0.25">
      <c r="A23" s="5" t="s">
        <v>56</v>
      </c>
      <c r="B23" s="6" t="str">
        <f>IF($G$17="","",IFERROR(IF(_xlfn.MINIFS(SAISIE!$E$5:$E$504,SAISIE!$B$5:$B$504,"*Vent Av./Arr.*",SAISIE!$F$5:$F$504,$G$17)&gt;=0,_xlfn.MAXIFS(SAISIE!$C$5:$C$504,SAISIE!$B$5:$B$504,"*Vent Av./Arr.*",SAISIE!$F$5:$F$504,$G$17),INDEX(SAISIE!$C$5:$C$504,MATCH(_xlfn.MINIFS(SAISIE!$E$5:$E$504,SAISIE!$B$5:$B$504,"*Vent Av./Arr.*",SAISIE!$F$5:$F$504,$G$17),SAISIE!$E$5:$E$504,0))),"-"))</f>
        <v/>
      </c>
      <c r="C23" s="6" t="str">
        <f>IF($G$17="","",IFERROR(IF(_xlfn.MINIFS(SAISIE!$E$5:$E$504,SAISIE!$B$5:$B$504,"*Vent Av./Arr.*",SAISIE!$F$5:$F$504,$G$17)&gt;=0,INDEX(SAISIE!$D$5:$D$504,MATCH(_xlfn.MAXIFS(SAISIE!$C$5:$C$504,SAISIE!$B$5:$B$504,"*Vent Av./Arr.*",SAISIE!$F$5:$F$504,$G$17),SAISIE!$C$5:$C$504,0)),INDEX(SAISIE!$D$5:$D$504,MATCH(_xlfn.MINIFS(SAISIE!$E$5:$E$504,SAISIE!$B$5:$B$504,"*Vent Av./Arr.*",SAISIE!$F$5:$F$504,$G$17),SAISIE!$E$5:$E$504,0))),"-"))</f>
        <v/>
      </c>
      <c r="D23" s="6" t="str">
        <f>IF($G$17="","",IFERROR(IF(_xlfn.MINIFS(SAISIE!$E$5:$E$504,SAISIE!$B$5:$B$504,"*Vent Av./Arr.*",SAISIE!$F$5:$F$504,$G$17)&gt;=0,0,_xlfn.MINIFS(SAISIE!$E$5:$E$504,SAISIE!$B$5:$B$504,"*Vent Av./Arr.*",SAISIE!$F$5:$F$504,$G$17)),"-"))</f>
        <v/>
      </c>
      <c r="E23" s="6" t="s">
        <v>51</v>
      </c>
    </row>
    <row r="24" spans="1:7" x14ac:dyDescent="0.25">
      <c r="A24" s="5" t="s">
        <v>57</v>
      </c>
      <c r="B24" s="6" t="str">
        <f>IF($G$17="","",IFERROR(INDEX(SAISIE!$C$5:$C$504,MATCH(_xlfn.MAXIFS(SAISIE!$E$5:$E$504,SAISIE!$B$5:$B$504,"*Vent Av./Arr.*",SAISIE!$F$5:$F$504,$G$17),SAISIE!$E$5:$E$504,0)),"-"))</f>
        <v/>
      </c>
      <c r="C24" s="6" t="str">
        <f>IF($G$17="","",IFERROR(INDEX(SAISIE!$D$5:$D$504,MATCH(_xlfn.MAXIFS(SAISIE!$E$5:$E$504,SAISIE!$B$5:$B$504,"*Vent Av./Arr.*",SAISIE!$F$5:$F$504,$G$17),SAISIE!$E$5:$E$504,0)),"-"))</f>
        <v/>
      </c>
      <c r="D24" s="6" t="str">
        <f>IF($G$17="","",IFERROR(_xlfn.MAXIFS(SAISIE!$E$5:$E$504,SAISIE!$B$5:$B$504,"*Vent Av./Arr.*",SAISIE!$F$5:$F$504,$G$17),"-"))</f>
        <v/>
      </c>
      <c r="E24" s="6" t="s">
        <v>53</v>
      </c>
    </row>
    <row r="25" spans="1:7" x14ac:dyDescent="0.25">
      <c r="A25" s="5" t="s">
        <v>58</v>
      </c>
      <c r="B25" s="6" t="str">
        <f>IF($G$17="","",IFERROR(IF(_xlfn.MINIFS(SAISIE!$E$5:$E$504,SAISIE!$B$5:$B$504,"*Vent Arr./Av.*",SAISIE!$F$5:$F$504,$G$17)&gt;=0,_xlfn.MAXIFS(SAISIE!$C$5:$C$504,SAISIE!$B$5:$B$504,"*Vent Arr./Av.*",SAISIE!$F$5:$F$504,$G$17),INDEX(SAISIE!$C$5:$C$504,MATCH(_xlfn.MINIFS(SAISIE!$E$5:$E$504,SAISIE!$B$5:$B$504,"*Vent Arr./Av.*",SAISIE!$F$5:$F$504,$G$17),SAISIE!$E$5:$E$504,0))),"-"))</f>
        <v/>
      </c>
      <c r="C25" s="6" t="str">
        <f>IF($G$17="","",IFERROR(IF(_xlfn.MINIFS(SAISIE!$E$5:$E$504,SAISIE!$B$5:$B$504,"*Vent Arr./Av.*",SAISIE!$F$5:$F$504,$G$17)&gt;=0,INDEX(SAISIE!$D$5:$D$504,MATCH(_xlfn.MAXIFS(SAISIE!$C$5:$C$504,SAISIE!$B$5:$B$504,"*Vent Arr./Av.*",SAISIE!$F$5:$F$504,$G$17),SAISIE!$C$5:$C$504,0)),INDEX(SAISIE!$D$5:$D$504,MATCH(_xlfn.MINIFS(SAISIE!$E$5:$E$504,SAISIE!$B$5:$B$504,"*Vent Arr./Av.*",SAISIE!$F$5:$F$504,$G$17),SAISIE!$E$5:$E$504,0))),"-"))</f>
        <v/>
      </c>
      <c r="D25" s="6" t="str">
        <f>IF($G$17="","",IFERROR(IF(_xlfn.MINIFS(SAISIE!$E$5:$E$504,SAISIE!$B$5:$B$504,"*Vent Arr./Av.*",SAISIE!$F$5:$F$504,$G$17)&gt;=0,0,_xlfn.MINIFS(SAISIE!$E$5:$E$504,SAISIE!$B$5:$B$504,"*Vent Arr./Av.*",SAISIE!$F$5:$F$504,$G$17)),"-"))</f>
        <v/>
      </c>
      <c r="E25" s="6" t="s">
        <v>51</v>
      </c>
    </row>
    <row r="26" spans="1:7" x14ac:dyDescent="0.25">
      <c r="A26" s="5" t="s">
        <v>59</v>
      </c>
      <c r="B26" s="6" t="str">
        <f>IF($G$17="","",IFERROR(INDEX(SAISIE!$C$5:$C$504,MATCH(_xlfn.MAXIFS(SAISIE!$E$5:$E$504,SAISIE!$B$5:$B$504,"*Vent Arr./Av.*",SAISIE!$F$5:$F$504,$G$17),SAISIE!$E$5:$E$504,0)),"-"))</f>
        <v/>
      </c>
      <c r="C26" s="6" t="str">
        <f>IF($G$17="","",IFERROR(INDEX(SAISIE!$D$5:$D$504,MATCH(_xlfn.MAXIFS(SAISIE!$E$5:$E$504,SAISIE!$B$5:$B$504,"*Vent Arr./Av.*",SAISIE!$F$5:$F$504,$G$17),SAISIE!$E$5:$E$504,0)),"-"))</f>
        <v/>
      </c>
      <c r="D26" s="6" t="str">
        <f>IF($G$17="","",IFERROR(_xlfn.MAXIFS(SAISIE!$E$5:$E$504,SAISIE!$B$5:$B$504,"*Vent Arr./Av.*",SAISIE!$F$5:$F$504,$G$17),"-"))</f>
        <v/>
      </c>
      <c r="E26" s="6" t="s">
        <v>53</v>
      </c>
    </row>
    <row r="27" spans="1:7" x14ac:dyDescent="0.25">
      <c r="A27" s="5" t="s">
        <v>60</v>
      </c>
      <c r="B27" s="6" t="str">
        <f>IF($G$17="","",IFERROR(INDEX(SAISIE!$C$5:$C$504,MATCH(_xlfn.MINIFS(SAISIE!$E$5:$E$504,SAISIE!$B$5:$B$504,"*Neige*",SAISIE!$B$5:$B$504,"&lt;&gt;*accidentel*",SAISIE!$F$5:$F$504,$G$17),SAISIE!$E$5:$E$504,0)),"-"))</f>
        <v/>
      </c>
      <c r="C27" s="6" t="str">
        <f>IF($G$17="","",IFERROR(INDEX(SAISIE!$D$5:$D$504,MATCH(_xlfn.MINIFS(SAISIE!$E$5:$E$504,SAISIE!$B$5:$B$504,"*Neige*",SAISIE!$B$5:$B$504,"&lt;&gt;*accidentel*",SAISIE!$F$5:$F$504,$G$17),SAISIE!$E$5:$E$504,0)),"-"))</f>
        <v/>
      </c>
      <c r="D27" s="6" t="str">
        <f>IF($G$17="","",IFERROR(INDEX(SAISIE!$E$5:$E$504,MATCH(_xlfn.MINIFS(SAISIE!$E$5:$E$504,SAISIE!$B$5:$B$504,"*Neige*",SAISIE!$B$5:$B$504,"&lt;&gt;*accidentel*",SAISIE!$F$5:$F$504,$G$17),SAISIE!$E$5:$E$504,0)),"-"))</f>
        <v/>
      </c>
      <c r="E27" s="6"/>
    </row>
    <row r="28" spans="1:7" x14ac:dyDescent="0.25">
      <c r="A28" s="5" t="s">
        <v>61</v>
      </c>
      <c r="B28" s="6" t="str">
        <f>IF($G$17="","",IFERROR(LOOKUP(2,1/((SAISIE!$F$5:$F$504=$G$17)*(ISNUMBER(SEARCH("accidentel",SAISIE!$B$5:$B$504)))),SAISIE!$C$5:$C$504),"-"))</f>
        <v/>
      </c>
      <c r="C28" s="6" t="str">
        <f>IF($G$17="","",IFERROR(LOOKUP(2,1/((SAISIE!$F$5:$F$504=$G$17)*(ISNUMBER(SEARCH("accidentel",SAISIE!$B$5:$B$504)))),SAISIE!$D$5:$D$504),"-"))</f>
        <v/>
      </c>
      <c r="D28" s="6" t="str">
        <f>IF($G$17="","",IFERROR(LOOKUP(2,1/((SAISIE!$F$5:$F$504=$G$17)*(ISNUMBER(SEARCH("accidentel",SAISIE!$B$5:$B$504)))),SAISIE!$E$5:$E$504),"-"))</f>
        <v/>
      </c>
      <c r="E28" s="6"/>
    </row>
    <row r="29" spans="1:7" ht="15.75" x14ac:dyDescent="0.25">
      <c r="A29" s="9" t="str">
        <f>IF($G$29="","","Noeud "&amp;$G$29)</f>
        <v/>
      </c>
      <c r="B29" s="10"/>
      <c r="C29" s="10"/>
      <c r="D29" s="10"/>
      <c r="E29" s="10"/>
      <c r="G29" t="str">
        <f>IFERROR(INDEX(SAISIE!$F$5:$F$504,_xlfn.AGGREGATE(15,6,ROW(SAISIE!$F$5:$F$504)-ROW(SAISIE!$F$5)+1/(SAISIE!$F$5:$F$504&lt;&gt;"")/(COUNTIF($G$4:G28,SAISIE!$F$5:$F$504)=0),1)),"")</f>
        <v/>
      </c>
    </row>
    <row r="30" spans="1:7" x14ac:dyDescent="0.25">
      <c r="A30" s="5" t="s">
        <v>49</v>
      </c>
      <c r="B30" s="6" t="str">
        <f>IF($G$29="","",IFERROR(IFERROR(LOOKUP(2,1/((SAISIE!$F$5:$F$504=$G$29)*(LEFT(SAISIE!$B$5:$B$504,2)="G ")),SAISIE!$C$5:$C$504),LOOKUP(2,1/((SAISIE!$F$5:$F$504=$G$29)*(ISNUMBER(SEARCH("Couverture",SAISIE!$B$5:$B$504)))),SAISIE!$C$5:$C$504)),"-"))</f>
        <v/>
      </c>
      <c r="C30" s="6" t="str">
        <f>IF($G$29="","",IFERROR(IFERROR(LOOKUP(2,1/((SAISIE!$F$5:$F$504=$G$29)*(LEFT(SAISIE!$B$5:$B$504,2)="G ")),SAISIE!$D$5:$D$504),LOOKUP(2,1/((SAISIE!$F$5:$F$504=$G$29)*(ISNUMBER(SEARCH("Couverture",SAISIE!$B$5:$B$504)))),SAISIE!$D$5:$D$504)),"-"))</f>
        <v/>
      </c>
      <c r="D30" s="6" t="str">
        <f>IF($G$29="","",IFERROR(IFERROR(LOOKUP(2,1/((SAISIE!$F$5:$F$504=$G$29)*(LEFT(SAISIE!$B$5:$B$504,2)="G ")),SAISIE!$E$5:$E$504),LOOKUP(2,1/((SAISIE!$F$5:$F$504=$G$29)*(ISNUMBER(SEARCH("Couverture",SAISIE!$B$5:$B$504)))),SAISIE!$E$5:$E$504)),"-"))</f>
        <v/>
      </c>
      <c r="E30" s="6"/>
    </row>
    <row r="31" spans="1:7" x14ac:dyDescent="0.25">
      <c r="A31" s="5" t="s">
        <v>50</v>
      </c>
      <c r="B31" s="6" t="str">
        <f>IF($G$29="","",IFERROR(IF(_xlfn.MINIFS(SAISIE!$E$5:$E$504,SAISIE!$B$5:$B$504,"*Vent G/D*",SAISIE!$F$5:$F$504,$G$29)&gt;=0,_xlfn.MAXIFS(SAISIE!$C$5:$C$504,SAISIE!$B$5:$B$504,"*Vent G/D*",SAISIE!$F$5:$F$504,$G$29),INDEX(SAISIE!$C$5:$C$504,MATCH(_xlfn.MINIFS(SAISIE!$E$5:$E$504,SAISIE!$B$5:$B$504,"*Vent G/D*",SAISIE!$F$5:$F$504,$G$29),SAISIE!$E$5:$E$504,0))),"-"))</f>
        <v/>
      </c>
      <c r="C31" s="6" t="str">
        <f>IF($G$29="","",IFERROR(IF(_xlfn.MINIFS(SAISIE!$E$5:$E$504,SAISIE!$B$5:$B$504,"*Vent G/D*",SAISIE!$F$5:$F$504,$G$29)&gt;=0,INDEX(SAISIE!$D$5:$D$504,MATCH(_xlfn.MAXIFS(SAISIE!$C$5:$C$504,SAISIE!$B$5:$B$504,"*Vent G/D*",SAISIE!$F$5:$F$504,$G$29),SAISIE!$C$5:$C$504,0)),INDEX(SAISIE!$D$5:$D$504,MATCH(_xlfn.MINIFS(SAISIE!$E$5:$E$504,SAISIE!$B$5:$B$504,"*Vent G/D*",SAISIE!$F$5:$F$504,$G$29),SAISIE!$E$5:$E$504,0))),"-"))</f>
        <v/>
      </c>
      <c r="D31" s="6" t="str">
        <f>IF($G$29="","",IFERROR(IF(_xlfn.MINIFS(SAISIE!$E$5:$E$504,SAISIE!$B$5:$B$504,"*Vent G/D*",SAISIE!$F$5:$F$504,$G$29)&gt;=0,0,_xlfn.MINIFS(SAISIE!$E$5:$E$504,SAISIE!$B$5:$B$504,"*Vent G/D*",SAISIE!$F$5:$F$504,$G$29)),"-"))</f>
        <v/>
      </c>
      <c r="E31" s="6" t="s">
        <v>51</v>
      </c>
    </row>
    <row r="32" spans="1:7" x14ac:dyDescent="0.25">
      <c r="A32" s="5" t="s">
        <v>52</v>
      </c>
      <c r="B32" s="6" t="str">
        <f>IF($G$29="","",IFERROR(INDEX(SAISIE!$C$5:$C$504,MATCH(_xlfn.MAXIFS(SAISIE!$E$5:$E$504,SAISIE!$B$5:$B$504,"*Vent G/D*",SAISIE!$F$5:$F$504,$G$29),SAISIE!$E$5:$E$504,0)),"-"))</f>
        <v/>
      </c>
      <c r="C32" s="6" t="str">
        <f>IF($G$29="","",IFERROR(INDEX(SAISIE!$D$5:$D$504,MATCH(_xlfn.MAXIFS(SAISIE!$E$5:$E$504,SAISIE!$B$5:$B$504,"*Vent G/D*",SAISIE!$F$5:$F$504,$G$29),SAISIE!$E$5:$E$504,0)),"-"))</f>
        <v/>
      </c>
      <c r="D32" s="6" t="str">
        <f>IF($G$29="","",IFERROR(_xlfn.MAXIFS(SAISIE!$E$5:$E$504,SAISIE!$B$5:$B$504,"*Vent G/D*",SAISIE!$F$5:$F$504,$G$29),"-"))</f>
        <v/>
      </c>
      <c r="E32" s="6" t="s">
        <v>53</v>
      </c>
    </row>
    <row r="33" spans="1:7" x14ac:dyDescent="0.25">
      <c r="A33" s="5" t="s">
        <v>54</v>
      </c>
      <c r="B33" s="6" t="str">
        <f>IF($G$29="","",IFERROR(IF(_xlfn.MINIFS(SAISIE!$E$5:$E$504,SAISIE!$B$5:$B$504,"*Vent D/G*",SAISIE!$F$5:$F$504,$G$29)&gt;=0,_xlfn.MAXIFS(SAISIE!$C$5:$C$504,SAISIE!$B$5:$B$504,"*Vent D/G*",SAISIE!$F$5:$F$504,$G$29),INDEX(SAISIE!$C$5:$C$504,MATCH(_xlfn.MINIFS(SAISIE!$E$5:$E$504,SAISIE!$B$5:$B$504,"*Vent D/G*",SAISIE!$F$5:$F$504,$G$29),SAISIE!$E$5:$E$504,0))),"-"))</f>
        <v/>
      </c>
      <c r="C33" s="6" t="str">
        <f>IF($G$29="","",IFERROR(IF(_xlfn.MINIFS(SAISIE!$E$5:$E$504,SAISIE!$B$5:$B$504,"*Vent D/G*",SAISIE!$F$5:$F$504,$G$29)&gt;=0,INDEX(SAISIE!$D$5:$D$504,MATCH(_xlfn.MAXIFS(SAISIE!$C$5:$C$504,SAISIE!$B$5:$B$504,"*Vent D/G*",SAISIE!$F$5:$F$504,$G$29),SAISIE!$C$5:$C$504,0)),INDEX(SAISIE!$D$5:$D$504,MATCH(_xlfn.MINIFS(SAISIE!$E$5:$E$504,SAISIE!$B$5:$B$504,"*Vent D/G*",SAISIE!$F$5:$F$504,$G$29),SAISIE!$E$5:$E$504,0))),"-"))</f>
        <v/>
      </c>
      <c r="D33" s="6" t="str">
        <f>IF($G$29="","",IFERROR(IF(_xlfn.MINIFS(SAISIE!$E$5:$E$504,SAISIE!$B$5:$B$504,"*Vent D/G*",SAISIE!$F$5:$F$504,$G$29)&gt;=0,0,_xlfn.MINIFS(SAISIE!$E$5:$E$504,SAISIE!$B$5:$B$504,"*Vent D/G*",SAISIE!$F$5:$F$504,$G$29)),"-"))</f>
        <v/>
      </c>
      <c r="E33" s="6" t="s">
        <v>51</v>
      </c>
    </row>
    <row r="34" spans="1:7" x14ac:dyDescent="0.25">
      <c r="A34" s="5" t="s">
        <v>55</v>
      </c>
      <c r="B34" s="6" t="str">
        <f>IF($G$29="","",IFERROR(INDEX(SAISIE!$C$5:$C$504,MATCH(_xlfn.MAXIFS(SAISIE!$E$5:$E$504,SAISIE!$B$5:$B$504,"*Vent D/G*",SAISIE!$F$5:$F$504,$G$29),SAISIE!$E$5:$E$504,0)),"-"))</f>
        <v/>
      </c>
      <c r="C34" s="6" t="str">
        <f>IF($G$29="","",IFERROR(INDEX(SAISIE!$D$5:$D$504,MATCH(_xlfn.MAXIFS(SAISIE!$E$5:$E$504,SAISIE!$B$5:$B$504,"*Vent D/G*",SAISIE!$F$5:$F$504,$G$29),SAISIE!$E$5:$E$504,0)),"-"))</f>
        <v/>
      </c>
      <c r="D34" s="6" t="str">
        <f>IF($G$29="","",IFERROR(_xlfn.MAXIFS(SAISIE!$E$5:$E$504,SAISIE!$B$5:$B$504,"*Vent D/G*",SAISIE!$F$5:$F$504,$G$29),"-"))</f>
        <v/>
      </c>
      <c r="E34" s="6" t="s">
        <v>53</v>
      </c>
    </row>
    <row r="35" spans="1:7" x14ac:dyDescent="0.25">
      <c r="A35" s="5" t="s">
        <v>56</v>
      </c>
      <c r="B35" s="6" t="str">
        <f>IF($G$29="","",IFERROR(IF(_xlfn.MINIFS(SAISIE!$E$5:$E$504,SAISIE!$B$5:$B$504,"*Vent Av./Arr.*",SAISIE!$F$5:$F$504,$G$29)&gt;=0,_xlfn.MAXIFS(SAISIE!$C$5:$C$504,SAISIE!$B$5:$B$504,"*Vent Av./Arr.*",SAISIE!$F$5:$F$504,$G$29),INDEX(SAISIE!$C$5:$C$504,MATCH(_xlfn.MINIFS(SAISIE!$E$5:$E$504,SAISIE!$B$5:$B$504,"*Vent Av./Arr.*",SAISIE!$F$5:$F$504,$G$29),SAISIE!$E$5:$E$504,0))),"-"))</f>
        <v/>
      </c>
      <c r="C35" s="6" t="str">
        <f>IF($G$29="","",IFERROR(IF(_xlfn.MINIFS(SAISIE!$E$5:$E$504,SAISIE!$B$5:$B$504,"*Vent Av./Arr.*",SAISIE!$F$5:$F$504,$G$29)&gt;=0,INDEX(SAISIE!$D$5:$D$504,MATCH(_xlfn.MAXIFS(SAISIE!$C$5:$C$504,SAISIE!$B$5:$B$504,"*Vent Av./Arr.*",SAISIE!$F$5:$F$504,$G$29),SAISIE!$C$5:$C$504,0)),INDEX(SAISIE!$D$5:$D$504,MATCH(_xlfn.MINIFS(SAISIE!$E$5:$E$504,SAISIE!$B$5:$B$504,"*Vent Av./Arr.*",SAISIE!$F$5:$F$504,$G$29),SAISIE!$E$5:$E$504,0))),"-"))</f>
        <v/>
      </c>
      <c r="D35" s="6" t="str">
        <f>IF($G$29="","",IFERROR(IF(_xlfn.MINIFS(SAISIE!$E$5:$E$504,SAISIE!$B$5:$B$504,"*Vent Av./Arr.*",SAISIE!$F$5:$F$504,$G$29)&gt;=0,0,_xlfn.MINIFS(SAISIE!$E$5:$E$504,SAISIE!$B$5:$B$504,"*Vent Av./Arr.*",SAISIE!$F$5:$F$504,$G$29)),"-"))</f>
        <v/>
      </c>
      <c r="E35" s="6" t="s">
        <v>51</v>
      </c>
    </row>
    <row r="36" spans="1:7" x14ac:dyDescent="0.25">
      <c r="A36" s="5" t="s">
        <v>57</v>
      </c>
      <c r="B36" s="6" t="str">
        <f>IF($G$29="","",IFERROR(INDEX(SAISIE!$C$5:$C$504,MATCH(_xlfn.MAXIFS(SAISIE!$E$5:$E$504,SAISIE!$B$5:$B$504,"*Vent Av./Arr.*",SAISIE!$F$5:$F$504,$G$29),SAISIE!$E$5:$E$504,0)),"-"))</f>
        <v/>
      </c>
      <c r="C36" s="6" t="str">
        <f>IF($G$29="","",IFERROR(INDEX(SAISIE!$D$5:$D$504,MATCH(_xlfn.MAXIFS(SAISIE!$E$5:$E$504,SAISIE!$B$5:$B$504,"*Vent Av./Arr.*",SAISIE!$F$5:$F$504,$G$29),SAISIE!$E$5:$E$504,0)),"-"))</f>
        <v/>
      </c>
      <c r="D36" s="6" t="str">
        <f>IF($G$29="","",IFERROR(_xlfn.MAXIFS(SAISIE!$E$5:$E$504,SAISIE!$B$5:$B$504,"*Vent Av./Arr.*",SAISIE!$F$5:$F$504,$G$29),"-"))</f>
        <v/>
      </c>
      <c r="E36" s="6" t="s">
        <v>53</v>
      </c>
    </row>
    <row r="37" spans="1:7" x14ac:dyDescent="0.25">
      <c r="A37" s="5" t="s">
        <v>58</v>
      </c>
      <c r="B37" s="6" t="str">
        <f>IF($G$29="","",IFERROR(IF(_xlfn.MINIFS(SAISIE!$E$5:$E$504,SAISIE!$B$5:$B$504,"*Vent Arr./Av.*",SAISIE!$F$5:$F$504,$G$29)&gt;=0,_xlfn.MAXIFS(SAISIE!$C$5:$C$504,SAISIE!$B$5:$B$504,"*Vent Arr./Av.*",SAISIE!$F$5:$F$504,$G$29),INDEX(SAISIE!$C$5:$C$504,MATCH(_xlfn.MINIFS(SAISIE!$E$5:$E$504,SAISIE!$B$5:$B$504,"*Vent Arr./Av.*",SAISIE!$F$5:$F$504,$G$29),SAISIE!$E$5:$E$504,0))),"-"))</f>
        <v/>
      </c>
      <c r="C37" s="6" t="str">
        <f>IF($G$29="","",IFERROR(IF(_xlfn.MINIFS(SAISIE!$E$5:$E$504,SAISIE!$B$5:$B$504,"*Vent Arr./Av.*",SAISIE!$F$5:$F$504,$G$29)&gt;=0,INDEX(SAISIE!$D$5:$D$504,MATCH(_xlfn.MAXIFS(SAISIE!$C$5:$C$504,SAISIE!$B$5:$B$504,"*Vent Arr./Av.*",SAISIE!$F$5:$F$504,$G$29),SAISIE!$C$5:$C$504,0)),INDEX(SAISIE!$D$5:$D$504,MATCH(_xlfn.MINIFS(SAISIE!$E$5:$E$504,SAISIE!$B$5:$B$504,"*Vent Arr./Av.*",SAISIE!$F$5:$F$504,$G$29),SAISIE!$E$5:$E$504,0))),"-"))</f>
        <v/>
      </c>
      <c r="D37" s="6" t="str">
        <f>IF($G$29="","",IFERROR(IF(_xlfn.MINIFS(SAISIE!$E$5:$E$504,SAISIE!$B$5:$B$504,"*Vent Arr./Av.*",SAISIE!$F$5:$F$504,$G$29)&gt;=0,0,_xlfn.MINIFS(SAISIE!$E$5:$E$504,SAISIE!$B$5:$B$504,"*Vent Arr./Av.*",SAISIE!$F$5:$F$504,$G$29)),"-"))</f>
        <v/>
      </c>
      <c r="E37" s="6" t="s">
        <v>51</v>
      </c>
    </row>
    <row r="38" spans="1:7" x14ac:dyDescent="0.25">
      <c r="A38" s="5" t="s">
        <v>59</v>
      </c>
      <c r="B38" s="6" t="str">
        <f>IF($G$29="","",IFERROR(INDEX(SAISIE!$C$5:$C$504,MATCH(_xlfn.MAXIFS(SAISIE!$E$5:$E$504,SAISIE!$B$5:$B$504,"*Vent Arr./Av.*",SAISIE!$F$5:$F$504,$G$29),SAISIE!$E$5:$E$504,0)),"-"))</f>
        <v/>
      </c>
      <c r="C38" s="6" t="str">
        <f>IF($G$29="","",IFERROR(INDEX(SAISIE!$D$5:$D$504,MATCH(_xlfn.MAXIFS(SAISIE!$E$5:$E$504,SAISIE!$B$5:$B$504,"*Vent Arr./Av.*",SAISIE!$F$5:$F$504,$G$29),SAISIE!$E$5:$E$504,0)),"-"))</f>
        <v/>
      </c>
      <c r="D38" s="6" t="str">
        <f>IF($G$29="","",IFERROR(_xlfn.MAXIFS(SAISIE!$E$5:$E$504,SAISIE!$B$5:$B$504,"*Vent Arr./Av.*",SAISIE!$F$5:$F$504,$G$29),"-"))</f>
        <v/>
      </c>
      <c r="E38" s="6" t="s">
        <v>53</v>
      </c>
    </row>
    <row r="39" spans="1:7" x14ac:dyDescent="0.25">
      <c r="A39" s="5" t="s">
        <v>60</v>
      </c>
      <c r="B39" s="6" t="str">
        <f>IF($G$29="","",IFERROR(INDEX(SAISIE!$C$5:$C$504,MATCH(_xlfn.MINIFS(SAISIE!$E$5:$E$504,SAISIE!$B$5:$B$504,"*Neige*",SAISIE!$B$5:$B$504,"&lt;&gt;*accidentel*",SAISIE!$F$5:$F$504,$G$29),SAISIE!$E$5:$E$504,0)),"-"))</f>
        <v/>
      </c>
      <c r="C39" s="6" t="str">
        <f>IF($G$29="","",IFERROR(INDEX(SAISIE!$D$5:$D$504,MATCH(_xlfn.MINIFS(SAISIE!$E$5:$E$504,SAISIE!$B$5:$B$504,"*Neige*",SAISIE!$B$5:$B$504,"&lt;&gt;*accidentel*",SAISIE!$F$5:$F$504,$G$29),SAISIE!$E$5:$E$504,0)),"-"))</f>
        <v/>
      </c>
      <c r="D39" s="6" t="str">
        <f>IF($G$29="","",IFERROR(INDEX(SAISIE!$E$5:$E$504,MATCH(_xlfn.MINIFS(SAISIE!$E$5:$E$504,SAISIE!$B$5:$B$504,"*Neige*",SAISIE!$B$5:$B$504,"&lt;&gt;*accidentel*",SAISIE!$F$5:$F$504,$G$29),SAISIE!$E$5:$E$504,0)),"-"))</f>
        <v/>
      </c>
      <c r="E39" s="6"/>
    </row>
    <row r="40" spans="1:7" x14ac:dyDescent="0.25">
      <c r="A40" s="5" t="s">
        <v>61</v>
      </c>
      <c r="B40" s="6" t="str">
        <f>IF($G$29="","",IFERROR(LOOKUP(2,1/((SAISIE!$F$5:$F$504=$G$29)*(ISNUMBER(SEARCH("accidentel",SAISIE!$B$5:$B$504)))),SAISIE!$C$5:$C$504),"-"))</f>
        <v/>
      </c>
      <c r="C40" s="6" t="str">
        <f>IF($G$29="","",IFERROR(LOOKUP(2,1/((SAISIE!$F$5:$F$504=$G$29)*(ISNUMBER(SEARCH("accidentel",SAISIE!$B$5:$B$504)))),SAISIE!$D$5:$D$504),"-"))</f>
        <v/>
      </c>
      <c r="D40" s="6" t="str">
        <f>IF($G$29="","",IFERROR(LOOKUP(2,1/((SAISIE!$F$5:$F$504=$G$29)*(ISNUMBER(SEARCH("accidentel",SAISIE!$B$5:$B$504)))),SAISIE!$E$5:$E$504),"-"))</f>
        <v/>
      </c>
      <c r="E40" s="6"/>
    </row>
    <row r="41" spans="1:7" ht="15.75" x14ac:dyDescent="0.25">
      <c r="A41" s="9" t="str">
        <f>IF($G$41="","","Noeud "&amp;$G$41)</f>
        <v/>
      </c>
      <c r="B41" s="10"/>
      <c r="C41" s="10"/>
      <c r="D41" s="10"/>
      <c r="E41" s="10"/>
      <c r="G41" t="str">
        <f>IFERROR(INDEX(SAISIE!$F$5:$F$504,_xlfn.AGGREGATE(15,6,ROW(SAISIE!$F$5:$F$504)-ROW(SAISIE!$F$5)+1/(SAISIE!$F$5:$F$504&lt;&gt;"")/(COUNTIF($G$4:G40,SAISIE!$F$5:$F$504)=0),1)),"")</f>
        <v/>
      </c>
    </row>
    <row r="42" spans="1:7" x14ac:dyDescent="0.25">
      <c r="A42" s="5" t="s">
        <v>49</v>
      </c>
      <c r="B42" s="6" t="str">
        <f>IF($G$41="","",IFERROR(IFERROR(LOOKUP(2,1/((SAISIE!$F$5:$F$504=$G$41)*(LEFT(SAISIE!$B$5:$B$504,2)="G ")),SAISIE!$C$5:$C$504),LOOKUP(2,1/((SAISIE!$F$5:$F$504=$G$41)*(ISNUMBER(SEARCH("Couverture",SAISIE!$B$5:$B$504)))),SAISIE!$C$5:$C$504)),"-"))</f>
        <v/>
      </c>
      <c r="C42" s="6" t="str">
        <f>IF($G$41="","",IFERROR(IFERROR(LOOKUP(2,1/((SAISIE!$F$5:$F$504=$G$41)*(LEFT(SAISIE!$B$5:$B$504,2)="G ")),SAISIE!$D$5:$D$504),LOOKUP(2,1/((SAISIE!$F$5:$F$504=$G$41)*(ISNUMBER(SEARCH("Couverture",SAISIE!$B$5:$B$504)))),SAISIE!$D$5:$D$504)),"-"))</f>
        <v/>
      </c>
      <c r="D42" s="6" t="str">
        <f>IF($G$41="","",IFERROR(IFERROR(LOOKUP(2,1/((SAISIE!$F$5:$F$504=$G$41)*(LEFT(SAISIE!$B$5:$B$504,2)="G ")),SAISIE!$E$5:$E$504),LOOKUP(2,1/((SAISIE!$F$5:$F$504=$G$41)*(ISNUMBER(SEARCH("Couverture",SAISIE!$B$5:$B$504)))),SAISIE!$E$5:$E$504)),"-"))</f>
        <v/>
      </c>
      <c r="E42" s="6"/>
    </row>
    <row r="43" spans="1:7" x14ac:dyDescent="0.25">
      <c r="A43" s="5" t="s">
        <v>50</v>
      </c>
      <c r="B43" s="6" t="str">
        <f>IF($G$41="","",IFERROR(IF(_xlfn.MINIFS(SAISIE!$E$5:$E$504,SAISIE!$B$5:$B$504,"*Vent G/D*",SAISIE!$F$5:$F$504,$G$41)&gt;=0,_xlfn.MAXIFS(SAISIE!$C$5:$C$504,SAISIE!$B$5:$B$504,"*Vent G/D*",SAISIE!$F$5:$F$504,$G$41),INDEX(SAISIE!$C$5:$C$504,MATCH(_xlfn.MINIFS(SAISIE!$E$5:$E$504,SAISIE!$B$5:$B$504,"*Vent G/D*",SAISIE!$F$5:$F$504,$G$41),SAISIE!$E$5:$E$504,0))),"-"))</f>
        <v/>
      </c>
      <c r="C43" s="6" t="str">
        <f>IF($G$41="","",IFERROR(IF(_xlfn.MINIFS(SAISIE!$E$5:$E$504,SAISIE!$B$5:$B$504,"*Vent G/D*",SAISIE!$F$5:$F$504,$G$41)&gt;=0,INDEX(SAISIE!$D$5:$D$504,MATCH(_xlfn.MAXIFS(SAISIE!$C$5:$C$504,SAISIE!$B$5:$B$504,"*Vent G/D*",SAISIE!$F$5:$F$504,$G$41),SAISIE!$C$5:$C$504,0)),INDEX(SAISIE!$D$5:$D$504,MATCH(_xlfn.MINIFS(SAISIE!$E$5:$E$504,SAISIE!$B$5:$B$504,"*Vent G/D*",SAISIE!$F$5:$F$504,$G$41),SAISIE!$E$5:$E$504,0))),"-"))</f>
        <v/>
      </c>
      <c r="D43" s="6" t="str">
        <f>IF($G$41="","",IFERROR(IF(_xlfn.MINIFS(SAISIE!$E$5:$E$504,SAISIE!$B$5:$B$504,"*Vent G/D*",SAISIE!$F$5:$F$504,$G$41)&gt;=0,0,_xlfn.MINIFS(SAISIE!$E$5:$E$504,SAISIE!$B$5:$B$504,"*Vent G/D*",SAISIE!$F$5:$F$504,$G$41)),"-"))</f>
        <v/>
      </c>
      <c r="E43" s="6" t="s">
        <v>51</v>
      </c>
    </row>
    <row r="44" spans="1:7" x14ac:dyDescent="0.25">
      <c r="A44" s="5" t="s">
        <v>52</v>
      </c>
      <c r="B44" s="6" t="str">
        <f>IF($G$41="","",IFERROR(INDEX(SAISIE!$C$5:$C$504,MATCH(_xlfn.MAXIFS(SAISIE!$E$5:$E$504,SAISIE!$B$5:$B$504,"*Vent G/D*",SAISIE!$F$5:$F$504,$G$41),SAISIE!$E$5:$E$504,0)),"-"))</f>
        <v/>
      </c>
      <c r="C44" s="6" t="str">
        <f>IF($G$41="","",IFERROR(INDEX(SAISIE!$D$5:$D$504,MATCH(_xlfn.MAXIFS(SAISIE!$E$5:$E$504,SAISIE!$B$5:$B$504,"*Vent G/D*",SAISIE!$F$5:$F$504,$G$41),SAISIE!$E$5:$E$504,0)),"-"))</f>
        <v/>
      </c>
      <c r="D44" s="6" t="str">
        <f>IF($G$41="","",IFERROR(_xlfn.MAXIFS(SAISIE!$E$5:$E$504,SAISIE!$B$5:$B$504,"*Vent G/D*",SAISIE!$F$5:$F$504,$G$41),"-"))</f>
        <v/>
      </c>
      <c r="E44" s="6" t="s">
        <v>53</v>
      </c>
    </row>
    <row r="45" spans="1:7" x14ac:dyDescent="0.25">
      <c r="A45" s="5" t="s">
        <v>54</v>
      </c>
      <c r="B45" s="6" t="str">
        <f>IF($G$41="","",IFERROR(IF(_xlfn.MINIFS(SAISIE!$E$5:$E$504,SAISIE!$B$5:$B$504,"*Vent D/G*",SAISIE!$F$5:$F$504,$G$41)&gt;=0,_xlfn.MAXIFS(SAISIE!$C$5:$C$504,SAISIE!$B$5:$B$504,"*Vent D/G*",SAISIE!$F$5:$F$504,$G$41),INDEX(SAISIE!$C$5:$C$504,MATCH(_xlfn.MINIFS(SAISIE!$E$5:$E$504,SAISIE!$B$5:$B$504,"*Vent D/G*",SAISIE!$F$5:$F$504,$G$41),SAISIE!$E$5:$E$504,0))),"-"))</f>
        <v/>
      </c>
      <c r="C45" s="6" t="str">
        <f>IF($G$41="","",IFERROR(IF(_xlfn.MINIFS(SAISIE!$E$5:$E$504,SAISIE!$B$5:$B$504,"*Vent D/G*",SAISIE!$F$5:$F$504,$G$41)&gt;=0,INDEX(SAISIE!$D$5:$D$504,MATCH(_xlfn.MAXIFS(SAISIE!$C$5:$C$504,SAISIE!$B$5:$B$504,"*Vent D/G*",SAISIE!$F$5:$F$504,$G$41),SAISIE!$C$5:$C$504,0)),INDEX(SAISIE!$D$5:$D$504,MATCH(_xlfn.MINIFS(SAISIE!$E$5:$E$504,SAISIE!$B$5:$B$504,"*Vent D/G*",SAISIE!$F$5:$F$504,$G$41),SAISIE!$E$5:$E$504,0))),"-"))</f>
        <v/>
      </c>
      <c r="D45" s="6" t="str">
        <f>IF($G$41="","",IFERROR(IF(_xlfn.MINIFS(SAISIE!$E$5:$E$504,SAISIE!$B$5:$B$504,"*Vent D/G*",SAISIE!$F$5:$F$504,$G$41)&gt;=0,0,_xlfn.MINIFS(SAISIE!$E$5:$E$504,SAISIE!$B$5:$B$504,"*Vent D/G*",SAISIE!$F$5:$F$504,$G$41)),"-"))</f>
        <v/>
      </c>
      <c r="E45" s="6" t="s">
        <v>51</v>
      </c>
    </row>
    <row r="46" spans="1:7" x14ac:dyDescent="0.25">
      <c r="A46" s="5" t="s">
        <v>55</v>
      </c>
      <c r="B46" s="6" t="str">
        <f>IF($G$41="","",IFERROR(INDEX(SAISIE!$C$5:$C$504,MATCH(_xlfn.MAXIFS(SAISIE!$E$5:$E$504,SAISIE!$B$5:$B$504,"*Vent D/G*",SAISIE!$F$5:$F$504,$G$41),SAISIE!$E$5:$E$504,0)),"-"))</f>
        <v/>
      </c>
      <c r="C46" s="6" t="str">
        <f>IF($G$41="","",IFERROR(INDEX(SAISIE!$D$5:$D$504,MATCH(_xlfn.MAXIFS(SAISIE!$E$5:$E$504,SAISIE!$B$5:$B$504,"*Vent D/G*",SAISIE!$F$5:$F$504,$G$41),SAISIE!$E$5:$E$504,0)),"-"))</f>
        <v/>
      </c>
      <c r="D46" s="6" t="str">
        <f>IF($G$41="","",IFERROR(_xlfn.MAXIFS(SAISIE!$E$5:$E$504,SAISIE!$B$5:$B$504,"*Vent D/G*",SAISIE!$F$5:$F$504,$G$41),"-"))</f>
        <v/>
      </c>
      <c r="E46" s="6" t="s">
        <v>53</v>
      </c>
    </row>
    <row r="47" spans="1:7" x14ac:dyDescent="0.25">
      <c r="A47" s="5" t="s">
        <v>56</v>
      </c>
      <c r="B47" s="6" t="str">
        <f>IF($G$41="","",IFERROR(IF(_xlfn.MINIFS(SAISIE!$E$5:$E$504,SAISIE!$B$5:$B$504,"*Vent Av./Arr.*",SAISIE!$F$5:$F$504,$G$41)&gt;=0,_xlfn.MAXIFS(SAISIE!$C$5:$C$504,SAISIE!$B$5:$B$504,"*Vent Av./Arr.*",SAISIE!$F$5:$F$504,$G$41),INDEX(SAISIE!$C$5:$C$504,MATCH(_xlfn.MINIFS(SAISIE!$E$5:$E$504,SAISIE!$B$5:$B$504,"*Vent Av./Arr.*",SAISIE!$F$5:$F$504,$G$41),SAISIE!$E$5:$E$504,0))),"-"))</f>
        <v/>
      </c>
      <c r="C47" s="6" t="str">
        <f>IF($G$41="","",IFERROR(IF(_xlfn.MINIFS(SAISIE!$E$5:$E$504,SAISIE!$B$5:$B$504,"*Vent Av./Arr.*",SAISIE!$F$5:$F$504,$G$41)&gt;=0,INDEX(SAISIE!$D$5:$D$504,MATCH(_xlfn.MAXIFS(SAISIE!$C$5:$C$504,SAISIE!$B$5:$B$504,"*Vent Av./Arr.*",SAISIE!$F$5:$F$504,$G$41),SAISIE!$C$5:$C$504,0)),INDEX(SAISIE!$D$5:$D$504,MATCH(_xlfn.MINIFS(SAISIE!$E$5:$E$504,SAISIE!$B$5:$B$504,"*Vent Av./Arr.*",SAISIE!$F$5:$F$504,$G$41),SAISIE!$E$5:$E$504,0))),"-"))</f>
        <v/>
      </c>
      <c r="D47" s="6" t="str">
        <f>IF($G$41="","",IFERROR(IF(_xlfn.MINIFS(SAISIE!$E$5:$E$504,SAISIE!$B$5:$B$504,"*Vent Av./Arr.*",SAISIE!$F$5:$F$504,$G$41)&gt;=0,0,_xlfn.MINIFS(SAISIE!$E$5:$E$504,SAISIE!$B$5:$B$504,"*Vent Av./Arr.*",SAISIE!$F$5:$F$504,$G$41)),"-"))</f>
        <v/>
      </c>
      <c r="E47" s="6" t="s">
        <v>51</v>
      </c>
    </row>
    <row r="48" spans="1:7" x14ac:dyDescent="0.25">
      <c r="A48" s="5" t="s">
        <v>57</v>
      </c>
      <c r="B48" s="6" t="str">
        <f>IF($G$41="","",IFERROR(INDEX(SAISIE!$C$5:$C$504,MATCH(_xlfn.MAXIFS(SAISIE!$E$5:$E$504,SAISIE!$B$5:$B$504,"*Vent Av./Arr.*",SAISIE!$F$5:$F$504,$G$41),SAISIE!$E$5:$E$504,0)),"-"))</f>
        <v/>
      </c>
      <c r="C48" s="6" t="str">
        <f>IF($G$41="","",IFERROR(INDEX(SAISIE!$D$5:$D$504,MATCH(_xlfn.MAXIFS(SAISIE!$E$5:$E$504,SAISIE!$B$5:$B$504,"*Vent Av./Arr.*",SAISIE!$F$5:$F$504,$G$41),SAISIE!$E$5:$E$504,0)),"-"))</f>
        <v/>
      </c>
      <c r="D48" s="6" t="str">
        <f>IF($G$41="","",IFERROR(_xlfn.MAXIFS(SAISIE!$E$5:$E$504,SAISIE!$B$5:$B$504,"*Vent Av./Arr.*",SAISIE!$F$5:$F$504,$G$41),"-"))</f>
        <v/>
      </c>
      <c r="E48" s="6" t="s">
        <v>53</v>
      </c>
    </row>
    <row r="49" spans="1:7" x14ac:dyDescent="0.25">
      <c r="A49" s="5" t="s">
        <v>58</v>
      </c>
      <c r="B49" s="6" t="str">
        <f>IF($G$41="","",IFERROR(IF(_xlfn.MINIFS(SAISIE!$E$5:$E$504,SAISIE!$B$5:$B$504,"*Vent Arr./Av.*",SAISIE!$F$5:$F$504,$G$41)&gt;=0,_xlfn.MAXIFS(SAISIE!$C$5:$C$504,SAISIE!$B$5:$B$504,"*Vent Arr./Av.*",SAISIE!$F$5:$F$504,$G$41),INDEX(SAISIE!$C$5:$C$504,MATCH(_xlfn.MINIFS(SAISIE!$E$5:$E$504,SAISIE!$B$5:$B$504,"*Vent Arr./Av.*",SAISIE!$F$5:$F$504,$G$41),SAISIE!$E$5:$E$504,0))),"-"))</f>
        <v/>
      </c>
      <c r="C49" s="6" t="str">
        <f>IF($G$41="","",IFERROR(IF(_xlfn.MINIFS(SAISIE!$E$5:$E$504,SAISIE!$B$5:$B$504,"*Vent Arr./Av.*",SAISIE!$F$5:$F$504,$G$41)&gt;=0,INDEX(SAISIE!$D$5:$D$504,MATCH(_xlfn.MAXIFS(SAISIE!$C$5:$C$504,SAISIE!$B$5:$B$504,"*Vent Arr./Av.*",SAISIE!$F$5:$F$504,$G$41),SAISIE!$C$5:$C$504,0)),INDEX(SAISIE!$D$5:$D$504,MATCH(_xlfn.MINIFS(SAISIE!$E$5:$E$504,SAISIE!$B$5:$B$504,"*Vent Arr./Av.*",SAISIE!$F$5:$F$504,$G$41),SAISIE!$E$5:$E$504,0))),"-"))</f>
        <v/>
      </c>
      <c r="D49" s="6" t="str">
        <f>IF($G$41="","",IFERROR(IF(_xlfn.MINIFS(SAISIE!$E$5:$E$504,SAISIE!$B$5:$B$504,"*Vent Arr./Av.*",SAISIE!$F$5:$F$504,$G$41)&gt;=0,0,_xlfn.MINIFS(SAISIE!$E$5:$E$504,SAISIE!$B$5:$B$504,"*Vent Arr./Av.*",SAISIE!$F$5:$F$504,$G$41)),"-"))</f>
        <v/>
      </c>
      <c r="E49" s="6" t="s">
        <v>51</v>
      </c>
    </row>
    <row r="50" spans="1:7" x14ac:dyDescent="0.25">
      <c r="A50" s="5" t="s">
        <v>59</v>
      </c>
      <c r="B50" s="6" t="str">
        <f>IF($G$41="","",IFERROR(INDEX(SAISIE!$C$5:$C$504,MATCH(_xlfn.MAXIFS(SAISIE!$E$5:$E$504,SAISIE!$B$5:$B$504,"*Vent Arr./Av.*",SAISIE!$F$5:$F$504,$G$41),SAISIE!$E$5:$E$504,0)),"-"))</f>
        <v/>
      </c>
      <c r="C50" s="6" t="str">
        <f>IF($G$41="","",IFERROR(INDEX(SAISIE!$D$5:$D$504,MATCH(_xlfn.MAXIFS(SAISIE!$E$5:$E$504,SAISIE!$B$5:$B$504,"*Vent Arr./Av.*",SAISIE!$F$5:$F$504,$G$41),SAISIE!$E$5:$E$504,0)),"-"))</f>
        <v/>
      </c>
      <c r="D50" s="6" t="str">
        <f>IF($G$41="","",IFERROR(_xlfn.MAXIFS(SAISIE!$E$5:$E$504,SAISIE!$B$5:$B$504,"*Vent Arr./Av.*",SAISIE!$F$5:$F$504,$G$41),"-"))</f>
        <v/>
      </c>
      <c r="E50" s="6" t="s">
        <v>53</v>
      </c>
    </row>
    <row r="51" spans="1:7" x14ac:dyDescent="0.25">
      <c r="A51" s="5" t="s">
        <v>60</v>
      </c>
      <c r="B51" s="6" t="str">
        <f>IF($G$41="","",IFERROR(INDEX(SAISIE!$C$5:$C$504,MATCH(_xlfn.MINIFS(SAISIE!$E$5:$E$504,SAISIE!$B$5:$B$504,"*Neige*",SAISIE!$B$5:$B$504,"&lt;&gt;*accidentel*",SAISIE!$F$5:$F$504,$G$41),SAISIE!$E$5:$E$504,0)),"-"))</f>
        <v/>
      </c>
      <c r="C51" s="6" t="str">
        <f>IF($G$41="","",IFERROR(INDEX(SAISIE!$D$5:$D$504,MATCH(_xlfn.MINIFS(SAISIE!$E$5:$E$504,SAISIE!$B$5:$B$504,"*Neige*",SAISIE!$B$5:$B$504,"&lt;&gt;*accidentel*",SAISIE!$F$5:$F$504,$G$41),SAISIE!$E$5:$E$504,0)),"-"))</f>
        <v/>
      </c>
      <c r="D51" s="6" t="str">
        <f>IF($G$41="","",IFERROR(INDEX(SAISIE!$E$5:$E$504,MATCH(_xlfn.MINIFS(SAISIE!$E$5:$E$504,SAISIE!$B$5:$B$504,"*Neige*",SAISIE!$B$5:$B$504,"&lt;&gt;*accidentel*",SAISIE!$F$5:$F$504,$G$41),SAISIE!$E$5:$E$504,0)),"-"))</f>
        <v/>
      </c>
      <c r="E51" s="6"/>
    </row>
    <row r="52" spans="1:7" x14ac:dyDescent="0.25">
      <c r="A52" s="5" t="s">
        <v>61</v>
      </c>
      <c r="B52" s="6" t="str">
        <f>IF($G$41="","",IFERROR(LOOKUP(2,1/((SAISIE!$F$5:$F$504=$G$41)*(ISNUMBER(SEARCH("accidentel",SAISIE!$B$5:$B$504)))),SAISIE!$C$5:$C$504),"-"))</f>
        <v/>
      </c>
      <c r="C52" s="6" t="str">
        <f>IF($G$41="","",IFERROR(LOOKUP(2,1/((SAISIE!$F$5:$F$504=$G$41)*(ISNUMBER(SEARCH("accidentel",SAISIE!$B$5:$B$504)))),SAISIE!$D$5:$D$504),"-"))</f>
        <v/>
      </c>
      <c r="D52" s="6" t="str">
        <f>IF($G$41="","",IFERROR(LOOKUP(2,1/((SAISIE!$F$5:$F$504=$G$41)*(ISNUMBER(SEARCH("accidentel",SAISIE!$B$5:$B$504)))),SAISIE!$E$5:$E$504),"-"))</f>
        <v/>
      </c>
      <c r="E52" s="6"/>
    </row>
    <row r="53" spans="1:7" ht="15.75" x14ac:dyDescent="0.25">
      <c r="A53" s="9" t="str">
        <f>IF($G$53="","","Noeud "&amp;$G$53)</f>
        <v/>
      </c>
      <c r="B53" s="10"/>
      <c r="C53" s="10"/>
      <c r="D53" s="10"/>
      <c r="E53" s="10"/>
      <c r="G53" t="str">
        <f>IFERROR(INDEX(SAISIE!$F$5:$F$504,_xlfn.AGGREGATE(15,6,ROW(SAISIE!$F$5:$F$504)-ROW(SAISIE!$F$5)+1/(SAISIE!$F$5:$F$504&lt;&gt;"")/(COUNTIF($G$4:G52,SAISIE!$F$5:$F$504)=0),1)),"")</f>
        <v/>
      </c>
    </row>
    <row r="54" spans="1:7" x14ac:dyDescent="0.25">
      <c r="A54" s="5" t="s">
        <v>49</v>
      </c>
      <c r="B54" s="6" t="str">
        <f>IF($G$53="","",IFERROR(IFERROR(LOOKUP(2,1/((SAISIE!$F$5:$F$504=$G$53)*(LEFT(SAISIE!$B$5:$B$504,2)="G ")),SAISIE!$C$5:$C$504),LOOKUP(2,1/((SAISIE!$F$5:$F$504=$G$53)*(ISNUMBER(SEARCH("Couverture",SAISIE!$B$5:$B$504)))),SAISIE!$C$5:$C$504)),"-"))</f>
        <v/>
      </c>
      <c r="C54" s="6" t="str">
        <f>IF($G$53="","",IFERROR(IFERROR(LOOKUP(2,1/((SAISIE!$F$5:$F$504=$G$53)*(LEFT(SAISIE!$B$5:$B$504,2)="G ")),SAISIE!$D$5:$D$504),LOOKUP(2,1/((SAISIE!$F$5:$F$504=$G$53)*(ISNUMBER(SEARCH("Couverture",SAISIE!$B$5:$B$504)))),SAISIE!$D$5:$D$504)),"-"))</f>
        <v/>
      </c>
      <c r="D54" s="6" t="str">
        <f>IF($G$53="","",IFERROR(IFERROR(LOOKUP(2,1/((SAISIE!$F$5:$F$504=$G$53)*(LEFT(SAISIE!$B$5:$B$504,2)="G ")),SAISIE!$E$5:$E$504),LOOKUP(2,1/((SAISIE!$F$5:$F$504=$G$53)*(ISNUMBER(SEARCH("Couverture",SAISIE!$B$5:$B$504)))),SAISIE!$E$5:$E$504)),"-"))</f>
        <v/>
      </c>
      <c r="E54" s="6"/>
    </row>
    <row r="55" spans="1:7" x14ac:dyDescent="0.25">
      <c r="A55" s="5" t="s">
        <v>50</v>
      </c>
      <c r="B55" s="6" t="str">
        <f>IF($G$53="","",IFERROR(IF(_xlfn.MINIFS(SAISIE!$E$5:$E$504,SAISIE!$B$5:$B$504,"*Vent G/D*",SAISIE!$F$5:$F$504,$G$53)&gt;=0,_xlfn.MAXIFS(SAISIE!$C$5:$C$504,SAISIE!$B$5:$B$504,"*Vent G/D*",SAISIE!$F$5:$F$504,$G$53),INDEX(SAISIE!$C$5:$C$504,MATCH(_xlfn.MINIFS(SAISIE!$E$5:$E$504,SAISIE!$B$5:$B$504,"*Vent G/D*",SAISIE!$F$5:$F$504,$G$53),SAISIE!$E$5:$E$504,0))),"-"))</f>
        <v/>
      </c>
      <c r="C55" s="6" t="str">
        <f>IF($G$53="","",IFERROR(IF(_xlfn.MINIFS(SAISIE!$E$5:$E$504,SAISIE!$B$5:$B$504,"*Vent G/D*",SAISIE!$F$5:$F$504,$G$53)&gt;=0,INDEX(SAISIE!$D$5:$D$504,MATCH(_xlfn.MAXIFS(SAISIE!$C$5:$C$504,SAISIE!$B$5:$B$504,"*Vent G/D*",SAISIE!$F$5:$F$504,$G$53),SAISIE!$C$5:$C$504,0)),INDEX(SAISIE!$D$5:$D$504,MATCH(_xlfn.MINIFS(SAISIE!$E$5:$E$504,SAISIE!$B$5:$B$504,"*Vent G/D*",SAISIE!$F$5:$F$504,$G$53),SAISIE!$E$5:$E$504,0))),"-"))</f>
        <v/>
      </c>
      <c r="D55" s="6" t="str">
        <f>IF($G$53="","",IFERROR(IF(_xlfn.MINIFS(SAISIE!$E$5:$E$504,SAISIE!$B$5:$B$504,"*Vent G/D*",SAISIE!$F$5:$F$504,$G$53)&gt;=0,0,_xlfn.MINIFS(SAISIE!$E$5:$E$504,SAISIE!$B$5:$B$504,"*Vent G/D*",SAISIE!$F$5:$F$504,$G$53)),"-"))</f>
        <v/>
      </c>
      <c r="E55" s="6" t="s">
        <v>51</v>
      </c>
    </row>
    <row r="56" spans="1:7" x14ac:dyDescent="0.25">
      <c r="A56" s="5" t="s">
        <v>52</v>
      </c>
      <c r="B56" s="6" t="str">
        <f>IF($G$53="","",IFERROR(INDEX(SAISIE!$C$5:$C$504,MATCH(_xlfn.MAXIFS(SAISIE!$E$5:$E$504,SAISIE!$B$5:$B$504,"*Vent G/D*",SAISIE!$F$5:$F$504,$G$53),SAISIE!$E$5:$E$504,0)),"-"))</f>
        <v/>
      </c>
      <c r="C56" s="6" t="str">
        <f>IF($G$53="","",IFERROR(INDEX(SAISIE!$D$5:$D$504,MATCH(_xlfn.MAXIFS(SAISIE!$E$5:$E$504,SAISIE!$B$5:$B$504,"*Vent G/D*",SAISIE!$F$5:$F$504,$G$53),SAISIE!$E$5:$E$504,0)),"-"))</f>
        <v/>
      </c>
      <c r="D56" s="6" t="str">
        <f>IF($G$53="","",IFERROR(_xlfn.MAXIFS(SAISIE!$E$5:$E$504,SAISIE!$B$5:$B$504,"*Vent G/D*",SAISIE!$F$5:$F$504,$G$53),"-"))</f>
        <v/>
      </c>
      <c r="E56" s="6" t="s">
        <v>53</v>
      </c>
    </row>
    <row r="57" spans="1:7" x14ac:dyDescent="0.25">
      <c r="A57" s="5" t="s">
        <v>54</v>
      </c>
      <c r="B57" s="6" t="str">
        <f>IF($G$53="","",IFERROR(IF(_xlfn.MINIFS(SAISIE!$E$5:$E$504,SAISIE!$B$5:$B$504,"*Vent D/G*",SAISIE!$F$5:$F$504,$G$53)&gt;=0,_xlfn.MAXIFS(SAISIE!$C$5:$C$504,SAISIE!$B$5:$B$504,"*Vent D/G*",SAISIE!$F$5:$F$504,$G$53),INDEX(SAISIE!$C$5:$C$504,MATCH(_xlfn.MINIFS(SAISIE!$E$5:$E$504,SAISIE!$B$5:$B$504,"*Vent D/G*",SAISIE!$F$5:$F$504,$G$53),SAISIE!$E$5:$E$504,0))),"-"))</f>
        <v/>
      </c>
      <c r="C57" s="6" t="str">
        <f>IF($G$53="","",IFERROR(IF(_xlfn.MINIFS(SAISIE!$E$5:$E$504,SAISIE!$B$5:$B$504,"*Vent D/G*",SAISIE!$F$5:$F$504,$G$53)&gt;=0,INDEX(SAISIE!$D$5:$D$504,MATCH(_xlfn.MAXIFS(SAISIE!$C$5:$C$504,SAISIE!$B$5:$B$504,"*Vent D/G*",SAISIE!$F$5:$F$504,$G$53),SAISIE!$C$5:$C$504,0)),INDEX(SAISIE!$D$5:$D$504,MATCH(_xlfn.MINIFS(SAISIE!$E$5:$E$504,SAISIE!$B$5:$B$504,"*Vent D/G*",SAISIE!$F$5:$F$504,$G$53),SAISIE!$E$5:$E$504,0))),"-"))</f>
        <v/>
      </c>
      <c r="D57" s="6" t="str">
        <f>IF($G$53="","",IFERROR(IF(_xlfn.MINIFS(SAISIE!$E$5:$E$504,SAISIE!$B$5:$B$504,"*Vent D/G*",SAISIE!$F$5:$F$504,$G$53)&gt;=0,0,_xlfn.MINIFS(SAISIE!$E$5:$E$504,SAISIE!$B$5:$B$504,"*Vent D/G*",SAISIE!$F$5:$F$504,$G$53)),"-"))</f>
        <v/>
      </c>
      <c r="E57" s="6" t="s">
        <v>51</v>
      </c>
    </row>
    <row r="58" spans="1:7" x14ac:dyDescent="0.25">
      <c r="A58" s="5" t="s">
        <v>55</v>
      </c>
      <c r="B58" s="6" t="str">
        <f>IF($G$53="","",IFERROR(INDEX(SAISIE!$C$5:$C$504,MATCH(_xlfn.MAXIFS(SAISIE!$E$5:$E$504,SAISIE!$B$5:$B$504,"*Vent D/G*",SAISIE!$F$5:$F$504,$G$53),SAISIE!$E$5:$E$504,0)),"-"))</f>
        <v/>
      </c>
      <c r="C58" s="6" t="str">
        <f>IF($G$53="","",IFERROR(INDEX(SAISIE!$D$5:$D$504,MATCH(_xlfn.MAXIFS(SAISIE!$E$5:$E$504,SAISIE!$B$5:$B$504,"*Vent D/G*",SAISIE!$F$5:$F$504,$G$53),SAISIE!$E$5:$E$504,0)),"-"))</f>
        <v/>
      </c>
      <c r="D58" s="6" t="str">
        <f>IF($G$53="","",IFERROR(_xlfn.MAXIFS(SAISIE!$E$5:$E$504,SAISIE!$B$5:$B$504,"*Vent D/G*",SAISIE!$F$5:$F$504,$G$53),"-"))</f>
        <v/>
      </c>
      <c r="E58" s="6" t="s">
        <v>53</v>
      </c>
    </row>
    <row r="59" spans="1:7" x14ac:dyDescent="0.25">
      <c r="A59" s="5" t="s">
        <v>56</v>
      </c>
      <c r="B59" s="6" t="str">
        <f>IF($G$53="","",IFERROR(IF(_xlfn.MINIFS(SAISIE!$E$5:$E$504,SAISIE!$B$5:$B$504,"*Vent Av./Arr.*",SAISIE!$F$5:$F$504,$G$53)&gt;=0,_xlfn.MAXIFS(SAISIE!$C$5:$C$504,SAISIE!$B$5:$B$504,"*Vent Av./Arr.*",SAISIE!$F$5:$F$504,$G$53),INDEX(SAISIE!$C$5:$C$504,MATCH(_xlfn.MINIFS(SAISIE!$E$5:$E$504,SAISIE!$B$5:$B$504,"*Vent Av./Arr.*",SAISIE!$F$5:$F$504,$G$53),SAISIE!$E$5:$E$504,0))),"-"))</f>
        <v/>
      </c>
      <c r="C59" s="6" t="str">
        <f>IF($G$53="","",IFERROR(IF(_xlfn.MINIFS(SAISIE!$E$5:$E$504,SAISIE!$B$5:$B$504,"*Vent Av./Arr.*",SAISIE!$F$5:$F$504,$G$53)&gt;=0,INDEX(SAISIE!$D$5:$D$504,MATCH(_xlfn.MAXIFS(SAISIE!$C$5:$C$504,SAISIE!$B$5:$B$504,"*Vent Av./Arr.*",SAISIE!$F$5:$F$504,$G$53),SAISIE!$C$5:$C$504,0)),INDEX(SAISIE!$D$5:$D$504,MATCH(_xlfn.MINIFS(SAISIE!$E$5:$E$504,SAISIE!$B$5:$B$504,"*Vent Av./Arr.*",SAISIE!$F$5:$F$504,$G$53),SAISIE!$E$5:$E$504,0))),"-"))</f>
        <v/>
      </c>
      <c r="D59" s="6" t="str">
        <f>IF($G$53="","",IFERROR(IF(_xlfn.MINIFS(SAISIE!$E$5:$E$504,SAISIE!$B$5:$B$504,"*Vent Av./Arr.*",SAISIE!$F$5:$F$504,$G$53)&gt;=0,0,_xlfn.MINIFS(SAISIE!$E$5:$E$504,SAISIE!$B$5:$B$504,"*Vent Av./Arr.*",SAISIE!$F$5:$F$504,$G$53)),"-"))</f>
        <v/>
      </c>
      <c r="E59" s="6" t="s">
        <v>51</v>
      </c>
    </row>
    <row r="60" spans="1:7" x14ac:dyDescent="0.25">
      <c r="A60" s="5" t="s">
        <v>57</v>
      </c>
      <c r="B60" s="6" t="str">
        <f>IF($G$53="","",IFERROR(INDEX(SAISIE!$C$5:$C$504,MATCH(_xlfn.MAXIFS(SAISIE!$E$5:$E$504,SAISIE!$B$5:$B$504,"*Vent Av./Arr.*",SAISIE!$F$5:$F$504,$G$53),SAISIE!$E$5:$E$504,0)),"-"))</f>
        <v/>
      </c>
      <c r="C60" s="6" t="str">
        <f>IF($G$53="","",IFERROR(INDEX(SAISIE!$D$5:$D$504,MATCH(_xlfn.MAXIFS(SAISIE!$E$5:$E$504,SAISIE!$B$5:$B$504,"*Vent Av./Arr.*",SAISIE!$F$5:$F$504,$G$53),SAISIE!$E$5:$E$504,0)),"-"))</f>
        <v/>
      </c>
      <c r="D60" s="6" t="str">
        <f>IF($G$53="","",IFERROR(_xlfn.MAXIFS(SAISIE!$E$5:$E$504,SAISIE!$B$5:$B$504,"*Vent Av./Arr.*",SAISIE!$F$5:$F$504,$G$53),"-"))</f>
        <v/>
      </c>
      <c r="E60" s="6" t="s">
        <v>53</v>
      </c>
    </row>
    <row r="61" spans="1:7" x14ac:dyDescent="0.25">
      <c r="A61" s="5" t="s">
        <v>58</v>
      </c>
      <c r="B61" s="6" t="str">
        <f>IF($G$53="","",IFERROR(IF(_xlfn.MINIFS(SAISIE!$E$5:$E$504,SAISIE!$B$5:$B$504,"*Vent Arr./Av.*",SAISIE!$F$5:$F$504,$G$53)&gt;=0,_xlfn.MAXIFS(SAISIE!$C$5:$C$504,SAISIE!$B$5:$B$504,"*Vent Arr./Av.*",SAISIE!$F$5:$F$504,$G$53),INDEX(SAISIE!$C$5:$C$504,MATCH(_xlfn.MINIFS(SAISIE!$E$5:$E$504,SAISIE!$B$5:$B$504,"*Vent Arr./Av.*",SAISIE!$F$5:$F$504,$G$53),SAISIE!$E$5:$E$504,0))),"-"))</f>
        <v/>
      </c>
      <c r="C61" s="6" t="str">
        <f>IF($G$53="","",IFERROR(IF(_xlfn.MINIFS(SAISIE!$E$5:$E$504,SAISIE!$B$5:$B$504,"*Vent Arr./Av.*",SAISIE!$F$5:$F$504,$G$53)&gt;=0,INDEX(SAISIE!$D$5:$D$504,MATCH(_xlfn.MAXIFS(SAISIE!$C$5:$C$504,SAISIE!$B$5:$B$504,"*Vent Arr./Av.*",SAISIE!$F$5:$F$504,$G$53),SAISIE!$C$5:$C$504,0)),INDEX(SAISIE!$D$5:$D$504,MATCH(_xlfn.MINIFS(SAISIE!$E$5:$E$504,SAISIE!$B$5:$B$504,"*Vent Arr./Av.*",SAISIE!$F$5:$F$504,$G$53),SAISIE!$E$5:$E$504,0))),"-"))</f>
        <v/>
      </c>
      <c r="D61" s="6" t="str">
        <f>IF($G$53="","",IFERROR(IF(_xlfn.MINIFS(SAISIE!$E$5:$E$504,SAISIE!$B$5:$B$504,"*Vent Arr./Av.*",SAISIE!$F$5:$F$504,$G$53)&gt;=0,0,_xlfn.MINIFS(SAISIE!$E$5:$E$504,SAISIE!$B$5:$B$504,"*Vent Arr./Av.*",SAISIE!$F$5:$F$504,$G$53)),"-"))</f>
        <v/>
      </c>
      <c r="E61" s="6" t="s">
        <v>51</v>
      </c>
    </row>
    <row r="62" spans="1:7" x14ac:dyDescent="0.25">
      <c r="A62" s="5" t="s">
        <v>59</v>
      </c>
      <c r="B62" s="6" t="str">
        <f>IF($G$53="","",IFERROR(INDEX(SAISIE!$C$5:$C$504,MATCH(_xlfn.MAXIFS(SAISIE!$E$5:$E$504,SAISIE!$B$5:$B$504,"*Vent Arr./Av.*",SAISIE!$F$5:$F$504,$G$53),SAISIE!$E$5:$E$504,0)),"-"))</f>
        <v/>
      </c>
      <c r="C62" s="6" t="str">
        <f>IF($G$53="","",IFERROR(INDEX(SAISIE!$D$5:$D$504,MATCH(_xlfn.MAXIFS(SAISIE!$E$5:$E$504,SAISIE!$B$5:$B$504,"*Vent Arr./Av.*",SAISIE!$F$5:$F$504,$G$53),SAISIE!$E$5:$E$504,0)),"-"))</f>
        <v/>
      </c>
      <c r="D62" s="6" t="str">
        <f>IF($G$53="","",IFERROR(_xlfn.MAXIFS(SAISIE!$E$5:$E$504,SAISIE!$B$5:$B$504,"*Vent Arr./Av.*",SAISIE!$F$5:$F$504,$G$53),"-"))</f>
        <v/>
      </c>
      <c r="E62" s="6" t="s">
        <v>53</v>
      </c>
    </row>
    <row r="63" spans="1:7" x14ac:dyDescent="0.25">
      <c r="A63" s="5" t="s">
        <v>60</v>
      </c>
      <c r="B63" s="6" t="str">
        <f>IF($G$53="","",IFERROR(INDEX(SAISIE!$C$5:$C$504,MATCH(_xlfn.MINIFS(SAISIE!$E$5:$E$504,SAISIE!$B$5:$B$504,"*Neige*",SAISIE!$B$5:$B$504,"&lt;&gt;*accidentel*",SAISIE!$F$5:$F$504,$G$53),SAISIE!$E$5:$E$504,0)),"-"))</f>
        <v/>
      </c>
      <c r="C63" s="6" t="str">
        <f>IF($G$53="","",IFERROR(INDEX(SAISIE!$D$5:$D$504,MATCH(_xlfn.MINIFS(SAISIE!$E$5:$E$504,SAISIE!$B$5:$B$504,"*Neige*",SAISIE!$B$5:$B$504,"&lt;&gt;*accidentel*",SAISIE!$F$5:$F$504,$G$53),SAISIE!$E$5:$E$504,0)),"-"))</f>
        <v/>
      </c>
      <c r="D63" s="6" t="str">
        <f>IF($G$53="","",IFERROR(INDEX(SAISIE!$E$5:$E$504,MATCH(_xlfn.MINIFS(SAISIE!$E$5:$E$504,SAISIE!$B$5:$B$504,"*Neige*",SAISIE!$B$5:$B$504,"&lt;&gt;*accidentel*",SAISIE!$F$5:$F$504,$G$53),SAISIE!$E$5:$E$504,0)),"-"))</f>
        <v/>
      </c>
      <c r="E63" s="6"/>
    </row>
    <row r="64" spans="1:7" x14ac:dyDescent="0.25">
      <c r="A64" s="5" t="s">
        <v>61</v>
      </c>
      <c r="B64" s="6" t="str">
        <f>IF($G$53="","",IFERROR(LOOKUP(2,1/((SAISIE!$F$5:$F$504=$G$53)*(ISNUMBER(SEARCH("accidentel",SAISIE!$B$5:$B$504)))),SAISIE!$C$5:$C$504),"-"))</f>
        <v/>
      </c>
      <c r="C64" s="6" t="str">
        <f>IF($G$53="","",IFERROR(LOOKUP(2,1/((SAISIE!$F$5:$F$504=$G$53)*(ISNUMBER(SEARCH("accidentel",SAISIE!$B$5:$B$504)))),SAISIE!$D$5:$D$504),"-"))</f>
        <v/>
      </c>
      <c r="D64" s="6" t="str">
        <f>IF($G$53="","",IFERROR(LOOKUP(2,1/((SAISIE!$F$5:$F$504=$G$53)*(ISNUMBER(SEARCH("accidentel",SAISIE!$B$5:$B$504)))),SAISIE!$E$5:$E$504),"-"))</f>
        <v/>
      </c>
      <c r="E64" s="6"/>
    </row>
    <row r="65" spans="1:7" ht="15.75" x14ac:dyDescent="0.25">
      <c r="A65" s="9" t="str">
        <f>IF($G$65="","","Noeud "&amp;$G$65)</f>
        <v/>
      </c>
      <c r="B65" s="10"/>
      <c r="C65" s="10"/>
      <c r="D65" s="10"/>
      <c r="E65" s="10"/>
      <c r="G65" t="str">
        <f>IFERROR(INDEX(SAISIE!$F$5:$F$504,_xlfn.AGGREGATE(15,6,ROW(SAISIE!$F$5:$F$504)-ROW(SAISIE!$F$5)+1/(SAISIE!$F$5:$F$504&lt;&gt;"")/(COUNTIF($G$4:G64,SAISIE!$F$5:$F$504)=0),1)),"")</f>
        <v/>
      </c>
    </row>
    <row r="66" spans="1:7" x14ac:dyDescent="0.25">
      <c r="A66" s="5" t="s">
        <v>49</v>
      </c>
      <c r="B66" s="6" t="str">
        <f>IF($G$65="","",IFERROR(IFERROR(LOOKUP(2,1/((SAISIE!$F$5:$F$504=$G$65)*(LEFT(SAISIE!$B$5:$B$504,2)="G ")),SAISIE!$C$5:$C$504),LOOKUP(2,1/((SAISIE!$F$5:$F$504=$G$65)*(ISNUMBER(SEARCH("Couverture",SAISIE!$B$5:$B$504)))),SAISIE!$C$5:$C$504)),"-"))</f>
        <v/>
      </c>
      <c r="C66" s="6" t="str">
        <f>IF($G$65="","",IFERROR(IFERROR(LOOKUP(2,1/((SAISIE!$F$5:$F$504=$G$65)*(LEFT(SAISIE!$B$5:$B$504,2)="G ")),SAISIE!$D$5:$D$504),LOOKUP(2,1/((SAISIE!$F$5:$F$504=$G$65)*(ISNUMBER(SEARCH("Couverture",SAISIE!$B$5:$B$504)))),SAISIE!$D$5:$D$504)),"-"))</f>
        <v/>
      </c>
      <c r="D66" s="6" t="str">
        <f>IF($G$65="","",IFERROR(IFERROR(LOOKUP(2,1/((SAISIE!$F$5:$F$504=$G$65)*(LEFT(SAISIE!$B$5:$B$504,2)="G ")),SAISIE!$E$5:$E$504),LOOKUP(2,1/((SAISIE!$F$5:$F$504=$G$65)*(ISNUMBER(SEARCH("Couverture",SAISIE!$B$5:$B$504)))),SAISIE!$E$5:$E$504)),"-"))</f>
        <v/>
      </c>
      <c r="E66" s="6"/>
    </row>
    <row r="67" spans="1:7" x14ac:dyDescent="0.25">
      <c r="A67" s="5" t="s">
        <v>50</v>
      </c>
      <c r="B67" s="6" t="str">
        <f>IF($G$65="","",IFERROR(IF(_xlfn.MINIFS(SAISIE!$E$5:$E$504,SAISIE!$B$5:$B$504,"*Vent G/D*",SAISIE!$F$5:$F$504,$G$65)&gt;=0,_xlfn.MAXIFS(SAISIE!$C$5:$C$504,SAISIE!$B$5:$B$504,"*Vent G/D*",SAISIE!$F$5:$F$504,$G$65),INDEX(SAISIE!$C$5:$C$504,MATCH(_xlfn.MINIFS(SAISIE!$E$5:$E$504,SAISIE!$B$5:$B$504,"*Vent G/D*",SAISIE!$F$5:$F$504,$G$65),SAISIE!$E$5:$E$504,0))),"-"))</f>
        <v/>
      </c>
      <c r="C67" s="6" t="str">
        <f>IF($G$65="","",IFERROR(IF(_xlfn.MINIFS(SAISIE!$E$5:$E$504,SAISIE!$B$5:$B$504,"*Vent G/D*",SAISIE!$F$5:$F$504,$G$65)&gt;=0,INDEX(SAISIE!$D$5:$D$504,MATCH(_xlfn.MAXIFS(SAISIE!$C$5:$C$504,SAISIE!$B$5:$B$504,"*Vent G/D*",SAISIE!$F$5:$F$504,$G$65),SAISIE!$C$5:$C$504,0)),INDEX(SAISIE!$D$5:$D$504,MATCH(_xlfn.MINIFS(SAISIE!$E$5:$E$504,SAISIE!$B$5:$B$504,"*Vent G/D*",SAISIE!$F$5:$F$504,$G$65),SAISIE!$E$5:$E$504,0))),"-"))</f>
        <v/>
      </c>
      <c r="D67" s="6" t="str">
        <f>IF($G$65="","",IFERROR(IF(_xlfn.MINIFS(SAISIE!$E$5:$E$504,SAISIE!$B$5:$B$504,"*Vent G/D*",SAISIE!$F$5:$F$504,$G$65)&gt;=0,0,_xlfn.MINIFS(SAISIE!$E$5:$E$504,SAISIE!$B$5:$B$504,"*Vent G/D*",SAISIE!$F$5:$F$504,$G$65)),"-"))</f>
        <v/>
      </c>
      <c r="E67" s="6" t="s">
        <v>51</v>
      </c>
    </row>
    <row r="68" spans="1:7" x14ac:dyDescent="0.25">
      <c r="A68" s="5" t="s">
        <v>52</v>
      </c>
      <c r="B68" s="6" t="str">
        <f>IF($G$65="","",IFERROR(INDEX(SAISIE!$C$5:$C$504,MATCH(_xlfn.MAXIFS(SAISIE!$E$5:$E$504,SAISIE!$B$5:$B$504,"*Vent G/D*",SAISIE!$F$5:$F$504,$G$65),SAISIE!$E$5:$E$504,0)),"-"))</f>
        <v/>
      </c>
      <c r="C68" s="6" t="str">
        <f>IF($G$65="","",IFERROR(INDEX(SAISIE!$D$5:$D$504,MATCH(_xlfn.MAXIFS(SAISIE!$E$5:$E$504,SAISIE!$B$5:$B$504,"*Vent G/D*",SAISIE!$F$5:$F$504,$G$65),SAISIE!$E$5:$E$504,0)),"-"))</f>
        <v/>
      </c>
      <c r="D68" s="6" t="str">
        <f>IF($G$65="","",IFERROR(_xlfn.MAXIFS(SAISIE!$E$5:$E$504,SAISIE!$B$5:$B$504,"*Vent G/D*",SAISIE!$F$5:$F$504,$G$65),"-"))</f>
        <v/>
      </c>
      <c r="E68" s="6" t="s">
        <v>53</v>
      </c>
    </row>
    <row r="69" spans="1:7" x14ac:dyDescent="0.25">
      <c r="A69" s="5" t="s">
        <v>54</v>
      </c>
      <c r="B69" s="6" t="str">
        <f>IF($G$65="","",IFERROR(IF(_xlfn.MINIFS(SAISIE!$E$5:$E$504,SAISIE!$B$5:$B$504,"*Vent D/G*",SAISIE!$F$5:$F$504,$G$65)&gt;=0,_xlfn.MAXIFS(SAISIE!$C$5:$C$504,SAISIE!$B$5:$B$504,"*Vent D/G*",SAISIE!$F$5:$F$504,$G$65),INDEX(SAISIE!$C$5:$C$504,MATCH(_xlfn.MINIFS(SAISIE!$E$5:$E$504,SAISIE!$B$5:$B$504,"*Vent D/G*",SAISIE!$F$5:$F$504,$G$65),SAISIE!$E$5:$E$504,0))),"-"))</f>
        <v/>
      </c>
      <c r="C69" s="6" t="str">
        <f>IF($G$65="","",IFERROR(IF(_xlfn.MINIFS(SAISIE!$E$5:$E$504,SAISIE!$B$5:$B$504,"*Vent D/G*",SAISIE!$F$5:$F$504,$G$65)&gt;=0,INDEX(SAISIE!$D$5:$D$504,MATCH(_xlfn.MAXIFS(SAISIE!$C$5:$C$504,SAISIE!$B$5:$B$504,"*Vent D/G*",SAISIE!$F$5:$F$504,$G$65),SAISIE!$C$5:$C$504,0)),INDEX(SAISIE!$D$5:$D$504,MATCH(_xlfn.MINIFS(SAISIE!$E$5:$E$504,SAISIE!$B$5:$B$504,"*Vent D/G*",SAISIE!$F$5:$F$504,$G$65),SAISIE!$E$5:$E$504,0))),"-"))</f>
        <v/>
      </c>
      <c r="D69" s="6" t="str">
        <f>IF($G$65="","",IFERROR(IF(_xlfn.MINIFS(SAISIE!$E$5:$E$504,SAISIE!$B$5:$B$504,"*Vent D/G*",SAISIE!$F$5:$F$504,$G$65)&gt;=0,0,_xlfn.MINIFS(SAISIE!$E$5:$E$504,SAISIE!$B$5:$B$504,"*Vent D/G*",SAISIE!$F$5:$F$504,$G$65)),"-"))</f>
        <v/>
      </c>
      <c r="E69" s="6" t="s">
        <v>51</v>
      </c>
    </row>
    <row r="70" spans="1:7" x14ac:dyDescent="0.25">
      <c r="A70" s="5" t="s">
        <v>55</v>
      </c>
      <c r="B70" s="6" t="str">
        <f>IF($G$65="","",IFERROR(INDEX(SAISIE!$C$5:$C$504,MATCH(_xlfn.MAXIFS(SAISIE!$E$5:$E$504,SAISIE!$B$5:$B$504,"*Vent D/G*",SAISIE!$F$5:$F$504,$G$65),SAISIE!$E$5:$E$504,0)),"-"))</f>
        <v/>
      </c>
      <c r="C70" s="6" t="str">
        <f>IF($G$65="","",IFERROR(INDEX(SAISIE!$D$5:$D$504,MATCH(_xlfn.MAXIFS(SAISIE!$E$5:$E$504,SAISIE!$B$5:$B$504,"*Vent D/G*",SAISIE!$F$5:$F$504,$G$65),SAISIE!$E$5:$E$504,0)),"-"))</f>
        <v/>
      </c>
      <c r="D70" s="6" t="str">
        <f>IF($G$65="","",IFERROR(_xlfn.MAXIFS(SAISIE!$E$5:$E$504,SAISIE!$B$5:$B$504,"*Vent D/G*",SAISIE!$F$5:$F$504,$G$65),"-"))</f>
        <v/>
      </c>
      <c r="E70" s="6" t="s">
        <v>53</v>
      </c>
    </row>
    <row r="71" spans="1:7" x14ac:dyDescent="0.25">
      <c r="A71" s="5" t="s">
        <v>56</v>
      </c>
      <c r="B71" s="6" t="str">
        <f>IF($G$65="","",IFERROR(IF(_xlfn.MINIFS(SAISIE!$E$5:$E$504,SAISIE!$B$5:$B$504,"*Vent Av./Arr.*",SAISIE!$F$5:$F$504,$G$65)&gt;=0,_xlfn.MAXIFS(SAISIE!$C$5:$C$504,SAISIE!$B$5:$B$504,"*Vent Av./Arr.*",SAISIE!$F$5:$F$504,$G$65),INDEX(SAISIE!$C$5:$C$504,MATCH(_xlfn.MINIFS(SAISIE!$E$5:$E$504,SAISIE!$B$5:$B$504,"*Vent Av./Arr.*",SAISIE!$F$5:$F$504,$G$65),SAISIE!$E$5:$E$504,0))),"-"))</f>
        <v/>
      </c>
      <c r="C71" s="6" t="str">
        <f>IF($G$65="","",IFERROR(IF(_xlfn.MINIFS(SAISIE!$E$5:$E$504,SAISIE!$B$5:$B$504,"*Vent Av./Arr.*",SAISIE!$F$5:$F$504,$G$65)&gt;=0,INDEX(SAISIE!$D$5:$D$504,MATCH(_xlfn.MAXIFS(SAISIE!$C$5:$C$504,SAISIE!$B$5:$B$504,"*Vent Av./Arr.*",SAISIE!$F$5:$F$504,$G$65),SAISIE!$C$5:$C$504,0)),INDEX(SAISIE!$D$5:$D$504,MATCH(_xlfn.MINIFS(SAISIE!$E$5:$E$504,SAISIE!$B$5:$B$504,"*Vent Av./Arr.*",SAISIE!$F$5:$F$504,$G$65),SAISIE!$E$5:$E$504,0))),"-"))</f>
        <v/>
      </c>
      <c r="D71" s="6" t="str">
        <f>IF($G$65="","",IFERROR(IF(_xlfn.MINIFS(SAISIE!$E$5:$E$504,SAISIE!$B$5:$B$504,"*Vent Av./Arr.*",SAISIE!$F$5:$F$504,$G$65)&gt;=0,0,_xlfn.MINIFS(SAISIE!$E$5:$E$504,SAISIE!$B$5:$B$504,"*Vent Av./Arr.*",SAISIE!$F$5:$F$504,$G$65)),"-"))</f>
        <v/>
      </c>
      <c r="E71" s="6" t="s">
        <v>51</v>
      </c>
    </row>
    <row r="72" spans="1:7" x14ac:dyDescent="0.25">
      <c r="A72" s="5" t="s">
        <v>57</v>
      </c>
      <c r="B72" s="6" t="str">
        <f>IF($G$65="","",IFERROR(INDEX(SAISIE!$C$5:$C$504,MATCH(_xlfn.MAXIFS(SAISIE!$E$5:$E$504,SAISIE!$B$5:$B$504,"*Vent Av./Arr.*",SAISIE!$F$5:$F$504,$G$65),SAISIE!$E$5:$E$504,0)),"-"))</f>
        <v/>
      </c>
      <c r="C72" s="6" t="str">
        <f>IF($G$65="","",IFERROR(INDEX(SAISIE!$D$5:$D$504,MATCH(_xlfn.MAXIFS(SAISIE!$E$5:$E$504,SAISIE!$B$5:$B$504,"*Vent Av./Arr.*",SAISIE!$F$5:$F$504,$G$65),SAISIE!$E$5:$E$504,0)),"-"))</f>
        <v/>
      </c>
      <c r="D72" s="6" t="str">
        <f>IF($G$65="","",IFERROR(_xlfn.MAXIFS(SAISIE!$E$5:$E$504,SAISIE!$B$5:$B$504,"*Vent Av./Arr.*",SAISIE!$F$5:$F$504,$G$65),"-"))</f>
        <v/>
      </c>
      <c r="E72" s="6" t="s">
        <v>53</v>
      </c>
    </row>
    <row r="73" spans="1:7" x14ac:dyDescent="0.25">
      <c r="A73" s="5" t="s">
        <v>58</v>
      </c>
      <c r="B73" s="6" t="str">
        <f>IF($G$65="","",IFERROR(IF(_xlfn.MINIFS(SAISIE!$E$5:$E$504,SAISIE!$B$5:$B$504,"*Vent Arr./Av.*",SAISIE!$F$5:$F$504,$G$65)&gt;=0,_xlfn.MAXIFS(SAISIE!$C$5:$C$504,SAISIE!$B$5:$B$504,"*Vent Arr./Av.*",SAISIE!$F$5:$F$504,$G$65),INDEX(SAISIE!$C$5:$C$504,MATCH(_xlfn.MINIFS(SAISIE!$E$5:$E$504,SAISIE!$B$5:$B$504,"*Vent Arr./Av.*",SAISIE!$F$5:$F$504,$G$65),SAISIE!$E$5:$E$504,0))),"-"))</f>
        <v/>
      </c>
      <c r="C73" s="6" t="str">
        <f>IF($G$65="","",IFERROR(IF(_xlfn.MINIFS(SAISIE!$E$5:$E$504,SAISIE!$B$5:$B$504,"*Vent Arr./Av.*",SAISIE!$F$5:$F$504,$G$65)&gt;=0,INDEX(SAISIE!$D$5:$D$504,MATCH(_xlfn.MAXIFS(SAISIE!$C$5:$C$504,SAISIE!$B$5:$B$504,"*Vent Arr./Av.*",SAISIE!$F$5:$F$504,$G$65),SAISIE!$C$5:$C$504,0)),INDEX(SAISIE!$D$5:$D$504,MATCH(_xlfn.MINIFS(SAISIE!$E$5:$E$504,SAISIE!$B$5:$B$504,"*Vent Arr./Av.*",SAISIE!$F$5:$F$504,$G$65),SAISIE!$E$5:$E$504,0))),"-"))</f>
        <v/>
      </c>
      <c r="D73" s="6" t="str">
        <f>IF($G$65="","",IFERROR(IF(_xlfn.MINIFS(SAISIE!$E$5:$E$504,SAISIE!$B$5:$B$504,"*Vent Arr./Av.*",SAISIE!$F$5:$F$504,$G$65)&gt;=0,0,_xlfn.MINIFS(SAISIE!$E$5:$E$504,SAISIE!$B$5:$B$504,"*Vent Arr./Av.*",SAISIE!$F$5:$F$504,$G$65)),"-"))</f>
        <v/>
      </c>
      <c r="E73" s="6" t="s">
        <v>51</v>
      </c>
    </row>
    <row r="74" spans="1:7" x14ac:dyDescent="0.25">
      <c r="A74" s="5" t="s">
        <v>59</v>
      </c>
      <c r="B74" s="6" t="str">
        <f>IF($G$65="","",IFERROR(INDEX(SAISIE!$C$5:$C$504,MATCH(_xlfn.MAXIFS(SAISIE!$E$5:$E$504,SAISIE!$B$5:$B$504,"*Vent Arr./Av.*",SAISIE!$F$5:$F$504,$G$65),SAISIE!$E$5:$E$504,0)),"-"))</f>
        <v/>
      </c>
      <c r="C74" s="6" t="str">
        <f>IF($G$65="","",IFERROR(INDEX(SAISIE!$D$5:$D$504,MATCH(_xlfn.MAXIFS(SAISIE!$E$5:$E$504,SAISIE!$B$5:$B$504,"*Vent Arr./Av.*",SAISIE!$F$5:$F$504,$G$65),SAISIE!$E$5:$E$504,0)),"-"))</f>
        <v/>
      </c>
      <c r="D74" s="6" t="str">
        <f>IF($G$65="","",IFERROR(_xlfn.MAXIFS(SAISIE!$E$5:$E$504,SAISIE!$B$5:$B$504,"*Vent Arr./Av.*",SAISIE!$F$5:$F$504,$G$65),"-"))</f>
        <v/>
      </c>
      <c r="E74" s="6" t="s">
        <v>53</v>
      </c>
    </row>
    <row r="75" spans="1:7" x14ac:dyDescent="0.25">
      <c r="A75" s="5" t="s">
        <v>60</v>
      </c>
      <c r="B75" s="6" t="str">
        <f>IF($G$65="","",IFERROR(INDEX(SAISIE!$C$5:$C$504,MATCH(_xlfn.MINIFS(SAISIE!$E$5:$E$504,SAISIE!$B$5:$B$504,"*Neige*",SAISIE!$B$5:$B$504,"&lt;&gt;*accidentel*",SAISIE!$F$5:$F$504,$G$65),SAISIE!$E$5:$E$504,0)),"-"))</f>
        <v/>
      </c>
      <c r="C75" s="6" t="str">
        <f>IF($G$65="","",IFERROR(INDEX(SAISIE!$D$5:$D$504,MATCH(_xlfn.MINIFS(SAISIE!$E$5:$E$504,SAISIE!$B$5:$B$504,"*Neige*",SAISIE!$B$5:$B$504,"&lt;&gt;*accidentel*",SAISIE!$F$5:$F$504,$G$65),SAISIE!$E$5:$E$504,0)),"-"))</f>
        <v/>
      </c>
      <c r="D75" s="6" t="str">
        <f>IF($G$65="","",IFERROR(INDEX(SAISIE!$E$5:$E$504,MATCH(_xlfn.MINIFS(SAISIE!$E$5:$E$504,SAISIE!$B$5:$B$504,"*Neige*",SAISIE!$B$5:$B$504,"&lt;&gt;*accidentel*",SAISIE!$F$5:$F$504,$G$65),SAISIE!$E$5:$E$504,0)),"-"))</f>
        <v/>
      </c>
      <c r="E75" s="6"/>
    </row>
    <row r="76" spans="1:7" x14ac:dyDescent="0.25">
      <c r="A76" s="5" t="s">
        <v>61</v>
      </c>
      <c r="B76" s="6" t="str">
        <f>IF($G$65="","",IFERROR(LOOKUP(2,1/((SAISIE!$F$5:$F$504=$G$65)*(ISNUMBER(SEARCH("accidentel",SAISIE!$B$5:$B$504)))),SAISIE!$C$5:$C$504),"-"))</f>
        <v/>
      </c>
      <c r="C76" s="6" t="str">
        <f>IF($G$65="","",IFERROR(LOOKUP(2,1/((SAISIE!$F$5:$F$504=$G$65)*(ISNUMBER(SEARCH("accidentel",SAISIE!$B$5:$B$504)))),SAISIE!$D$5:$D$504),"-"))</f>
        <v/>
      </c>
      <c r="D76" s="6" t="str">
        <f>IF($G$65="","",IFERROR(LOOKUP(2,1/((SAISIE!$F$5:$F$504=$G$65)*(ISNUMBER(SEARCH("accidentel",SAISIE!$B$5:$B$504)))),SAISIE!$E$5:$E$504),"-"))</f>
        <v/>
      </c>
      <c r="E76" s="6"/>
    </row>
    <row r="77" spans="1:7" ht="15.75" x14ac:dyDescent="0.25">
      <c r="A77" s="9" t="str">
        <f>IF($G$77="","","Noeud "&amp;$G$77)</f>
        <v/>
      </c>
      <c r="B77" s="10"/>
      <c r="C77" s="10"/>
      <c r="D77" s="10"/>
      <c r="E77" s="10"/>
      <c r="G77" t="str">
        <f>IFERROR(INDEX(SAISIE!$F$5:$F$504,_xlfn.AGGREGATE(15,6,ROW(SAISIE!$F$5:$F$504)-ROW(SAISIE!$F$5)+1/(SAISIE!$F$5:$F$504&lt;&gt;"")/(COUNTIF($G$4:G76,SAISIE!$F$5:$F$504)=0),1)),"")</f>
        <v/>
      </c>
    </row>
    <row r="78" spans="1:7" x14ac:dyDescent="0.25">
      <c r="A78" s="5" t="s">
        <v>49</v>
      </c>
      <c r="B78" s="6" t="str">
        <f>IF($G$77="","",IFERROR(IFERROR(LOOKUP(2,1/((SAISIE!$F$5:$F$504=$G$77)*(LEFT(SAISIE!$B$5:$B$504,2)="G ")),SAISIE!$C$5:$C$504),LOOKUP(2,1/((SAISIE!$F$5:$F$504=$G$77)*(ISNUMBER(SEARCH("Couverture",SAISIE!$B$5:$B$504)))),SAISIE!$C$5:$C$504)),"-"))</f>
        <v/>
      </c>
      <c r="C78" s="6" t="str">
        <f>IF($G$77="","",IFERROR(IFERROR(LOOKUP(2,1/((SAISIE!$F$5:$F$504=$G$77)*(LEFT(SAISIE!$B$5:$B$504,2)="G ")),SAISIE!$D$5:$D$504),LOOKUP(2,1/((SAISIE!$F$5:$F$504=$G$77)*(ISNUMBER(SEARCH("Couverture",SAISIE!$B$5:$B$504)))),SAISIE!$D$5:$D$504)),"-"))</f>
        <v/>
      </c>
      <c r="D78" s="6" t="str">
        <f>IF($G$77="","",IFERROR(IFERROR(LOOKUP(2,1/((SAISIE!$F$5:$F$504=$G$77)*(LEFT(SAISIE!$B$5:$B$504,2)="G ")),SAISIE!$E$5:$E$504),LOOKUP(2,1/((SAISIE!$F$5:$F$504=$G$77)*(ISNUMBER(SEARCH("Couverture",SAISIE!$B$5:$B$504)))),SAISIE!$E$5:$E$504)),"-"))</f>
        <v/>
      </c>
      <c r="E78" s="6"/>
    </row>
    <row r="79" spans="1:7" x14ac:dyDescent="0.25">
      <c r="A79" s="5" t="s">
        <v>50</v>
      </c>
      <c r="B79" s="6" t="str">
        <f>IF($G$77="","",IFERROR(IF(_xlfn.MINIFS(SAISIE!$E$5:$E$504,SAISIE!$B$5:$B$504,"*Vent G/D*",SAISIE!$F$5:$F$504,$G$77)&gt;=0,_xlfn.MAXIFS(SAISIE!$C$5:$C$504,SAISIE!$B$5:$B$504,"*Vent G/D*",SAISIE!$F$5:$F$504,$G$77),INDEX(SAISIE!$C$5:$C$504,MATCH(_xlfn.MINIFS(SAISIE!$E$5:$E$504,SAISIE!$B$5:$B$504,"*Vent G/D*",SAISIE!$F$5:$F$504,$G$77),SAISIE!$E$5:$E$504,0))),"-"))</f>
        <v/>
      </c>
      <c r="C79" s="6" t="str">
        <f>IF($G$77="","",IFERROR(IF(_xlfn.MINIFS(SAISIE!$E$5:$E$504,SAISIE!$B$5:$B$504,"*Vent G/D*",SAISIE!$F$5:$F$504,$G$77)&gt;=0,INDEX(SAISIE!$D$5:$D$504,MATCH(_xlfn.MAXIFS(SAISIE!$C$5:$C$504,SAISIE!$B$5:$B$504,"*Vent G/D*",SAISIE!$F$5:$F$504,$G$77),SAISIE!$C$5:$C$504,0)),INDEX(SAISIE!$D$5:$D$504,MATCH(_xlfn.MINIFS(SAISIE!$E$5:$E$504,SAISIE!$B$5:$B$504,"*Vent G/D*",SAISIE!$F$5:$F$504,$G$77),SAISIE!$E$5:$E$504,0))),"-"))</f>
        <v/>
      </c>
      <c r="D79" s="6" t="str">
        <f>IF($G$77="","",IFERROR(IF(_xlfn.MINIFS(SAISIE!$E$5:$E$504,SAISIE!$B$5:$B$504,"*Vent G/D*",SAISIE!$F$5:$F$504,$G$77)&gt;=0,0,_xlfn.MINIFS(SAISIE!$E$5:$E$504,SAISIE!$B$5:$B$504,"*Vent G/D*",SAISIE!$F$5:$F$504,$G$77)),"-"))</f>
        <v/>
      </c>
      <c r="E79" s="6" t="s">
        <v>51</v>
      </c>
    </row>
    <row r="80" spans="1:7" x14ac:dyDescent="0.25">
      <c r="A80" s="5" t="s">
        <v>52</v>
      </c>
      <c r="B80" s="6" t="str">
        <f>IF($G$77="","",IFERROR(INDEX(SAISIE!$C$5:$C$504,MATCH(_xlfn.MAXIFS(SAISIE!$E$5:$E$504,SAISIE!$B$5:$B$504,"*Vent G/D*",SAISIE!$F$5:$F$504,$G$77),SAISIE!$E$5:$E$504,0)),"-"))</f>
        <v/>
      </c>
      <c r="C80" s="6" t="str">
        <f>IF($G$77="","",IFERROR(INDEX(SAISIE!$D$5:$D$504,MATCH(_xlfn.MAXIFS(SAISIE!$E$5:$E$504,SAISIE!$B$5:$B$504,"*Vent G/D*",SAISIE!$F$5:$F$504,$G$77),SAISIE!$E$5:$E$504,0)),"-"))</f>
        <v/>
      </c>
      <c r="D80" s="6" t="str">
        <f>IF($G$77="","",IFERROR(_xlfn.MAXIFS(SAISIE!$E$5:$E$504,SAISIE!$B$5:$B$504,"*Vent G/D*",SAISIE!$F$5:$F$504,$G$77),"-"))</f>
        <v/>
      </c>
      <c r="E80" s="6" t="s">
        <v>53</v>
      </c>
    </row>
    <row r="81" spans="1:7" x14ac:dyDescent="0.25">
      <c r="A81" s="5" t="s">
        <v>54</v>
      </c>
      <c r="B81" s="6" t="str">
        <f>IF($G$77="","",IFERROR(IF(_xlfn.MINIFS(SAISIE!$E$5:$E$504,SAISIE!$B$5:$B$504,"*Vent D/G*",SAISIE!$F$5:$F$504,$G$77)&gt;=0,_xlfn.MAXIFS(SAISIE!$C$5:$C$504,SAISIE!$B$5:$B$504,"*Vent D/G*",SAISIE!$F$5:$F$504,$G$77),INDEX(SAISIE!$C$5:$C$504,MATCH(_xlfn.MINIFS(SAISIE!$E$5:$E$504,SAISIE!$B$5:$B$504,"*Vent D/G*",SAISIE!$F$5:$F$504,$G$77),SAISIE!$E$5:$E$504,0))),"-"))</f>
        <v/>
      </c>
      <c r="C81" s="6" t="str">
        <f>IF($G$77="","",IFERROR(IF(_xlfn.MINIFS(SAISIE!$E$5:$E$504,SAISIE!$B$5:$B$504,"*Vent D/G*",SAISIE!$F$5:$F$504,$G$77)&gt;=0,INDEX(SAISIE!$D$5:$D$504,MATCH(_xlfn.MAXIFS(SAISIE!$C$5:$C$504,SAISIE!$B$5:$B$504,"*Vent D/G*",SAISIE!$F$5:$F$504,$G$77),SAISIE!$C$5:$C$504,0)),INDEX(SAISIE!$D$5:$D$504,MATCH(_xlfn.MINIFS(SAISIE!$E$5:$E$504,SAISIE!$B$5:$B$504,"*Vent D/G*",SAISIE!$F$5:$F$504,$G$77),SAISIE!$E$5:$E$504,0))),"-"))</f>
        <v/>
      </c>
      <c r="D81" s="6" t="str">
        <f>IF($G$77="","",IFERROR(IF(_xlfn.MINIFS(SAISIE!$E$5:$E$504,SAISIE!$B$5:$B$504,"*Vent D/G*",SAISIE!$F$5:$F$504,$G$77)&gt;=0,0,_xlfn.MINIFS(SAISIE!$E$5:$E$504,SAISIE!$B$5:$B$504,"*Vent D/G*",SAISIE!$F$5:$F$504,$G$77)),"-"))</f>
        <v/>
      </c>
      <c r="E81" s="6" t="s">
        <v>51</v>
      </c>
    </row>
    <row r="82" spans="1:7" x14ac:dyDescent="0.25">
      <c r="A82" s="5" t="s">
        <v>55</v>
      </c>
      <c r="B82" s="6" t="str">
        <f>IF($G$77="","",IFERROR(INDEX(SAISIE!$C$5:$C$504,MATCH(_xlfn.MAXIFS(SAISIE!$E$5:$E$504,SAISIE!$B$5:$B$504,"*Vent D/G*",SAISIE!$F$5:$F$504,$G$77),SAISIE!$E$5:$E$504,0)),"-"))</f>
        <v/>
      </c>
      <c r="C82" s="6" t="str">
        <f>IF($G$77="","",IFERROR(INDEX(SAISIE!$D$5:$D$504,MATCH(_xlfn.MAXIFS(SAISIE!$E$5:$E$504,SAISIE!$B$5:$B$504,"*Vent D/G*",SAISIE!$F$5:$F$504,$G$77),SAISIE!$E$5:$E$504,0)),"-"))</f>
        <v/>
      </c>
      <c r="D82" s="6" t="str">
        <f>IF($G$77="","",IFERROR(_xlfn.MAXIFS(SAISIE!$E$5:$E$504,SAISIE!$B$5:$B$504,"*Vent D/G*",SAISIE!$F$5:$F$504,$G$77),"-"))</f>
        <v/>
      </c>
      <c r="E82" s="6" t="s">
        <v>53</v>
      </c>
    </row>
    <row r="83" spans="1:7" x14ac:dyDescent="0.25">
      <c r="A83" s="5" t="s">
        <v>56</v>
      </c>
      <c r="B83" s="6" t="str">
        <f>IF($G$77="","",IFERROR(IF(_xlfn.MINIFS(SAISIE!$E$5:$E$504,SAISIE!$B$5:$B$504,"*Vent Av./Arr.*",SAISIE!$F$5:$F$504,$G$77)&gt;=0,_xlfn.MAXIFS(SAISIE!$C$5:$C$504,SAISIE!$B$5:$B$504,"*Vent Av./Arr.*",SAISIE!$F$5:$F$504,$G$77),INDEX(SAISIE!$C$5:$C$504,MATCH(_xlfn.MINIFS(SAISIE!$E$5:$E$504,SAISIE!$B$5:$B$504,"*Vent Av./Arr.*",SAISIE!$F$5:$F$504,$G$77),SAISIE!$E$5:$E$504,0))),"-"))</f>
        <v/>
      </c>
      <c r="C83" s="6" t="str">
        <f>IF($G$77="","",IFERROR(IF(_xlfn.MINIFS(SAISIE!$E$5:$E$504,SAISIE!$B$5:$B$504,"*Vent Av./Arr.*",SAISIE!$F$5:$F$504,$G$77)&gt;=0,INDEX(SAISIE!$D$5:$D$504,MATCH(_xlfn.MAXIFS(SAISIE!$C$5:$C$504,SAISIE!$B$5:$B$504,"*Vent Av./Arr.*",SAISIE!$F$5:$F$504,$G$77),SAISIE!$C$5:$C$504,0)),INDEX(SAISIE!$D$5:$D$504,MATCH(_xlfn.MINIFS(SAISIE!$E$5:$E$504,SAISIE!$B$5:$B$504,"*Vent Av./Arr.*",SAISIE!$F$5:$F$504,$G$77),SAISIE!$E$5:$E$504,0))),"-"))</f>
        <v/>
      </c>
      <c r="D83" s="6" t="str">
        <f>IF($G$77="","",IFERROR(IF(_xlfn.MINIFS(SAISIE!$E$5:$E$504,SAISIE!$B$5:$B$504,"*Vent Av./Arr.*",SAISIE!$F$5:$F$504,$G$77)&gt;=0,0,_xlfn.MINIFS(SAISIE!$E$5:$E$504,SAISIE!$B$5:$B$504,"*Vent Av./Arr.*",SAISIE!$F$5:$F$504,$G$77)),"-"))</f>
        <v/>
      </c>
      <c r="E83" s="6" t="s">
        <v>51</v>
      </c>
    </row>
    <row r="84" spans="1:7" x14ac:dyDescent="0.25">
      <c r="A84" s="5" t="s">
        <v>57</v>
      </c>
      <c r="B84" s="6" t="str">
        <f>IF($G$77="","",IFERROR(INDEX(SAISIE!$C$5:$C$504,MATCH(_xlfn.MAXIFS(SAISIE!$E$5:$E$504,SAISIE!$B$5:$B$504,"*Vent Av./Arr.*",SAISIE!$F$5:$F$504,$G$77),SAISIE!$E$5:$E$504,0)),"-"))</f>
        <v/>
      </c>
      <c r="C84" s="6" t="str">
        <f>IF($G$77="","",IFERROR(INDEX(SAISIE!$D$5:$D$504,MATCH(_xlfn.MAXIFS(SAISIE!$E$5:$E$504,SAISIE!$B$5:$B$504,"*Vent Av./Arr.*",SAISIE!$F$5:$F$504,$G$77),SAISIE!$E$5:$E$504,0)),"-"))</f>
        <v/>
      </c>
      <c r="D84" s="6" t="str">
        <f>IF($G$77="","",IFERROR(_xlfn.MAXIFS(SAISIE!$E$5:$E$504,SAISIE!$B$5:$B$504,"*Vent Av./Arr.*",SAISIE!$F$5:$F$504,$G$77),"-"))</f>
        <v/>
      </c>
      <c r="E84" s="6" t="s">
        <v>53</v>
      </c>
    </row>
    <row r="85" spans="1:7" x14ac:dyDescent="0.25">
      <c r="A85" s="5" t="s">
        <v>58</v>
      </c>
      <c r="B85" s="6" t="str">
        <f>IF($G$77="","",IFERROR(IF(_xlfn.MINIFS(SAISIE!$E$5:$E$504,SAISIE!$B$5:$B$504,"*Vent Arr./Av.*",SAISIE!$F$5:$F$504,$G$77)&gt;=0,_xlfn.MAXIFS(SAISIE!$C$5:$C$504,SAISIE!$B$5:$B$504,"*Vent Arr./Av.*",SAISIE!$F$5:$F$504,$G$77),INDEX(SAISIE!$C$5:$C$504,MATCH(_xlfn.MINIFS(SAISIE!$E$5:$E$504,SAISIE!$B$5:$B$504,"*Vent Arr./Av.*",SAISIE!$F$5:$F$504,$G$77),SAISIE!$E$5:$E$504,0))),"-"))</f>
        <v/>
      </c>
      <c r="C85" s="6" t="str">
        <f>IF($G$77="","",IFERROR(IF(_xlfn.MINIFS(SAISIE!$E$5:$E$504,SAISIE!$B$5:$B$504,"*Vent Arr./Av.*",SAISIE!$F$5:$F$504,$G$77)&gt;=0,INDEX(SAISIE!$D$5:$D$504,MATCH(_xlfn.MAXIFS(SAISIE!$C$5:$C$504,SAISIE!$B$5:$B$504,"*Vent Arr./Av.*",SAISIE!$F$5:$F$504,$G$77),SAISIE!$C$5:$C$504,0)),INDEX(SAISIE!$D$5:$D$504,MATCH(_xlfn.MINIFS(SAISIE!$E$5:$E$504,SAISIE!$B$5:$B$504,"*Vent Arr./Av.*",SAISIE!$F$5:$F$504,$G$77),SAISIE!$E$5:$E$504,0))),"-"))</f>
        <v/>
      </c>
      <c r="D85" s="6" t="str">
        <f>IF($G$77="","",IFERROR(IF(_xlfn.MINIFS(SAISIE!$E$5:$E$504,SAISIE!$B$5:$B$504,"*Vent Arr./Av.*",SAISIE!$F$5:$F$504,$G$77)&gt;=0,0,_xlfn.MINIFS(SAISIE!$E$5:$E$504,SAISIE!$B$5:$B$504,"*Vent Arr./Av.*",SAISIE!$F$5:$F$504,$G$77)),"-"))</f>
        <v/>
      </c>
      <c r="E85" s="6" t="s">
        <v>51</v>
      </c>
    </row>
    <row r="86" spans="1:7" x14ac:dyDescent="0.25">
      <c r="A86" s="5" t="s">
        <v>59</v>
      </c>
      <c r="B86" s="6" t="str">
        <f>IF($G$77="","",IFERROR(INDEX(SAISIE!$C$5:$C$504,MATCH(_xlfn.MAXIFS(SAISIE!$E$5:$E$504,SAISIE!$B$5:$B$504,"*Vent Arr./Av.*",SAISIE!$F$5:$F$504,$G$77),SAISIE!$E$5:$E$504,0)),"-"))</f>
        <v/>
      </c>
      <c r="C86" s="6" t="str">
        <f>IF($G$77="","",IFERROR(INDEX(SAISIE!$D$5:$D$504,MATCH(_xlfn.MAXIFS(SAISIE!$E$5:$E$504,SAISIE!$B$5:$B$504,"*Vent Arr./Av.*",SAISIE!$F$5:$F$504,$G$77),SAISIE!$E$5:$E$504,0)),"-"))</f>
        <v/>
      </c>
      <c r="D86" s="6" t="str">
        <f>IF($G$77="","",IFERROR(_xlfn.MAXIFS(SAISIE!$E$5:$E$504,SAISIE!$B$5:$B$504,"*Vent Arr./Av.*",SAISIE!$F$5:$F$504,$G$77),"-"))</f>
        <v/>
      </c>
      <c r="E86" s="6" t="s">
        <v>53</v>
      </c>
    </row>
    <row r="87" spans="1:7" x14ac:dyDescent="0.25">
      <c r="A87" s="5" t="s">
        <v>60</v>
      </c>
      <c r="B87" s="6" t="str">
        <f>IF($G$77="","",IFERROR(INDEX(SAISIE!$C$5:$C$504,MATCH(_xlfn.MINIFS(SAISIE!$E$5:$E$504,SAISIE!$B$5:$B$504,"*Neige*",SAISIE!$B$5:$B$504,"&lt;&gt;*accidentel*",SAISIE!$F$5:$F$504,$G$77),SAISIE!$E$5:$E$504,0)),"-"))</f>
        <v/>
      </c>
      <c r="C87" s="6" t="str">
        <f>IF($G$77="","",IFERROR(INDEX(SAISIE!$D$5:$D$504,MATCH(_xlfn.MINIFS(SAISIE!$E$5:$E$504,SAISIE!$B$5:$B$504,"*Neige*",SAISIE!$B$5:$B$504,"&lt;&gt;*accidentel*",SAISIE!$F$5:$F$504,$G$77),SAISIE!$E$5:$E$504,0)),"-"))</f>
        <v/>
      </c>
      <c r="D87" s="6" t="str">
        <f>IF($G$77="","",IFERROR(INDEX(SAISIE!$E$5:$E$504,MATCH(_xlfn.MINIFS(SAISIE!$E$5:$E$504,SAISIE!$B$5:$B$504,"*Neige*",SAISIE!$B$5:$B$504,"&lt;&gt;*accidentel*",SAISIE!$F$5:$F$504,$G$77),SAISIE!$E$5:$E$504,0)),"-"))</f>
        <v/>
      </c>
      <c r="E87" s="6"/>
    </row>
    <row r="88" spans="1:7" x14ac:dyDescent="0.25">
      <c r="A88" s="5" t="s">
        <v>61</v>
      </c>
      <c r="B88" s="6" t="str">
        <f>IF($G$77="","",IFERROR(LOOKUP(2,1/((SAISIE!$F$5:$F$504=$G$77)*(ISNUMBER(SEARCH("accidentel",SAISIE!$B$5:$B$504)))),SAISIE!$C$5:$C$504),"-"))</f>
        <v/>
      </c>
      <c r="C88" s="6" t="str">
        <f>IF($G$77="","",IFERROR(LOOKUP(2,1/((SAISIE!$F$5:$F$504=$G$77)*(ISNUMBER(SEARCH("accidentel",SAISIE!$B$5:$B$504)))),SAISIE!$D$5:$D$504),"-"))</f>
        <v/>
      </c>
      <c r="D88" s="6" t="str">
        <f>IF($G$77="","",IFERROR(LOOKUP(2,1/((SAISIE!$F$5:$F$504=$G$77)*(ISNUMBER(SEARCH("accidentel",SAISIE!$B$5:$B$504)))),SAISIE!$E$5:$E$504),"-"))</f>
        <v/>
      </c>
      <c r="E88" s="6"/>
    </row>
    <row r="89" spans="1:7" ht="15.75" x14ac:dyDescent="0.25">
      <c r="A89" s="9" t="str">
        <f>IF($G$89="","","Noeud "&amp;$G$89)</f>
        <v/>
      </c>
      <c r="B89" s="10"/>
      <c r="C89" s="10"/>
      <c r="D89" s="10"/>
      <c r="E89" s="10"/>
      <c r="G89" t="str">
        <f>IFERROR(INDEX(SAISIE!$F$5:$F$504,_xlfn.AGGREGATE(15,6,ROW(SAISIE!$F$5:$F$504)-ROW(SAISIE!$F$5)+1/(SAISIE!$F$5:$F$504&lt;&gt;"")/(COUNTIF($G$4:G88,SAISIE!$F$5:$F$504)=0),1)),"")</f>
        <v/>
      </c>
    </row>
    <row r="90" spans="1:7" x14ac:dyDescent="0.25">
      <c r="A90" s="5" t="s">
        <v>49</v>
      </c>
      <c r="B90" s="6" t="str">
        <f>IF($G$89="","",IFERROR(IFERROR(LOOKUP(2,1/((SAISIE!$F$5:$F$504=$G$89)*(LEFT(SAISIE!$B$5:$B$504,2)="G ")),SAISIE!$C$5:$C$504),LOOKUP(2,1/((SAISIE!$F$5:$F$504=$G$89)*(ISNUMBER(SEARCH("Couverture",SAISIE!$B$5:$B$504)))),SAISIE!$C$5:$C$504)),"-"))</f>
        <v/>
      </c>
      <c r="C90" s="6" t="str">
        <f>IF($G$89="","",IFERROR(IFERROR(LOOKUP(2,1/((SAISIE!$F$5:$F$504=$G$89)*(LEFT(SAISIE!$B$5:$B$504,2)="G ")),SAISIE!$D$5:$D$504),LOOKUP(2,1/((SAISIE!$F$5:$F$504=$G$89)*(ISNUMBER(SEARCH("Couverture",SAISIE!$B$5:$B$504)))),SAISIE!$D$5:$D$504)),"-"))</f>
        <v/>
      </c>
      <c r="D90" s="6" t="str">
        <f>IF($G$89="","",IFERROR(IFERROR(LOOKUP(2,1/((SAISIE!$F$5:$F$504=$G$89)*(LEFT(SAISIE!$B$5:$B$504,2)="G ")),SAISIE!$E$5:$E$504),LOOKUP(2,1/((SAISIE!$F$5:$F$504=$G$89)*(ISNUMBER(SEARCH("Couverture",SAISIE!$B$5:$B$504)))),SAISIE!$E$5:$E$504)),"-"))</f>
        <v/>
      </c>
      <c r="E90" s="6"/>
    </row>
    <row r="91" spans="1:7" x14ac:dyDescent="0.25">
      <c r="A91" s="5" t="s">
        <v>50</v>
      </c>
      <c r="B91" s="6" t="str">
        <f>IF($G$89="","",IFERROR(IF(_xlfn.MINIFS(SAISIE!$E$5:$E$504,SAISIE!$B$5:$B$504,"*Vent G/D*",SAISIE!$F$5:$F$504,$G$89)&gt;=0,_xlfn.MAXIFS(SAISIE!$C$5:$C$504,SAISIE!$B$5:$B$504,"*Vent G/D*",SAISIE!$F$5:$F$504,$G$89),INDEX(SAISIE!$C$5:$C$504,MATCH(_xlfn.MINIFS(SAISIE!$E$5:$E$504,SAISIE!$B$5:$B$504,"*Vent G/D*",SAISIE!$F$5:$F$504,$G$89),SAISIE!$E$5:$E$504,0))),"-"))</f>
        <v/>
      </c>
      <c r="C91" s="6" t="str">
        <f>IF($G$89="","",IFERROR(IF(_xlfn.MINIFS(SAISIE!$E$5:$E$504,SAISIE!$B$5:$B$504,"*Vent G/D*",SAISIE!$F$5:$F$504,$G$89)&gt;=0,INDEX(SAISIE!$D$5:$D$504,MATCH(_xlfn.MAXIFS(SAISIE!$C$5:$C$504,SAISIE!$B$5:$B$504,"*Vent G/D*",SAISIE!$F$5:$F$504,$G$89),SAISIE!$C$5:$C$504,0)),INDEX(SAISIE!$D$5:$D$504,MATCH(_xlfn.MINIFS(SAISIE!$E$5:$E$504,SAISIE!$B$5:$B$504,"*Vent G/D*",SAISIE!$F$5:$F$504,$G$89),SAISIE!$E$5:$E$504,0))),"-"))</f>
        <v/>
      </c>
      <c r="D91" s="6" t="str">
        <f>IF($G$89="","",IFERROR(IF(_xlfn.MINIFS(SAISIE!$E$5:$E$504,SAISIE!$B$5:$B$504,"*Vent G/D*",SAISIE!$F$5:$F$504,$G$89)&gt;=0,0,_xlfn.MINIFS(SAISIE!$E$5:$E$504,SAISIE!$B$5:$B$504,"*Vent G/D*",SAISIE!$F$5:$F$504,$G$89)),"-"))</f>
        <v/>
      </c>
      <c r="E91" s="6" t="s">
        <v>51</v>
      </c>
    </row>
    <row r="92" spans="1:7" x14ac:dyDescent="0.25">
      <c r="A92" s="5" t="s">
        <v>52</v>
      </c>
      <c r="B92" s="6" t="str">
        <f>IF($G$89="","",IFERROR(INDEX(SAISIE!$C$5:$C$504,MATCH(_xlfn.MAXIFS(SAISIE!$E$5:$E$504,SAISIE!$B$5:$B$504,"*Vent G/D*",SAISIE!$F$5:$F$504,$G$89),SAISIE!$E$5:$E$504,0)),"-"))</f>
        <v/>
      </c>
      <c r="C92" s="6" t="str">
        <f>IF($G$89="","",IFERROR(INDEX(SAISIE!$D$5:$D$504,MATCH(_xlfn.MAXIFS(SAISIE!$E$5:$E$504,SAISIE!$B$5:$B$504,"*Vent G/D*",SAISIE!$F$5:$F$504,$G$89),SAISIE!$E$5:$E$504,0)),"-"))</f>
        <v/>
      </c>
      <c r="D92" s="6" t="str">
        <f>IF($G$89="","",IFERROR(_xlfn.MAXIFS(SAISIE!$E$5:$E$504,SAISIE!$B$5:$B$504,"*Vent G/D*",SAISIE!$F$5:$F$504,$G$89),"-"))</f>
        <v/>
      </c>
      <c r="E92" s="6" t="s">
        <v>53</v>
      </c>
    </row>
    <row r="93" spans="1:7" x14ac:dyDescent="0.25">
      <c r="A93" s="5" t="s">
        <v>54</v>
      </c>
      <c r="B93" s="6" t="str">
        <f>IF($G$89="","",IFERROR(IF(_xlfn.MINIFS(SAISIE!$E$5:$E$504,SAISIE!$B$5:$B$504,"*Vent D/G*",SAISIE!$F$5:$F$504,$G$89)&gt;=0,_xlfn.MAXIFS(SAISIE!$C$5:$C$504,SAISIE!$B$5:$B$504,"*Vent D/G*",SAISIE!$F$5:$F$504,$G$89),INDEX(SAISIE!$C$5:$C$504,MATCH(_xlfn.MINIFS(SAISIE!$E$5:$E$504,SAISIE!$B$5:$B$504,"*Vent D/G*",SAISIE!$F$5:$F$504,$G$89),SAISIE!$E$5:$E$504,0))),"-"))</f>
        <v/>
      </c>
      <c r="C93" s="6" t="str">
        <f>IF($G$89="","",IFERROR(IF(_xlfn.MINIFS(SAISIE!$E$5:$E$504,SAISIE!$B$5:$B$504,"*Vent D/G*",SAISIE!$F$5:$F$504,$G$89)&gt;=0,INDEX(SAISIE!$D$5:$D$504,MATCH(_xlfn.MAXIFS(SAISIE!$C$5:$C$504,SAISIE!$B$5:$B$504,"*Vent D/G*",SAISIE!$F$5:$F$504,$G$89),SAISIE!$C$5:$C$504,0)),INDEX(SAISIE!$D$5:$D$504,MATCH(_xlfn.MINIFS(SAISIE!$E$5:$E$504,SAISIE!$B$5:$B$504,"*Vent D/G*",SAISIE!$F$5:$F$504,$G$89),SAISIE!$E$5:$E$504,0))),"-"))</f>
        <v/>
      </c>
      <c r="D93" s="6" t="str">
        <f>IF($G$89="","",IFERROR(IF(_xlfn.MINIFS(SAISIE!$E$5:$E$504,SAISIE!$B$5:$B$504,"*Vent D/G*",SAISIE!$F$5:$F$504,$G$89)&gt;=0,0,_xlfn.MINIFS(SAISIE!$E$5:$E$504,SAISIE!$B$5:$B$504,"*Vent D/G*",SAISIE!$F$5:$F$504,$G$89)),"-"))</f>
        <v/>
      </c>
      <c r="E93" s="6" t="s">
        <v>51</v>
      </c>
    </row>
    <row r="94" spans="1:7" x14ac:dyDescent="0.25">
      <c r="A94" s="5" t="s">
        <v>55</v>
      </c>
      <c r="B94" s="6" t="str">
        <f>IF($G$89="","",IFERROR(INDEX(SAISIE!$C$5:$C$504,MATCH(_xlfn.MAXIFS(SAISIE!$E$5:$E$504,SAISIE!$B$5:$B$504,"*Vent D/G*",SAISIE!$F$5:$F$504,$G$89),SAISIE!$E$5:$E$504,0)),"-"))</f>
        <v/>
      </c>
      <c r="C94" s="6" t="str">
        <f>IF($G$89="","",IFERROR(INDEX(SAISIE!$D$5:$D$504,MATCH(_xlfn.MAXIFS(SAISIE!$E$5:$E$504,SAISIE!$B$5:$B$504,"*Vent D/G*",SAISIE!$F$5:$F$504,$G$89),SAISIE!$E$5:$E$504,0)),"-"))</f>
        <v/>
      </c>
      <c r="D94" s="6" t="str">
        <f>IF($G$89="","",IFERROR(_xlfn.MAXIFS(SAISIE!$E$5:$E$504,SAISIE!$B$5:$B$504,"*Vent D/G*",SAISIE!$F$5:$F$504,$G$89),"-"))</f>
        <v/>
      </c>
      <c r="E94" s="6" t="s">
        <v>53</v>
      </c>
    </row>
    <row r="95" spans="1:7" x14ac:dyDescent="0.25">
      <c r="A95" s="5" t="s">
        <v>56</v>
      </c>
      <c r="B95" s="6" t="str">
        <f>IF($G$89="","",IFERROR(IF(_xlfn.MINIFS(SAISIE!$E$5:$E$504,SAISIE!$B$5:$B$504,"*Vent Av./Arr.*",SAISIE!$F$5:$F$504,$G$89)&gt;=0,_xlfn.MAXIFS(SAISIE!$C$5:$C$504,SAISIE!$B$5:$B$504,"*Vent Av./Arr.*",SAISIE!$F$5:$F$504,$G$89),INDEX(SAISIE!$C$5:$C$504,MATCH(_xlfn.MINIFS(SAISIE!$E$5:$E$504,SAISIE!$B$5:$B$504,"*Vent Av./Arr.*",SAISIE!$F$5:$F$504,$G$89),SAISIE!$E$5:$E$504,0))),"-"))</f>
        <v/>
      </c>
      <c r="C95" s="6" t="str">
        <f>IF($G$89="","",IFERROR(IF(_xlfn.MINIFS(SAISIE!$E$5:$E$504,SAISIE!$B$5:$B$504,"*Vent Av./Arr.*",SAISIE!$F$5:$F$504,$G$89)&gt;=0,INDEX(SAISIE!$D$5:$D$504,MATCH(_xlfn.MAXIFS(SAISIE!$C$5:$C$504,SAISIE!$B$5:$B$504,"*Vent Av./Arr.*",SAISIE!$F$5:$F$504,$G$89),SAISIE!$C$5:$C$504,0)),INDEX(SAISIE!$D$5:$D$504,MATCH(_xlfn.MINIFS(SAISIE!$E$5:$E$504,SAISIE!$B$5:$B$504,"*Vent Av./Arr.*",SAISIE!$F$5:$F$504,$G$89),SAISIE!$E$5:$E$504,0))),"-"))</f>
        <v/>
      </c>
      <c r="D95" s="6" t="str">
        <f>IF($G$89="","",IFERROR(IF(_xlfn.MINIFS(SAISIE!$E$5:$E$504,SAISIE!$B$5:$B$504,"*Vent Av./Arr.*",SAISIE!$F$5:$F$504,$G$89)&gt;=0,0,_xlfn.MINIFS(SAISIE!$E$5:$E$504,SAISIE!$B$5:$B$504,"*Vent Av./Arr.*",SAISIE!$F$5:$F$504,$G$89)),"-"))</f>
        <v/>
      </c>
      <c r="E95" s="6" t="s">
        <v>51</v>
      </c>
    </row>
    <row r="96" spans="1:7" x14ac:dyDescent="0.25">
      <c r="A96" s="5" t="s">
        <v>57</v>
      </c>
      <c r="B96" s="6" t="str">
        <f>IF($G$89="","",IFERROR(INDEX(SAISIE!$C$5:$C$504,MATCH(_xlfn.MAXIFS(SAISIE!$E$5:$E$504,SAISIE!$B$5:$B$504,"*Vent Av./Arr.*",SAISIE!$F$5:$F$504,$G$89),SAISIE!$E$5:$E$504,0)),"-"))</f>
        <v/>
      </c>
      <c r="C96" s="6" t="str">
        <f>IF($G$89="","",IFERROR(INDEX(SAISIE!$D$5:$D$504,MATCH(_xlfn.MAXIFS(SAISIE!$E$5:$E$504,SAISIE!$B$5:$B$504,"*Vent Av./Arr.*",SAISIE!$F$5:$F$504,$G$89),SAISIE!$E$5:$E$504,0)),"-"))</f>
        <v/>
      </c>
      <c r="D96" s="6" t="str">
        <f>IF($G$89="","",IFERROR(_xlfn.MAXIFS(SAISIE!$E$5:$E$504,SAISIE!$B$5:$B$504,"*Vent Av./Arr.*",SAISIE!$F$5:$F$504,$G$89),"-"))</f>
        <v/>
      </c>
      <c r="E96" s="6" t="s">
        <v>53</v>
      </c>
    </row>
    <row r="97" spans="1:7" x14ac:dyDescent="0.25">
      <c r="A97" s="5" t="s">
        <v>58</v>
      </c>
      <c r="B97" s="6" t="str">
        <f>IF($G$89="","",IFERROR(IF(_xlfn.MINIFS(SAISIE!$E$5:$E$504,SAISIE!$B$5:$B$504,"*Vent Arr./Av.*",SAISIE!$F$5:$F$504,$G$89)&gt;=0,_xlfn.MAXIFS(SAISIE!$C$5:$C$504,SAISIE!$B$5:$B$504,"*Vent Arr./Av.*",SAISIE!$F$5:$F$504,$G$89),INDEX(SAISIE!$C$5:$C$504,MATCH(_xlfn.MINIFS(SAISIE!$E$5:$E$504,SAISIE!$B$5:$B$504,"*Vent Arr./Av.*",SAISIE!$F$5:$F$504,$G$89),SAISIE!$E$5:$E$504,0))),"-"))</f>
        <v/>
      </c>
      <c r="C97" s="6" t="str">
        <f>IF($G$89="","",IFERROR(IF(_xlfn.MINIFS(SAISIE!$E$5:$E$504,SAISIE!$B$5:$B$504,"*Vent Arr./Av.*",SAISIE!$F$5:$F$504,$G$89)&gt;=0,INDEX(SAISIE!$D$5:$D$504,MATCH(_xlfn.MAXIFS(SAISIE!$C$5:$C$504,SAISIE!$B$5:$B$504,"*Vent Arr./Av.*",SAISIE!$F$5:$F$504,$G$89),SAISIE!$C$5:$C$504,0)),INDEX(SAISIE!$D$5:$D$504,MATCH(_xlfn.MINIFS(SAISIE!$E$5:$E$504,SAISIE!$B$5:$B$504,"*Vent Arr./Av.*",SAISIE!$F$5:$F$504,$G$89),SAISIE!$E$5:$E$504,0))),"-"))</f>
        <v/>
      </c>
      <c r="D97" s="6" t="str">
        <f>IF($G$89="","",IFERROR(IF(_xlfn.MINIFS(SAISIE!$E$5:$E$504,SAISIE!$B$5:$B$504,"*Vent Arr./Av.*",SAISIE!$F$5:$F$504,$G$89)&gt;=0,0,_xlfn.MINIFS(SAISIE!$E$5:$E$504,SAISIE!$B$5:$B$504,"*Vent Arr./Av.*",SAISIE!$F$5:$F$504,$G$89)),"-"))</f>
        <v/>
      </c>
      <c r="E97" s="6" t="s">
        <v>51</v>
      </c>
    </row>
    <row r="98" spans="1:7" x14ac:dyDescent="0.25">
      <c r="A98" s="5" t="s">
        <v>59</v>
      </c>
      <c r="B98" s="6" t="str">
        <f>IF($G$89="","",IFERROR(INDEX(SAISIE!$C$5:$C$504,MATCH(_xlfn.MAXIFS(SAISIE!$E$5:$E$504,SAISIE!$B$5:$B$504,"*Vent Arr./Av.*",SAISIE!$F$5:$F$504,$G$89),SAISIE!$E$5:$E$504,0)),"-"))</f>
        <v/>
      </c>
      <c r="C98" s="6" t="str">
        <f>IF($G$89="","",IFERROR(INDEX(SAISIE!$D$5:$D$504,MATCH(_xlfn.MAXIFS(SAISIE!$E$5:$E$504,SAISIE!$B$5:$B$504,"*Vent Arr./Av.*",SAISIE!$F$5:$F$504,$G$89),SAISIE!$E$5:$E$504,0)),"-"))</f>
        <v/>
      </c>
      <c r="D98" s="6" t="str">
        <f>IF($G$89="","",IFERROR(_xlfn.MAXIFS(SAISIE!$E$5:$E$504,SAISIE!$B$5:$B$504,"*Vent Arr./Av.*",SAISIE!$F$5:$F$504,$G$89),"-"))</f>
        <v/>
      </c>
      <c r="E98" s="6" t="s">
        <v>53</v>
      </c>
    </row>
    <row r="99" spans="1:7" x14ac:dyDescent="0.25">
      <c r="A99" s="5" t="s">
        <v>60</v>
      </c>
      <c r="B99" s="6" t="str">
        <f>IF($G$89="","",IFERROR(INDEX(SAISIE!$C$5:$C$504,MATCH(_xlfn.MINIFS(SAISIE!$E$5:$E$504,SAISIE!$B$5:$B$504,"*Neige*",SAISIE!$B$5:$B$504,"&lt;&gt;*accidentel*",SAISIE!$F$5:$F$504,$G$89),SAISIE!$E$5:$E$504,0)),"-"))</f>
        <v/>
      </c>
      <c r="C99" s="6" t="str">
        <f>IF($G$89="","",IFERROR(INDEX(SAISIE!$D$5:$D$504,MATCH(_xlfn.MINIFS(SAISIE!$E$5:$E$504,SAISIE!$B$5:$B$504,"*Neige*",SAISIE!$B$5:$B$504,"&lt;&gt;*accidentel*",SAISIE!$F$5:$F$504,$G$89),SAISIE!$E$5:$E$504,0)),"-"))</f>
        <v/>
      </c>
      <c r="D99" s="6" t="str">
        <f>IF($G$89="","",IFERROR(INDEX(SAISIE!$E$5:$E$504,MATCH(_xlfn.MINIFS(SAISIE!$E$5:$E$504,SAISIE!$B$5:$B$504,"*Neige*",SAISIE!$B$5:$B$504,"&lt;&gt;*accidentel*",SAISIE!$F$5:$F$504,$G$89),SAISIE!$E$5:$E$504,0)),"-"))</f>
        <v/>
      </c>
      <c r="E99" s="6"/>
    </row>
    <row r="100" spans="1:7" x14ac:dyDescent="0.25">
      <c r="A100" s="5" t="s">
        <v>61</v>
      </c>
      <c r="B100" s="6" t="str">
        <f>IF($G$89="","",IFERROR(LOOKUP(2,1/((SAISIE!$F$5:$F$504=$G$89)*(ISNUMBER(SEARCH("accidentel",SAISIE!$B$5:$B$504)))),SAISIE!$C$5:$C$504),"-"))</f>
        <v/>
      </c>
      <c r="C100" s="6" t="str">
        <f>IF($G$89="","",IFERROR(LOOKUP(2,1/((SAISIE!$F$5:$F$504=$G$89)*(ISNUMBER(SEARCH("accidentel",SAISIE!$B$5:$B$504)))),SAISIE!$D$5:$D$504),"-"))</f>
        <v/>
      </c>
      <c r="D100" s="6" t="str">
        <f>IF($G$89="","",IFERROR(LOOKUP(2,1/((SAISIE!$F$5:$F$504=$G$89)*(ISNUMBER(SEARCH("accidentel",SAISIE!$B$5:$B$504)))),SAISIE!$E$5:$E$504),"-"))</f>
        <v/>
      </c>
      <c r="E100" s="6"/>
    </row>
    <row r="101" spans="1:7" ht="15.75" x14ac:dyDescent="0.25">
      <c r="A101" s="9" t="str">
        <f>IF($G$101="","","Noeud "&amp;$G$101)</f>
        <v/>
      </c>
      <c r="B101" s="10"/>
      <c r="C101" s="10"/>
      <c r="D101" s="10"/>
      <c r="E101" s="10"/>
      <c r="G101" t="str">
        <f>IFERROR(INDEX(SAISIE!$F$5:$F$504,_xlfn.AGGREGATE(15,6,ROW(SAISIE!$F$5:$F$504)-ROW(SAISIE!$F$5)+1/(SAISIE!$F$5:$F$504&lt;&gt;"")/(COUNTIF($G$4:G100,SAISIE!$F$5:$F$504)=0),1)),"")</f>
        <v/>
      </c>
    </row>
    <row r="102" spans="1:7" x14ac:dyDescent="0.25">
      <c r="A102" s="5" t="s">
        <v>49</v>
      </c>
      <c r="B102" s="6" t="str">
        <f>IF($G$101="","",IFERROR(IFERROR(LOOKUP(2,1/((SAISIE!$F$5:$F$504=$G$101)*(LEFT(SAISIE!$B$5:$B$504,2)="G ")),SAISIE!$C$5:$C$504),LOOKUP(2,1/((SAISIE!$F$5:$F$504=$G$101)*(ISNUMBER(SEARCH("Couverture",SAISIE!$B$5:$B$504)))),SAISIE!$C$5:$C$504)),"-"))</f>
        <v/>
      </c>
      <c r="C102" s="6" t="str">
        <f>IF($G$101="","",IFERROR(IFERROR(LOOKUP(2,1/((SAISIE!$F$5:$F$504=$G$101)*(LEFT(SAISIE!$B$5:$B$504,2)="G ")),SAISIE!$D$5:$D$504),LOOKUP(2,1/((SAISIE!$F$5:$F$504=$G$101)*(ISNUMBER(SEARCH("Couverture",SAISIE!$B$5:$B$504)))),SAISIE!$D$5:$D$504)),"-"))</f>
        <v/>
      </c>
      <c r="D102" s="6" t="str">
        <f>IF($G$101="","",IFERROR(IFERROR(LOOKUP(2,1/((SAISIE!$F$5:$F$504=$G$101)*(LEFT(SAISIE!$B$5:$B$504,2)="G ")),SAISIE!$E$5:$E$504),LOOKUP(2,1/((SAISIE!$F$5:$F$504=$G$101)*(ISNUMBER(SEARCH("Couverture",SAISIE!$B$5:$B$504)))),SAISIE!$E$5:$E$504)),"-"))</f>
        <v/>
      </c>
      <c r="E102" s="6"/>
    </row>
    <row r="103" spans="1:7" x14ac:dyDescent="0.25">
      <c r="A103" s="5" t="s">
        <v>50</v>
      </c>
      <c r="B103" s="6" t="str">
        <f>IF($G$101="","",IFERROR(IF(_xlfn.MINIFS(SAISIE!$E$5:$E$504,SAISIE!$B$5:$B$504,"*Vent G/D*",SAISIE!$F$5:$F$504,$G$101)&gt;=0,_xlfn.MAXIFS(SAISIE!$C$5:$C$504,SAISIE!$B$5:$B$504,"*Vent G/D*",SAISIE!$F$5:$F$504,$G$101),INDEX(SAISIE!$C$5:$C$504,MATCH(_xlfn.MINIFS(SAISIE!$E$5:$E$504,SAISIE!$B$5:$B$504,"*Vent G/D*",SAISIE!$F$5:$F$504,$G$101),SAISIE!$E$5:$E$504,0))),"-"))</f>
        <v/>
      </c>
      <c r="C103" s="6" t="str">
        <f>IF($G$101="","",IFERROR(IF(_xlfn.MINIFS(SAISIE!$E$5:$E$504,SAISIE!$B$5:$B$504,"*Vent G/D*",SAISIE!$F$5:$F$504,$G$101)&gt;=0,INDEX(SAISIE!$D$5:$D$504,MATCH(_xlfn.MAXIFS(SAISIE!$C$5:$C$504,SAISIE!$B$5:$B$504,"*Vent G/D*",SAISIE!$F$5:$F$504,$G$101),SAISIE!$C$5:$C$504,0)),INDEX(SAISIE!$D$5:$D$504,MATCH(_xlfn.MINIFS(SAISIE!$E$5:$E$504,SAISIE!$B$5:$B$504,"*Vent G/D*",SAISIE!$F$5:$F$504,$G$101),SAISIE!$E$5:$E$504,0))),"-"))</f>
        <v/>
      </c>
      <c r="D103" s="6" t="str">
        <f>IF($G$101="","",IFERROR(IF(_xlfn.MINIFS(SAISIE!$E$5:$E$504,SAISIE!$B$5:$B$504,"*Vent G/D*",SAISIE!$F$5:$F$504,$G$101)&gt;=0,0,_xlfn.MINIFS(SAISIE!$E$5:$E$504,SAISIE!$B$5:$B$504,"*Vent G/D*",SAISIE!$F$5:$F$504,$G$101)),"-"))</f>
        <v/>
      </c>
      <c r="E103" s="6" t="s">
        <v>51</v>
      </c>
    </row>
    <row r="104" spans="1:7" x14ac:dyDescent="0.25">
      <c r="A104" s="5" t="s">
        <v>52</v>
      </c>
      <c r="B104" s="6" t="str">
        <f>IF($G$101="","",IFERROR(INDEX(SAISIE!$C$5:$C$504,MATCH(_xlfn.MAXIFS(SAISIE!$E$5:$E$504,SAISIE!$B$5:$B$504,"*Vent G/D*",SAISIE!$F$5:$F$504,$G$101),SAISIE!$E$5:$E$504,0)),"-"))</f>
        <v/>
      </c>
      <c r="C104" s="6" t="str">
        <f>IF($G$101="","",IFERROR(INDEX(SAISIE!$D$5:$D$504,MATCH(_xlfn.MAXIFS(SAISIE!$E$5:$E$504,SAISIE!$B$5:$B$504,"*Vent G/D*",SAISIE!$F$5:$F$504,$G$101),SAISIE!$E$5:$E$504,0)),"-"))</f>
        <v/>
      </c>
      <c r="D104" s="6" t="str">
        <f>IF($G$101="","",IFERROR(_xlfn.MAXIFS(SAISIE!$E$5:$E$504,SAISIE!$B$5:$B$504,"*Vent G/D*",SAISIE!$F$5:$F$504,$G$101),"-"))</f>
        <v/>
      </c>
      <c r="E104" s="6" t="s">
        <v>53</v>
      </c>
    </row>
    <row r="105" spans="1:7" x14ac:dyDescent="0.25">
      <c r="A105" s="5" t="s">
        <v>54</v>
      </c>
      <c r="B105" s="6" t="str">
        <f>IF($G$101="","",IFERROR(IF(_xlfn.MINIFS(SAISIE!$E$5:$E$504,SAISIE!$B$5:$B$504,"*Vent D/G*",SAISIE!$F$5:$F$504,$G$101)&gt;=0,_xlfn.MAXIFS(SAISIE!$C$5:$C$504,SAISIE!$B$5:$B$504,"*Vent D/G*",SAISIE!$F$5:$F$504,$G$101),INDEX(SAISIE!$C$5:$C$504,MATCH(_xlfn.MINIFS(SAISIE!$E$5:$E$504,SAISIE!$B$5:$B$504,"*Vent D/G*",SAISIE!$F$5:$F$504,$G$101),SAISIE!$E$5:$E$504,0))),"-"))</f>
        <v/>
      </c>
      <c r="C105" s="6" t="str">
        <f>IF($G$101="","",IFERROR(IF(_xlfn.MINIFS(SAISIE!$E$5:$E$504,SAISIE!$B$5:$B$504,"*Vent D/G*",SAISIE!$F$5:$F$504,$G$101)&gt;=0,INDEX(SAISIE!$D$5:$D$504,MATCH(_xlfn.MAXIFS(SAISIE!$C$5:$C$504,SAISIE!$B$5:$B$504,"*Vent D/G*",SAISIE!$F$5:$F$504,$G$101),SAISIE!$C$5:$C$504,0)),INDEX(SAISIE!$D$5:$D$504,MATCH(_xlfn.MINIFS(SAISIE!$E$5:$E$504,SAISIE!$B$5:$B$504,"*Vent D/G*",SAISIE!$F$5:$F$504,$G$101),SAISIE!$E$5:$E$504,0))),"-"))</f>
        <v/>
      </c>
      <c r="D105" s="6" t="str">
        <f>IF($G$101="","",IFERROR(IF(_xlfn.MINIFS(SAISIE!$E$5:$E$504,SAISIE!$B$5:$B$504,"*Vent D/G*",SAISIE!$F$5:$F$504,$G$101)&gt;=0,0,_xlfn.MINIFS(SAISIE!$E$5:$E$504,SAISIE!$B$5:$B$504,"*Vent D/G*",SAISIE!$F$5:$F$504,$G$101)),"-"))</f>
        <v/>
      </c>
      <c r="E105" s="6" t="s">
        <v>51</v>
      </c>
    </row>
    <row r="106" spans="1:7" x14ac:dyDescent="0.25">
      <c r="A106" s="5" t="s">
        <v>55</v>
      </c>
      <c r="B106" s="6" t="str">
        <f>IF($G$101="","",IFERROR(INDEX(SAISIE!$C$5:$C$504,MATCH(_xlfn.MAXIFS(SAISIE!$E$5:$E$504,SAISIE!$B$5:$B$504,"*Vent D/G*",SAISIE!$F$5:$F$504,$G$101),SAISIE!$E$5:$E$504,0)),"-"))</f>
        <v/>
      </c>
      <c r="C106" s="6" t="str">
        <f>IF($G$101="","",IFERROR(INDEX(SAISIE!$D$5:$D$504,MATCH(_xlfn.MAXIFS(SAISIE!$E$5:$E$504,SAISIE!$B$5:$B$504,"*Vent D/G*",SAISIE!$F$5:$F$504,$G$101),SAISIE!$E$5:$E$504,0)),"-"))</f>
        <v/>
      </c>
      <c r="D106" s="6" t="str">
        <f>IF($G$101="","",IFERROR(_xlfn.MAXIFS(SAISIE!$E$5:$E$504,SAISIE!$B$5:$B$504,"*Vent D/G*",SAISIE!$F$5:$F$504,$G$101),"-"))</f>
        <v/>
      </c>
      <c r="E106" s="6" t="s">
        <v>53</v>
      </c>
    </row>
    <row r="107" spans="1:7" x14ac:dyDescent="0.25">
      <c r="A107" s="5" t="s">
        <v>56</v>
      </c>
      <c r="B107" s="6" t="str">
        <f>IF($G$101="","",IFERROR(IF(_xlfn.MINIFS(SAISIE!$E$5:$E$504,SAISIE!$B$5:$B$504,"*Vent Av./Arr.*",SAISIE!$F$5:$F$504,$G$101)&gt;=0,_xlfn.MAXIFS(SAISIE!$C$5:$C$504,SAISIE!$B$5:$B$504,"*Vent Av./Arr.*",SAISIE!$F$5:$F$504,$G$101),INDEX(SAISIE!$C$5:$C$504,MATCH(_xlfn.MINIFS(SAISIE!$E$5:$E$504,SAISIE!$B$5:$B$504,"*Vent Av./Arr.*",SAISIE!$F$5:$F$504,$G$101),SAISIE!$E$5:$E$504,0))),"-"))</f>
        <v/>
      </c>
      <c r="C107" s="6" t="str">
        <f>IF($G$101="","",IFERROR(IF(_xlfn.MINIFS(SAISIE!$E$5:$E$504,SAISIE!$B$5:$B$504,"*Vent Av./Arr.*",SAISIE!$F$5:$F$504,$G$101)&gt;=0,INDEX(SAISIE!$D$5:$D$504,MATCH(_xlfn.MAXIFS(SAISIE!$C$5:$C$504,SAISIE!$B$5:$B$504,"*Vent Av./Arr.*",SAISIE!$F$5:$F$504,$G$101),SAISIE!$C$5:$C$504,0)),INDEX(SAISIE!$D$5:$D$504,MATCH(_xlfn.MINIFS(SAISIE!$E$5:$E$504,SAISIE!$B$5:$B$504,"*Vent Av./Arr.*",SAISIE!$F$5:$F$504,$G$101),SAISIE!$E$5:$E$504,0))),"-"))</f>
        <v/>
      </c>
      <c r="D107" s="6" t="str">
        <f>IF($G$101="","",IFERROR(IF(_xlfn.MINIFS(SAISIE!$E$5:$E$504,SAISIE!$B$5:$B$504,"*Vent Av./Arr.*",SAISIE!$F$5:$F$504,$G$101)&gt;=0,0,_xlfn.MINIFS(SAISIE!$E$5:$E$504,SAISIE!$B$5:$B$504,"*Vent Av./Arr.*",SAISIE!$F$5:$F$504,$G$101)),"-"))</f>
        <v/>
      </c>
      <c r="E107" s="6" t="s">
        <v>51</v>
      </c>
    </row>
    <row r="108" spans="1:7" x14ac:dyDescent="0.25">
      <c r="A108" s="5" t="s">
        <v>57</v>
      </c>
      <c r="B108" s="6" t="str">
        <f>IF($G$101="","",IFERROR(INDEX(SAISIE!$C$5:$C$504,MATCH(_xlfn.MAXIFS(SAISIE!$E$5:$E$504,SAISIE!$B$5:$B$504,"*Vent Av./Arr.*",SAISIE!$F$5:$F$504,$G$101),SAISIE!$E$5:$E$504,0)),"-"))</f>
        <v/>
      </c>
      <c r="C108" s="6" t="str">
        <f>IF($G$101="","",IFERROR(INDEX(SAISIE!$D$5:$D$504,MATCH(_xlfn.MAXIFS(SAISIE!$E$5:$E$504,SAISIE!$B$5:$B$504,"*Vent Av./Arr.*",SAISIE!$F$5:$F$504,$G$101),SAISIE!$E$5:$E$504,0)),"-"))</f>
        <v/>
      </c>
      <c r="D108" s="6" t="str">
        <f>IF($G$101="","",IFERROR(_xlfn.MAXIFS(SAISIE!$E$5:$E$504,SAISIE!$B$5:$B$504,"*Vent Av./Arr.*",SAISIE!$F$5:$F$504,$G$101),"-"))</f>
        <v/>
      </c>
      <c r="E108" s="6" t="s">
        <v>53</v>
      </c>
    </row>
    <row r="109" spans="1:7" x14ac:dyDescent="0.25">
      <c r="A109" s="5" t="s">
        <v>58</v>
      </c>
      <c r="B109" s="6" t="str">
        <f>IF($G$101="","",IFERROR(IF(_xlfn.MINIFS(SAISIE!$E$5:$E$504,SAISIE!$B$5:$B$504,"*Vent Arr./Av.*",SAISIE!$F$5:$F$504,$G$101)&gt;=0,_xlfn.MAXIFS(SAISIE!$C$5:$C$504,SAISIE!$B$5:$B$504,"*Vent Arr./Av.*",SAISIE!$F$5:$F$504,$G$101),INDEX(SAISIE!$C$5:$C$504,MATCH(_xlfn.MINIFS(SAISIE!$E$5:$E$504,SAISIE!$B$5:$B$504,"*Vent Arr./Av.*",SAISIE!$F$5:$F$504,$G$101),SAISIE!$E$5:$E$504,0))),"-"))</f>
        <v/>
      </c>
      <c r="C109" s="6" t="str">
        <f>IF($G$101="","",IFERROR(IF(_xlfn.MINIFS(SAISIE!$E$5:$E$504,SAISIE!$B$5:$B$504,"*Vent Arr./Av.*",SAISIE!$F$5:$F$504,$G$101)&gt;=0,INDEX(SAISIE!$D$5:$D$504,MATCH(_xlfn.MAXIFS(SAISIE!$C$5:$C$504,SAISIE!$B$5:$B$504,"*Vent Arr./Av.*",SAISIE!$F$5:$F$504,$G$101),SAISIE!$C$5:$C$504,0)),INDEX(SAISIE!$D$5:$D$504,MATCH(_xlfn.MINIFS(SAISIE!$E$5:$E$504,SAISIE!$B$5:$B$504,"*Vent Arr./Av.*",SAISIE!$F$5:$F$504,$G$101),SAISIE!$E$5:$E$504,0))),"-"))</f>
        <v/>
      </c>
      <c r="D109" s="6" t="str">
        <f>IF($G$101="","",IFERROR(IF(_xlfn.MINIFS(SAISIE!$E$5:$E$504,SAISIE!$B$5:$B$504,"*Vent Arr./Av.*",SAISIE!$F$5:$F$504,$G$101)&gt;=0,0,_xlfn.MINIFS(SAISIE!$E$5:$E$504,SAISIE!$B$5:$B$504,"*Vent Arr./Av.*",SAISIE!$F$5:$F$504,$G$101)),"-"))</f>
        <v/>
      </c>
      <c r="E109" s="6" t="s">
        <v>51</v>
      </c>
    </row>
    <row r="110" spans="1:7" x14ac:dyDescent="0.25">
      <c r="A110" s="5" t="s">
        <v>59</v>
      </c>
      <c r="B110" s="6" t="str">
        <f>IF($G$101="","",IFERROR(INDEX(SAISIE!$C$5:$C$504,MATCH(_xlfn.MAXIFS(SAISIE!$E$5:$E$504,SAISIE!$B$5:$B$504,"*Vent Arr./Av.*",SAISIE!$F$5:$F$504,$G$101),SAISIE!$E$5:$E$504,0)),"-"))</f>
        <v/>
      </c>
      <c r="C110" s="6" t="str">
        <f>IF($G$101="","",IFERROR(INDEX(SAISIE!$D$5:$D$504,MATCH(_xlfn.MAXIFS(SAISIE!$E$5:$E$504,SAISIE!$B$5:$B$504,"*Vent Arr./Av.*",SAISIE!$F$5:$F$504,$G$101),SAISIE!$E$5:$E$504,0)),"-"))</f>
        <v/>
      </c>
      <c r="D110" s="6" t="str">
        <f>IF($G$101="","",IFERROR(_xlfn.MAXIFS(SAISIE!$E$5:$E$504,SAISIE!$B$5:$B$504,"*Vent Arr./Av.*",SAISIE!$F$5:$F$504,$G$101),"-"))</f>
        <v/>
      </c>
      <c r="E110" s="6" t="s">
        <v>53</v>
      </c>
    </row>
    <row r="111" spans="1:7" x14ac:dyDescent="0.25">
      <c r="A111" s="5" t="s">
        <v>60</v>
      </c>
      <c r="B111" s="6" t="str">
        <f>IF($G$101="","",IFERROR(INDEX(SAISIE!$C$5:$C$504,MATCH(_xlfn.MINIFS(SAISIE!$E$5:$E$504,SAISIE!$B$5:$B$504,"*Neige*",SAISIE!$B$5:$B$504,"&lt;&gt;*accidentel*",SAISIE!$F$5:$F$504,$G$101),SAISIE!$E$5:$E$504,0)),"-"))</f>
        <v/>
      </c>
      <c r="C111" s="6" t="str">
        <f>IF($G$101="","",IFERROR(INDEX(SAISIE!$D$5:$D$504,MATCH(_xlfn.MINIFS(SAISIE!$E$5:$E$504,SAISIE!$B$5:$B$504,"*Neige*",SAISIE!$B$5:$B$504,"&lt;&gt;*accidentel*",SAISIE!$F$5:$F$504,$G$101),SAISIE!$E$5:$E$504,0)),"-"))</f>
        <v/>
      </c>
      <c r="D111" s="6" t="str">
        <f>IF($G$101="","",IFERROR(INDEX(SAISIE!$E$5:$E$504,MATCH(_xlfn.MINIFS(SAISIE!$E$5:$E$504,SAISIE!$B$5:$B$504,"*Neige*",SAISIE!$B$5:$B$504,"&lt;&gt;*accidentel*",SAISIE!$F$5:$F$504,$G$101),SAISIE!$E$5:$E$504,0)),"-"))</f>
        <v/>
      </c>
      <c r="E111" s="6"/>
    </row>
    <row r="112" spans="1:7" x14ac:dyDescent="0.25">
      <c r="A112" s="5" t="s">
        <v>61</v>
      </c>
      <c r="B112" s="6" t="str">
        <f>IF($G$101="","",IFERROR(LOOKUP(2,1/((SAISIE!$F$5:$F$504=$G$101)*(ISNUMBER(SEARCH("accidentel",SAISIE!$B$5:$B$504)))),SAISIE!$C$5:$C$504),"-"))</f>
        <v/>
      </c>
      <c r="C112" s="6" t="str">
        <f>IF($G$101="","",IFERROR(LOOKUP(2,1/((SAISIE!$F$5:$F$504=$G$101)*(ISNUMBER(SEARCH("accidentel",SAISIE!$B$5:$B$504)))),SAISIE!$D$5:$D$504),"-"))</f>
        <v/>
      </c>
      <c r="D112" s="6" t="str">
        <f>IF($G$101="","",IFERROR(LOOKUP(2,1/((SAISIE!$F$5:$F$504=$G$101)*(ISNUMBER(SEARCH("accidentel",SAISIE!$B$5:$B$504)))),SAISIE!$E$5:$E$504),"-"))</f>
        <v/>
      </c>
      <c r="E112" s="6"/>
    </row>
    <row r="113" spans="1:7" ht="15.75" x14ac:dyDescent="0.25">
      <c r="A113" s="9" t="str">
        <f>IF($G$113="","","Noeud "&amp;$G$113)</f>
        <v/>
      </c>
      <c r="B113" s="10"/>
      <c r="C113" s="10"/>
      <c r="D113" s="10"/>
      <c r="E113" s="10"/>
      <c r="G113" t="str">
        <f>IFERROR(INDEX(SAISIE!$F$5:$F$504,_xlfn.AGGREGATE(15,6,ROW(SAISIE!$F$5:$F$504)-ROW(SAISIE!$F$5)+1/(SAISIE!$F$5:$F$504&lt;&gt;"")/(COUNTIF($G$4:G112,SAISIE!$F$5:$F$504)=0),1)),"")</f>
        <v/>
      </c>
    </row>
    <row r="114" spans="1:7" x14ac:dyDescent="0.25">
      <c r="A114" s="5" t="s">
        <v>49</v>
      </c>
      <c r="B114" s="6" t="str">
        <f>IF($G$113="","",IFERROR(IFERROR(LOOKUP(2,1/((SAISIE!$F$5:$F$504=$G$113)*(LEFT(SAISIE!$B$5:$B$504,2)="G ")),SAISIE!$C$5:$C$504),LOOKUP(2,1/((SAISIE!$F$5:$F$504=$G$113)*(ISNUMBER(SEARCH("Couverture",SAISIE!$B$5:$B$504)))),SAISIE!$C$5:$C$504)),"-"))</f>
        <v/>
      </c>
      <c r="C114" s="6" t="str">
        <f>IF($G$113="","",IFERROR(IFERROR(LOOKUP(2,1/((SAISIE!$F$5:$F$504=$G$113)*(LEFT(SAISIE!$B$5:$B$504,2)="G ")),SAISIE!$D$5:$D$504),LOOKUP(2,1/((SAISIE!$F$5:$F$504=$G$113)*(ISNUMBER(SEARCH("Couverture",SAISIE!$B$5:$B$504)))),SAISIE!$D$5:$D$504)),"-"))</f>
        <v/>
      </c>
      <c r="D114" s="6" t="str">
        <f>IF($G$113="","",IFERROR(IFERROR(LOOKUP(2,1/((SAISIE!$F$5:$F$504=$G$113)*(LEFT(SAISIE!$B$5:$B$504,2)="G ")),SAISIE!$E$5:$E$504),LOOKUP(2,1/((SAISIE!$F$5:$F$504=$G$113)*(ISNUMBER(SEARCH("Couverture",SAISIE!$B$5:$B$504)))),SAISIE!$E$5:$E$504)),"-"))</f>
        <v/>
      </c>
      <c r="E114" s="6"/>
    </row>
    <row r="115" spans="1:7" x14ac:dyDescent="0.25">
      <c r="A115" s="5" t="s">
        <v>50</v>
      </c>
      <c r="B115" s="6" t="str">
        <f>IF($G$113="","",IFERROR(IF(_xlfn.MINIFS(SAISIE!$E$5:$E$504,SAISIE!$B$5:$B$504,"*Vent G/D*",SAISIE!$F$5:$F$504,$G$113)&gt;=0,_xlfn.MAXIFS(SAISIE!$C$5:$C$504,SAISIE!$B$5:$B$504,"*Vent G/D*",SAISIE!$F$5:$F$504,$G$113),INDEX(SAISIE!$C$5:$C$504,MATCH(_xlfn.MINIFS(SAISIE!$E$5:$E$504,SAISIE!$B$5:$B$504,"*Vent G/D*",SAISIE!$F$5:$F$504,$G$113),SAISIE!$E$5:$E$504,0))),"-"))</f>
        <v/>
      </c>
      <c r="C115" s="6" t="str">
        <f>IF($G$113="","",IFERROR(IF(_xlfn.MINIFS(SAISIE!$E$5:$E$504,SAISIE!$B$5:$B$504,"*Vent G/D*",SAISIE!$F$5:$F$504,$G$113)&gt;=0,INDEX(SAISIE!$D$5:$D$504,MATCH(_xlfn.MAXIFS(SAISIE!$C$5:$C$504,SAISIE!$B$5:$B$504,"*Vent G/D*",SAISIE!$F$5:$F$504,$G$113),SAISIE!$C$5:$C$504,0)),INDEX(SAISIE!$D$5:$D$504,MATCH(_xlfn.MINIFS(SAISIE!$E$5:$E$504,SAISIE!$B$5:$B$504,"*Vent G/D*",SAISIE!$F$5:$F$504,$G$113),SAISIE!$E$5:$E$504,0))),"-"))</f>
        <v/>
      </c>
      <c r="D115" s="6" t="str">
        <f>IF($G$113="","",IFERROR(IF(_xlfn.MINIFS(SAISIE!$E$5:$E$504,SAISIE!$B$5:$B$504,"*Vent G/D*",SAISIE!$F$5:$F$504,$G$113)&gt;=0,0,_xlfn.MINIFS(SAISIE!$E$5:$E$504,SAISIE!$B$5:$B$504,"*Vent G/D*",SAISIE!$F$5:$F$504,$G$113)),"-"))</f>
        <v/>
      </c>
      <c r="E115" s="6" t="s">
        <v>51</v>
      </c>
    </row>
    <row r="116" spans="1:7" x14ac:dyDescent="0.25">
      <c r="A116" s="5" t="s">
        <v>52</v>
      </c>
      <c r="B116" s="6" t="str">
        <f>IF($G$113="","",IFERROR(INDEX(SAISIE!$C$5:$C$504,MATCH(_xlfn.MAXIFS(SAISIE!$E$5:$E$504,SAISIE!$B$5:$B$504,"*Vent G/D*",SAISIE!$F$5:$F$504,$G$113),SAISIE!$E$5:$E$504,0)),"-"))</f>
        <v/>
      </c>
      <c r="C116" s="6" t="str">
        <f>IF($G$113="","",IFERROR(INDEX(SAISIE!$D$5:$D$504,MATCH(_xlfn.MAXIFS(SAISIE!$E$5:$E$504,SAISIE!$B$5:$B$504,"*Vent G/D*",SAISIE!$F$5:$F$504,$G$113),SAISIE!$E$5:$E$504,0)),"-"))</f>
        <v/>
      </c>
      <c r="D116" s="6" t="str">
        <f>IF($G$113="","",IFERROR(_xlfn.MAXIFS(SAISIE!$E$5:$E$504,SAISIE!$B$5:$B$504,"*Vent G/D*",SAISIE!$F$5:$F$504,$G$113),"-"))</f>
        <v/>
      </c>
      <c r="E116" s="6" t="s">
        <v>53</v>
      </c>
    </row>
    <row r="117" spans="1:7" x14ac:dyDescent="0.25">
      <c r="A117" s="5" t="s">
        <v>54</v>
      </c>
      <c r="B117" s="6" t="str">
        <f>IF($G$113="","",IFERROR(IF(_xlfn.MINIFS(SAISIE!$E$5:$E$504,SAISIE!$B$5:$B$504,"*Vent D/G*",SAISIE!$F$5:$F$504,$G$113)&gt;=0,_xlfn.MAXIFS(SAISIE!$C$5:$C$504,SAISIE!$B$5:$B$504,"*Vent D/G*",SAISIE!$F$5:$F$504,$G$113),INDEX(SAISIE!$C$5:$C$504,MATCH(_xlfn.MINIFS(SAISIE!$E$5:$E$504,SAISIE!$B$5:$B$504,"*Vent D/G*",SAISIE!$F$5:$F$504,$G$113),SAISIE!$E$5:$E$504,0))),"-"))</f>
        <v/>
      </c>
      <c r="C117" s="6" t="str">
        <f>IF($G$113="","",IFERROR(IF(_xlfn.MINIFS(SAISIE!$E$5:$E$504,SAISIE!$B$5:$B$504,"*Vent D/G*",SAISIE!$F$5:$F$504,$G$113)&gt;=0,INDEX(SAISIE!$D$5:$D$504,MATCH(_xlfn.MAXIFS(SAISIE!$C$5:$C$504,SAISIE!$B$5:$B$504,"*Vent D/G*",SAISIE!$F$5:$F$504,$G$113),SAISIE!$C$5:$C$504,0)),INDEX(SAISIE!$D$5:$D$504,MATCH(_xlfn.MINIFS(SAISIE!$E$5:$E$504,SAISIE!$B$5:$B$504,"*Vent D/G*",SAISIE!$F$5:$F$504,$G$113),SAISIE!$E$5:$E$504,0))),"-"))</f>
        <v/>
      </c>
      <c r="D117" s="6" t="str">
        <f>IF($G$113="","",IFERROR(IF(_xlfn.MINIFS(SAISIE!$E$5:$E$504,SAISIE!$B$5:$B$504,"*Vent D/G*",SAISIE!$F$5:$F$504,$G$113)&gt;=0,0,_xlfn.MINIFS(SAISIE!$E$5:$E$504,SAISIE!$B$5:$B$504,"*Vent D/G*",SAISIE!$F$5:$F$504,$G$113)),"-"))</f>
        <v/>
      </c>
      <c r="E117" s="6" t="s">
        <v>51</v>
      </c>
    </row>
    <row r="118" spans="1:7" x14ac:dyDescent="0.25">
      <c r="A118" s="5" t="s">
        <v>55</v>
      </c>
      <c r="B118" s="6" t="str">
        <f>IF($G$113="","",IFERROR(INDEX(SAISIE!$C$5:$C$504,MATCH(_xlfn.MAXIFS(SAISIE!$E$5:$E$504,SAISIE!$B$5:$B$504,"*Vent D/G*",SAISIE!$F$5:$F$504,$G$113),SAISIE!$E$5:$E$504,0)),"-"))</f>
        <v/>
      </c>
      <c r="C118" s="6" t="str">
        <f>IF($G$113="","",IFERROR(INDEX(SAISIE!$D$5:$D$504,MATCH(_xlfn.MAXIFS(SAISIE!$E$5:$E$504,SAISIE!$B$5:$B$504,"*Vent D/G*",SAISIE!$F$5:$F$504,$G$113),SAISIE!$E$5:$E$504,0)),"-"))</f>
        <v/>
      </c>
      <c r="D118" s="6" t="str">
        <f>IF($G$113="","",IFERROR(_xlfn.MAXIFS(SAISIE!$E$5:$E$504,SAISIE!$B$5:$B$504,"*Vent D/G*",SAISIE!$F$5:$F$504,$G$113),"-"))</f>
        <v/>
      </c>
      <c r="E118" s="6" t="s">
        <v>53</v>
      </c>
    </row>
    <row r="119" spans="1:7" x14ac:dyDescent="0.25">
      <c r="A119" s="5" t="s">
        <v>56</v>
      </c>
      <c r="B119" s="6" t="str">
        <f>IF($G$113="","",IFERROR(IF(_xlfn.MINIFS(SAISIE!$E$5:$E$504,SAISIE!$B$5:$B$504,"*Vent Av./Arr.*",SAISIE!$F$5:$F$504,$G$113)&gt;=0,_xlfn.MAXIFS(SAISIE!$C$5:$C$504,SAISIE!$B$5:$B$504,"*Vent Av./Arr.*",SAISIE!$F$5:$F$504,$G$113),INDEX(SAISIE!$C$5:$C$504,MATCH(_xlfn.MINIFS(SAISIE!$E$5:$E$504,SAISIE!$B$5:$B$504,"*Vent Av./Arr.*",SAISIE!$F$5:$F$504,$G$113),SAISIE!$E$5:$E$504,0))),"-"))</f>
        <v/>
      </c>
      <c r="C119" s="6" t="str">
        <f>IF($G$113="","",IFERROR(IF(_xlfn.MINIFS(SAISIE!$E$5:$E$504,SAISIE!$B$5:$B$504,"*Vent Av./Arr.*",SAISIE!$F$5:$F$504,$G$113)&gt;=0,INDEX(SAISIE!$D$5:$D$504,MATCH(_xlfn.MAXIFS(SAISIE!$C$5:$C$504,SAISIE!$B$5:$B$504,"*Vent Av./Arr.*",SAISIE!$F$5:$F$504,$G$113),SAISIE!$C$5:$C$504,0)),INDEX(SAISIE!$D$5:$D$504,MATCH(_xlfn.MINIFS(SAISIE!$E$5:$E$504,SAISIE!$B$5:$B$504,"*Vent Av./Arr.*",SAISIE!$F$5:$F$504,$G$113),SAISIE!$E$5:$E$504,0))),"-"))</f>
        <v/>
      </c>
      <c r="D119" s="6" t="str">
        <f>IF($G$113="","",IFERROR(IF(_xlfn.MINIFS(SAISIE!$E$5:$E$504,SAISIE!$B$5:$B$504,"*Vent Av./Arr.*",SAISIE!$F$5:$F$504,$G$113)&gt;=0,0,_xlfn.MINIFS(SAISIE!$E$5:$E$504,SAISIE!$B$5:$B$504,"*Vent Av./Arr.*",SAISIE!$F$5:$F$504,$G$113)),"-"))</f>
        <v/>
      </c>
      <c r="E119" s="6" t="s">
        <v>51</v>
      </c>
    </row>
    <row r="120" spans="1:7" x14ac:dyDescent="0.25">
      <c r="A120" s="5" t="s">
        <v>57</v>
      </c>
      <c r="B120" s="6" t="str">
        <f>IF($G$113="","",IFERROR(INDEX(SAISIE!$C$5:$C$504,MATCH(_xlfn.MAXIFS(SAISIE!$E$5:$E$504,SAISIE!$B$5:$B$504,"*Vent Av./Arr.*",SAISIE!$F$5:$F$504,$G$113),SAISIE!$E$5:$E$504,0)),"-"))</f>
        <v/>
      </c>
      <c r="C120" s="6" t="str">
        <f>IF($G$113="","",IFERROR(INDEX(SAISIE!$D$5:$D$504,MATCH(_xlfn.MAXIFS(SAISIE!$E$5:$E$504,SAISIE!$B$5:$B$504,"*Vent Av./Arr.*",SAISIE!$F$5:$F$504,$G$113),SAISIE!$E$5:$E$504,0)),"-"))</f>
        <v/>
      </c>
      <c r="D120" s="6" t="str">
        <f>IF($G$113="","",IFERROR(_xlfn.MAXIFS(SAISIE!$E$5:$E$504,SAISIE!$B$5:$B$504,"*Vent Av./Arr.*",SAISIE!$F$5:$F$504,$G$113),"-"))</f>
        <v/>
      </c>
      <c r="E120" s="6" t="s">
        <v>53</v>
      </c>
    </row>
    <row r="121" spans="1:7" x14ac:dyDescent="0.25">
      <c r="A121" s="5" t="s">
        <v>58</v>
      </c>
      <c r="B121" s="6" t="str">
        <f>IF($G$113="","",IFERROR(IF(_xlfn.MINIFS(SAISIE!$E$5:$E$504,SAISIE!$B$5:$B$504,"*Vent Arr./Av.*",SAISIE!$F$5:$F$504,$G$113)&gt;=0,_xlfn.MAXIFS(SAISIE!$C$5:$C$504,SAISIE!$B$5:$B$504,"*Vent Arr./Av.*",SAISIE!$F$5:$F$504,$G$113),INDEX(SAISIE!$C$5:$C$504,MATCH(_xlfn.MINIFS(SAISIE!$E$5:$E$504,SAISIE!$B$5:$B$504,"*Vent Arr./Av.*",SAISIE!$F$5:$F$504,$G$113),SAISIE!$E$5:$E$504,0))),"-"))</f>
        <v/>
      </c>
      <c r="C121" s="6" t="str">
        <f>IF($G$113="","",IFERROR(IF(_xlfn.MINIFS(SAISIE!$E$5:$E$504,SAISIE!$B$5:$B$504,"*Vent Arr./Av.*",SAISIE!$F$5:$F$504,$G$113)&gt;=0,INDEX(SAISIE!$D$5:$D$504,MATCH(_xlfn.MAXIFS(SAISIE!$C$5:$C$504,SAISIE!$B$5:$B$504,"*Vent Arr./Av.*",SAISIE!$F$5:$F$504,$G$113),SAISIE!$C$5:$C$504,0)),INDEX(SAISIE!$D$5:$D$504,MATCH(_xlfn.MINIFS(SAISIE!$E$5:$E$504,SAISIE!$B$5:$B$504,"*Vent Arr./Av.*",SAISIE!$F$5:$F$504,$G$113),SAISIE!$E$5:$E$504,0))),"-"))</f>
        <v/>
      </c>
      <c r="D121" s="6" t="str">
        <f>IF($G$113="","",IFERROR(IF(_xlfn.MINIFS(SAISIE!$E$5:$E$504,SAISIE!$B$5:$B$504,"*Vent Arr./Av.*",SAISIE!$F$5:$F$504,$G$113)&gt;=0,0,_xlfn.MINIFS(SAISIE!$E$5:$E$504,SAISIE!$B$5:$B$504,"*Vent Arr./Av.*",SAISIE!$F$5:$F$504,$G$113)),"-"))</f>
        <v/>
      </c>
      <c r="E121" s="6" t="s">
        <v>51</v>
      </c>
    </row>
    <row r="122" spans="1:7" x14ac:dyDescent="0.25">
      <c r="A122" s="5" t="s">
        <v>59</v>
      </c>
      <c r="B122" s="6" t="str">
        <f>IF($G$113="","",IFERROR(INDEX(SAISIE!$C$5:$C$504,MATCH(_xlfn.MAXIFS(SAISIE!$E$5:$E$504,SAISIE!$B$5:$B$504,"*Vent Arr./Av.*",SAISIE!$F$5:$F$504,$G$113),SAISIE!$E$5:$E$504,0)),"-"))</f>
        <v/>
      </c>
      <c r="C122" s="6" t="str">
        <f>IF($G$113="","",IFERROR(INDEX(SAISIE!$D$5:$D$504,MATCH(_xlfn.MAXIFS(SAISIE!$E$5:$E$504,SAISIE!$B$5:$B$504,"*Vent Arr./Av.*",SAISIE!$F$5:$F$504,$G$113),SAISIE!$E$5:$E$504,0)),"-"))</f>
        <v/>
      </c>
      <c r="D122" s="6" t="str">
        <f>IF($G$113="","",IFERROR(_xlfn.MAXIFS(SAISIE!$E$5:$E$504,SAISIE!$B$5:$B$504,"*Vent Arr./Av.*",SAISIE!$F$5:$F$504,$G$113),"-"))</f>
        <v/>
      </c>
      <c r="E122" s="6" t="s">
        <v>53</v>
      </c>
    </row>
    <row r="123" spans="1:7" x14ac:dyDescent="0.25">
      <c r="A123" s="5" t="s">
        <v>60</v>
      </c>
      <c r="B123" s="6" t="str">
        <f>IF($G$113="","",IFERROR(INDEX(SAISIE!$C$5:$C$504,MATCH(_xlfn.MINIFS(SAISIE!$E$5:$E$504,SAISIE!$B$5:$B$504,"*Neige*",SAISIE!$B$5:$B$504,"&lt;&gt;*accidentel*",SAISIE!$F$5:$F$504,$G$113),SAISIE!$E$5:$E$504,0)),"-"))</f>
        <v/>
      </c>
      <c r="C123" s="6" t="str">
        <f>IF($G$113="","",IFERROR(INDEX(SAISIE!$D$5:$D$504,MATCH(_xlfn.MINIFS(SAISIE!$E$5:$E$504,SAISIE!$B$5:$B$504,"*Neige*",SAISIE!$B$5:$B$504,"&lt;&gt;*accidentel*",SAISIE!$F$5:$F$504,$G$113),SAISIE!$E$5:$E$504,0)),"-"))</f>
        <v/>
      </c>
      <c r="D123" s="6" t="str">
        <f>IF($G$113="","",IFERROR(INDEX(SAISIE!$E$5:$E$504,MATCH(_xlfn.MINIFS(SAISIE!$E$5:$E$504,SAISIE!$B$5:$B$504,"*Neige*",SAISIE!$B$5:$B$504,"&lt;&gt;*accidentel*",SAISIE!$F$5:$F$504,$G$113),SAISIE!$E$5:$E$504,0)),"-"))</f>
        <v/>
      </c>
      <c r="E123" s="6"/>
    </row>
    <row r="124" spans="1:7" x14ac:dyDescent="0.25">
      <c r="A124" s="5" t="s">
        <v>61</v>
      </c>
      <c r="B124" s="6" t="str">
        <f>IF($G$113="","",IFERROR(LOOKUP(2,1/((SAISIE!$F$5:$F$504=$G$113)*(ISNUMBER(SEARCH("accidentel",SAISIE!$B$5:$B$504)))),SAISIE!$C$5:$C$504),"-"))</f>
        <v/>
      </c>
      <c r="C124" s="6" t="str">
        <f>IF($G$113="","",IFERROR(LOOKUP(2,1/((SAISIE!$F$5:$F$504=$G$113)*(ISNUMBER(SEARCH("accidentel",SAISIE!$B$5:$B$504)))),SAISIE!$D$5:$D$504),"-"))</f>
        <v/>
      </c>
      <c r="D124" s="6" t="str">
        <f>IF($G$113="","",IFERROR(LOOKUP(2,1/((SAISIE!$F$5:$F$504=$G$113)*(ISNUMBER(SEARCH("accidentel",SAISIE!$B$5:$B$504)))),SAISIE!$E$5:$E$504),"-"))</f>
        <v/>
      </c>
      <c r="E124" s="6"/>
    </row>
    <row r="125" spans="1:7" ht="15.75" x14ac:dyDescent="0.25">
      <c r="A125" s="9" t="str">
        <f>IF($G$125="","","Noeud "&amp;$G$125)</f>
        <v/>
      </c>
      <c r="B125" s="10"/>
      <c r="C125" s="10"/>
      <c r="D125" s="10"/>
      <c r="E125" s="10"/>
      <c r="G125" t="str">
        <f>IFERROR(INDEX(SAISIE!$F$5:$F$504,_xlfn.AGGREGATE(15,6,ROW(SAISIE!$F$5:$F$504)-ROW(SAISIE!$F$5)+1/(SAISIE!$F$5:$F$504&lt;&gt;"")/(COUNTIF($G$4:G124,SAISIE!$F$5:$F$504)=0),1)),"")</f>
        <v/>
      </c>
    </row>
    <row r="126" spans="1:7" x14ac:dyDescent="0.25">
      <c r="A126" s="5" t="s">
        <v>49</v>
      </c>
      <c r="B126" s="6" t="str">
        <f>IF($G$125="","",IFERROR(IFERROR(LOOKUP(2,1/((SAISIE!$F$5:$F$504=$G$125)*(LEFT(SAISIE!$B$5:$B$504,2)="G ")),SAISIE!$C$5:$C$504),LOOKUP(2,1/((SAISIE!$F$5:$F$504=$G$125)*(ISNUMBER(SEARCH("Couverture",SAISIE!$B$5:$B$504)))),SAISIE!$C$5:$C$504)),"-"))</f>
        <v/>
      </c>
      <c r="C126" s="6" t="str">
        <f>IF($G$125="","",IFERROR(IFERROR(LOOKUP(2,1/((SAISIE!$F$5:$F$504=$G$125)*(LEFT(SAISIE!$B$5:$B$504,2)="G ")),SAISIE!$D$5:$D$504),LOOKUP(2,1/((SAISIE!$F$5:$F$504=$G$125)*(ISNUMBER(SEARCH("Couverture",SAISIE!$B$5:$B$504)))),SAISIE!$D$5:$D$504)),"-"))</f>
        <v/>
      </c>
      <c r="D126" s="6" t="str">
        <f>IF($G$125="","",IFERROR(IFERROR(LOOKUP(2,1/((SAISIE!$F$5:$F$504=$G$125)*(LEFT(SAISIE!$B$5:$B$504,2)="G ")),SAISIE!$E$5:$E$504),LOOKUP(2,1/((SAISIE!$F$5:$F$504=$G$125)*(ISNUMBER(SEARCH("Couverture",SAISIE!$B$5:$B$504)))),SAISIE!$E$5:$E$504)),"-"))</f>
        <v/>
      </c>
      <c r="E126" s="6"/>
    </row>
    <row r="127" spans="1:7" x14ac:dyDescent="0.25">
      <c r="A127" s="5" t="s">
        <v>50</v>
      </c>
      <c r="B127" s="6" t="str">
        <f>IF($G$125="","",IFERROR(IF(_xlfn.MINIFS(SAISIE!$E$5:$E$504,SAISIE!$B$5:$B$504,"*Vent G/D*",SAISIE!$F$5:$F$504,$G$125)&gt;=0,_xlfn.MAXIFS(SAISIE!$C$5:$C$504,SAISIE!$B$5:$B$504,"*Vent G/D*",SAISIE!$F$5:$F$504,$G$125),INDEX(SAISIE!$C$5:$C$504,MATCH(_xlfn.MINIFS(SAISIE!$E$5:$E$504,SAISIE!$B$5:$B$504,"*Vent G/D*",SAISIE!$F$5:$F$504,$G$125),SAISIE!$E$5:$E$504,0))),"-"))</f>
        <v/>
      </c>
      <c r="C127" s="6" t="str">
        <f>IF($G$125="","",IFERROR(IF(_xlfn.MINIFS(SAISIE!$E$5:$E$504,SAISIE!$B$5:$B$504,"*Vent G/D*",SAISIE!$F$5:$F$504,$G$125)&gt;=0,INDEX(SAISIE!$D$5:$D$504,MATCH(_xlfn.MAXIFS(SAISIE!$C$5:$C$504,SAISIE!$B$5:$B$504,"*Vent G/D*",SAISIE!$F$5:$F$504,$G$125),SAISIE!$C$5:$C$504,0)),INDEX(SAISIE!$D$5:$D$504,MATCH(_xlfn.MINIFS(SAISIE!$E$5:$E$504,SAISIE!$B$5:$B$504,"*Vent G/D*",SAISIE!$F$5:$F$504,$G$125),SAISIE!$E$5:$E$504,0))),"-"))</f>
        <v/>
      </c>
      <c r="D127" s="6" t="str">
        <f>IF($G$125="","",IFERROR(IF(_xlfn.MINIFS(SAISIE!$E$5:$E$504,SAISIE!$B$5:$B$504,"*Vent G/D*",SAISIE!$F$5:$F$504,$G$125)&gt;=0,0,_xlfn.MINIFS(SAISIE!$E$5:$E$504,SAISIE!$B$5:$B$504,"*Vent G/D*",SAISIE!$F$5:$F$504,$G$125)),"-"))</f>
        <v/>
      </c>
      <c r="E127" s="6" t="s">
        <v>51</v>
      </c>
    </row>
    <row r="128" spans="1:7" x14ac:dyDescent="0.25">
      <c r="A128" s="5" t="s">
        <v>52</v>
      </c>
      <c r="B128" s="6" t="str">
        <f>IF($G$125="","",IFERROR(INDEX(SAISIE!$C$5:$C$504,MATCH(_xlfn.MAXIFS(SAISIE!$E$5:$E$504,SAISIE!$B$5:$B$504,"*Vent G/D*",SAISIE!$F$5:$F$504,$G$125),SAISIE!$E$5:$E$504,0)),"-"))</f>
        <v/>
      </c>
      <c r="C128" s="6" t="str">
        <f>IF($G$125="","",IFERROR(INDEX(SAISIE!$D$5:$D$504,MATCH(_xlfn.MAXIFS(SAISIE!$E$5:$E$504,SAISIE!$B$5:$B$504,"*Vent G/D*",SAISIE!$F$5:$F$504,$G$125),SAISIE!$E$5:$E$504,0)),"-"))</f>
        <v/>
      </c>
      <c r="D128" s="6" t="str">
        <f>IF($G$125="","",IFERROR(_xlfn.MAXIFS(SAISIE!$E$5:$E$504,SAISIE!$B$5:$B$504,"*Vent G/D*",SAISIE!$F$5:$F$504,$G$125),"-"))</f>
        <v/>
      </c>
      <c r="E128" s="6" t="s">
        <v>53</v>
      </c>
    </row>
    <row r="129" spans="1:7" x14ac:dyDescent="0.25">
      <c r="A129" s="5" t="s">
        <v>54</v>
      </c>
      <c r="B129" s="6" t="str">
        <f>IF($G$125="","",IFERROR(IF(_xlfn.MINIFS(SAISIE!$E$5:$E$504,SAISIE!$B$5:$B$504,"*Vent D/G*",SAISIE!$F$5:$F$504,$G$125)&gt;=0,_xlfn.MAXIFS(SAISIE!$C$5:$C$504,SAISIE!$B$5:$B$504,"*Vent D/G*",SAISIE!$F$5:$F$504,$G$125),INDEX(SAISIE!$C$5:$C$504,MATCH(_xlfn.MINIFS(SAISIE!$E$5:$E$504,SAISIE!$B$5:$B$504,"*Vent D/G*",SAISIE!$F$5:$F$504,$G$125),SAISIE!$E$5:$E$504,0))),"-"))</f>
        <v/>
      </c>
      <c r="C129" s="6" t="str">
        <f>IF($G$125="","",IFERROR(IF(_xlfn.MINIFS(SAISIE!$E$5:$E$504,SAISIE!$B$5:$B$504,"*Vent D/G*",SAISIE!$F$5:$F$504,$G$125)&gt;=0,INDEX(SAISIE!$D$5:$D$504,MATCH(_xlfn.MAXIFS(SAISIE!$C$5:$C$504,SAISIE!$B$5:$B$504,"*Vent D/G*",SAISIE!$F$5:$F$504,$G$125),SAISIE!$C$5:$C$504,0)),INDEX(SAISIE!$D$5:$D$504,MATCH(_xlfn.MINIFS(SAISIE!$E$5:$E$504,SAISIE!$B$5:$B$504,"*Vent D/G*",SAISIE!$F$5:$F$504,$G$125),SAISIE!$E$5:$E$504,0))),"-"))</f>
        <v/>
      </c>
      <c r="D129" s="6" t="str">
        <f>IF($G$125="","",IFERROR(IF(_xlfn.MINIFS(SAISIE!$E$5:$E$504,SAISIE!$B$5:$B$504,"*Vent D/G*",SAISIE!$F$5:$F$504,$G$125)&gt;=0,0,_xlfn.MINIFS(SAISIE!$E$5:$E$504,SAISIE!$B$5:$B$504,"*Vent D/G*",SAISIE!$F$5:$F$504,$G$125)),"-"))</f>
        <v/>
      </c>
      <c r="E129" s="6" t="s">
        <v>51</v>
      </c>
    </row>
    <row r="130" spans="1:7" x14ac:dyDescent="0.25">
      <c r="A130" s="5" t="s">
        <v>55</v>
      </c>
      <c r="B130" s="6" t="str">
        <f>IF($G$125="","",IFERROR(INDEX(SAISIE!$C$5:$C$504,MATCH(_xlfn.MAXIFS(SAISIE!$E$5:$E$504,SAISIE!$B$5:$B$504,"*Vent D/G*",SAISIE!$F$5:$F$504,$G$125),SAISIE!$E$5:$E$504,0)),"-"))</f>
        <v/>
      </c>
      <c r="C130" s="6" t="str">
        <f>IF($G$125="","",IFERROR(INDEX(SAISIE!$D$5:$D$504,MATCH(_xlfn.MAXIFS(SAISIE!$E$5:$E$504,SAISIE!$B$5:$B$504,"*Vent D/G*",SAISIE!$F$5:$F$504,$G$125),SAISIE!$E$5:$E$504,0)),"-"))</f>
        <v/>
      </c>
      <c r="D130" s="6" t="str">
        <f>IF($G$125="","",IFERROR(_xlfn.MAXIFS(SAISIE!$E$5:$E$504,SAISIE!$B$5:$B$504,"*Vent D/G*",SAISIE!$F$5:$F$504,$G$125),"-"))</f>
        <v/>
      </c>
      <c r="E130" s="6" t="s">
        <v>53</v>
      </c>
    </row>
    <row r="131" spans="1:7" x14ac:dyDescent="0.25">
      <c r="A131" s="5" t="s">
        <v>56</v>
      </c>
      <c r="B131" s="6" t="str">
        <f>IF($G$125="","",IFERROR(IF(_xlfn.MINIFS(SAISIE!$E$5:$E$504,SAISIE!$B$5:$B$504,"*Vent Av./Arr.*",SAISIE!$F$5:$F$504,$G$125)&gt;=0,_xlfn.MAXIFS(SAISIE!$C$5:$C$504,SAISIE!$B$5:$B$504,"*Vent Av./Arr.*",SAISIE!$F$5:$F$504,$G$125),INDEX(SAISIE!$C$5:$C$504,MATCH(_xlfn.MINIFS(SAISIE!$E$5:$E$504,SAISIE!$B$5:$B$504,"*Vent Av./Arr.*",SAISIE!$F$5:$F$504,$G$125),SAISIE!$E$5:$E$504,0))),"-"))</f>
        <v/>
      </c>
      <c r="C131" s="6" t="str">
        <f>IF($G$125="","",IFERROR(IF(_xlfn.MINIFS(SAISIE!$E$5:$E$504,SAISIE!$B$5:$B$504,"*Vent Av./Arr.*",SAISIE!$F$5:$F$504,$G$125)&gt;=0,INDEX(SAISIE!$D$5:$D$504,MATCH(_xlfn.MAXIFS(SAISIE!$C$5:$C$504,SAISIE!$B$5:$B$504,"*Vent Av./Arr.*",SAISIE!$F$5:$F$504,$G$125),SAISIE!$C$5:$C$504,0)),INDEX(SAISIE!$D$5:$D$504,MATCH(_xlfn.MINIFS(SAISIE!$E$5:$E$504,SAISIE!$B$5:$B$504,"*Vent Av./Arr.*",SAISIE!$F$5:$F$504,$G$125),SAISIE!$E$5:$E$504,0))),"-"))</f>
        <v/>
      </c>
      <c r="D131" s="6" t="str">
        <f>IF($G$125="","",IFERROR(IF(_xlfn.MINIFS(SAISIE!$E$5:$E$504,SAISIE!$B$5:$B$504,"*Vent Av./Arr.*",SAISIE!$F$5:$F$504,$G$125)&gt;=0,0,_xlfn.MINIFS(SAISIE!$E$5:$E$504,SAISIE!$B$5:$B$504,"*Vent Av./Arr.*",SAISIE!$F$5:$F$504,$G$125)),"-"))</f>
        <v/>
      </c>
      <c r="E131" s="6" t="s">
        <v>51</v>
      </c>
    </row>
    <row r="132" spans="1:7" x14ac:dyDescent="0.25">
      <c r="A132" s="5" t="s">
        <v>57</v>
      </c>
      <c r="B132" s="6" t="str">
        <f>IF($G$125="","",IFERROR(INDEX(SAISIE!$C$5:$C$504,MATCH(_xlfn.MAXIFS(SAISIE!$E$5:$E$504,SAISIE!$B$5:$B$504,"*Vent Av./Arr.*",SAISIE!$F$5:$F$504,$G$125),SAISIE!$E$5:$E$504,0)),"-"))</f>
        <v/>
      </c>
      <c r="C132" s="6" t="str">
        <f>IF($G$125="","",IFERROR(INDEX(SAISIE!$D$5:$D$504,MATCH(_xlfn.MAXIFS(SAISIE!$E$5:$E$504,SAISIE!$B$5:$B$504,"*Vent Av./Arr.*",SAISIE!$F$5:$F$504,$G$125),SAISIE!$E$5:$E$504,0)),"-"))</f>
        <v/>
      </c>
      <c r="D132" s="6" t="str">
        <f>IF($G$125="","",IFERROR(_xlfn.MAXIFS(SAISIE!$E$5:$E$504,SAISIE!$B$5:$B$504,"*Vent Av./Arr.*",SAISIE!$F$5:$F$504,$G$125),"-"))</f>
        <v/>
      </c>
      <c r="E132" s="6" t="s">
        <v>53</v>
      </c>
    </row>
    <row r="133" spans="1:7" x14ac:dyDescent="0.25">
      <c r="A133" s="5" t="s">
        <v>58</v>
      </c>
      <c r="B133" s="6" t="str">
        <f>IF($G$125="","",IFERROR(IF(_xlfn.MINIFS(SAISIE!$E$5:$E$504,SAISIE!$B$5:$B$504,"*Vent Arr./Av.*",SAISIE!$F$5:$F$504,$G$125)&gt;=0,_xlfn.MAXIFS(SAISIE!$C$5:$C$504,SAISIE!$B$5:$B$504,"*Vent Arr./Av.*",SAISIE!$F$5:$F$504,$G$125),INDEX(SAISIE!$C$5:$C$504,MATCH(_xlfn.MINIFS(SAISIE!$E$5:$E$504,SAISIE!$B$5:$B$504,"*Vent Arr./Av.*",SAISIE!$F$5:$F$504,$G$125),SAISIE!$E$5:$E$504,0))),"-"))</f>
        <v/>
      </c>
      <c r="C133" s="6" t="str">
        <f>IF($G$125="","",IFERROR(IF(_xlfn.MINIFS(SAISIE!$E$5:$E$504,SAISIE!$B$5:$B$504,"*Vent Arr./Av.*",SAISIE!$F$5:$F$504,$G$125)&gt;=0,INDEX(SAISIE!$D$5:$D$504,MATCH(_xlfn.MAXIFS(SAISIE!$C$5:$C$504,SAISIE!$B$5:$B$504,"*Vent Arr./Av.*",SAISIE!$F$5:$F$504,$G$125),SAISIE!$C$5:$C$504,0)),INDEX(SAISIE!$D$5:$D$504,MATCH(_xlfn.MINIFS(SAISIE!$E$5:$E$504,SAISIE!$B$5:$B$504,"*Vent Arr./Av.*",SAISIE!$F$5:$F$504,$G$125),SAISIE!$E$5:$E$504,0))),"-"))</f>
        <v/>
      </c>
      <c r="D133" s="6" t="str">
        <f>IF($G$125="","",IFERROR(IF(_xlfn.MINIFS(SAISIE!$E$5:$E$504,SAISIE!$B$5:$B$504,"*Vent Arr./Av.*",SAISIE!$F$5:$F$504,$G$125)&gt;=0,0,_xlfn.MINIFS(SAISIE!$E$5:$E$504,SAISIE!$B$5:$B$504,"*Vent Arr./Av.*",SAISIE!$F$5:$F$504,$G$125)),"-"))</f>
        <v/>
      </c>
      <c r="E133" s="6" t="s">
        <v>51</v>
      </c>
    </row>
    <row r="134" spans="1:7" x14ac:dyDescent="0.25">
      <c r="A134" s="5" t="s">
        <v>59</v>
      </c>
      <c r="B134" s="6" t="str">
        <f>IF($G$125="","",IFERROR(INDEX(SAISIE!$C$5:$C$504,MATCH(_xlfn.MAXIFS(SAISIE!$E$5:$E$504,SAISIE!$B$5:$B$504,"*Vent Arr./Av.*",SAISIE!$F$5:$F$504,$G$125),SAISIE!$E$5:$E$504,0)),"-"))</f>
        <v/>
      </c>
      <c r="C134" s="6" t="str">
        <f>IF($G$125="","",IFERROR(INDEX(SAISIE!$D$5:$D$504,MATCH(_xlfn.MAXIFS(SAISIE!$E$5:$E$504,SAISIE!$B$5:$B$504,"*Vent Arr./Av.*",SAISIE!$F$5:$F$504,$G$125),SAISIE!$E$5:$E$504,0)),"-"))</f>
        <v/>
      </c>
      <c r="D134" s="6" t="str">
        <f>IF($G$125="","",IFERROR(_xlfn.MAXIFS(SAISIE!$E$5:$E$504,SAISIE!$B$5:$B$504,"*Vent Arr./Av.*",SAISIE!$F$5:$F$504,$G$125),"-"))</f>
        <v/>
      </c>
      <c r="E134" s="6" t="s">
        <v>53</v>
      </c>
    </row>
    <row r="135" spans="1:7" x14ac:dyDescent="0.25">
      <c r="A135" s="5" t="s">
        <v>60</v>
      </c>
      <c r="B135" s="6" t="str">
        <f>IF($G$125="","",IFERROR(INDEX(SAISIE!$C$5:$C$504,MATCH(_xlfn.MINIFS(SAISIE!$E$5:$E$504,SAISIE!$B$5:$B$504,"*Neige*",SAISIE!$B$5:$B$504,"&lt;&gt;*accidentel*",SAISIE!$F$5:$F$504,$G$125),SAISIE!$E$5:$E$504,0)),"-"))</f>
        <v/>
      </c>
      <c r="C135" s="6" t="str">
        <f>IF($G$125="","",IFERROR(INDEX(SAISIE!$D$5:$D$504,MATCH(_xlfn.MINIFS(SAISIE!$E$5:$E$504,SAISIE!$B$5:$B$504,"*Neige*",SAISIE!$B$5:$B$504,"&lt;&gt;*accidentel*",SAISIE!$F$5:$F$504,$G$125),SAISIE!$E$5:$E$504,0)),"-"))</f>
        <v/>
      </c>
      <c r="D135" s="6" t="str">
        <f>IF($G$125="","",IFERROR(INDEX(SAISIE!$E$5:$E$504,MATCH(_xlfn.MINIFS(SAISIE!$E$5:$E$504,SAISIE!$B$5:$B$504,"*Neige*",SAISIE!$B$5:$B$504,"&lt;&gt;*accidentel*",SAISIE!$F$5:$F$504,$G$125),SAISIE!$E$5:$E$504,0)),"-"))</f>
        <v/>
      </c>
      <c r="E135" s="6"/>
    </row>
    <row r="136" spans="1:7" x14ac:dyDescent="0.25">
      <c r="A136" s="5" t="s">
        <v>61</v>
      </c>
      <c r="B136" s="6" t="str">
        <f>IF($G$125="","",IFERROR(LOOKUP(2,1/((SAISIE!$F$5:$F$504=$G$125)*(ISNUMBER(SEARCH("accidentel",SAISIE!$B$5:$B$504)))),SAISIE!$C$5:$C$504),"-"))</f>
        <v/>
      </c>
      <c r="C136" s="6" t="str">
        <f>IF($G$125="","",IFERROR(LOOKUP(2,1/((SAISIE!$F$5:$F$504=$G$125)*(ISNUMBER(SEARCH("accidentel",SAISIE!$B$5:$B$504)))),SAISIE!$D$5:$D$504),"-"))</f>
        <v/>
      </c>
      <c r="D136" s="6" t="str">
        <f>IF($G$125="","",IFERROR(LOOKUP(2,1/((SAISIE!$F$5:$F$504=$G$125)*(ISNUMBER(SEARCH("accidentel",SAISIE!$B$5:$B$504)))),SAISIE!$E$5:$E$504),"-"))</f>
        <v/>
      </c>
      <c r="E136" s="6"/>
    </row>
    <row r="137" spans="1:7" ht="15.75" x14ac:dyDescent="0.25">
      <c r="A137" s="9" t="str">
        <f>IF($G$137="","","Noeud "&amp;$G$137)</f>
        <v/>
      </c>
      <c r="B137" s="10"/>
      <c r="C137" s="10"/>
      <c r="D137" s="10"/>
      <c r="E137" s="10"/>
      <c r="G137" t="str">
        <f>IFERROR(INDEX(SAISIE!$F$5:$F$504,_xlfn.AGGREGATE(15,6,ROW(SAISIE!$F$5:$F$504)-ROW(SAISIE!$F$5)+1/(SAISIE!$F$5:$F$504&lt;&gt;"")/(COUNTIF($G$4:G136,SAISIE!$F$5:$F$504)=0),1)),"")</f>
        <v/>
      </c>
    </row>
    <row r="138" spans="1:7" x14ac:dyDescent="0.25">
      <c r="A138" s="5" t="s">
        <v>49</v>
      </c>
      <c r="B138" s="6" t="str">
        <f>IF($G$137="","",IFERROR(IFERROR(LOOKUP(2,1/((SAISIE!$F$5:$F$504=$G$137)*(LEFT(SAISIE!$B$5:$B$504,2)="G ")),SAISIE!$C$5:$C$504),LOOKUP(2,1/((SAISIE!$F$5:$F$504=$G$137)*(ISNUMBER(SEARCH("Couverture",SAISIE!$B$5:$B$504)))),SAISIE!$C$5:$C$504)),"-"))</f>
        <v/>
      </c>
      <c r="C138" s="6" t="str">
        <f>IF($G$137="","",IFERROR(IFERROR(LOOKUP(2,1/((SAISIE!$F$5:$F$504=$G$137)*(LEFT(SAISIE!$B$5:$B$504,2)="G ")),SAISIE!$D$5:$D$504),LOOKUP(2,1/((SAISIE!$F$5:$F$504=$G$137)*(ISNUMBER(SEARCH("Couverture",SAISIE!$B$5:$B$504)))),SAISIE!$D$5:$D$504)),"-"))</f>
        <v/>
      </c>
      <c r="D138" s="6" t="str">
        <f>IF($G$137="","",IFERROR(IFERROR(LOOKUP(2,1/((SAISIE!$F$5:$F$504=$G$137)*(LEFT(SAISIE!$B$5:$B$504,2)="G ")),SAISIE!$E$5:$E$504),LOOKUP(2,1/((SAISIE!$F$5:$F$504=$G$137)*(ISNUMBER(SEARCH("Couverture",SAISIE!$B$5:$B$504)))),SAISIE!$E$5:$E$504)),"-"))</f>
        <v/>
      </c>
      <c r="E138" s="6"/>
    </row>
    <row r="139" spans="1:7" x14ac:dyDescent="0.25">
      <c r="A139" s="5" t="s">
        <v>50</v>
      </c>
      <c r="B139" s="6" t="str">
        <f>IF($G$137="","",IFERROR(IF(_xlfn.MINIFS(SAISIE!$E$5:$E$504,SAISIE!$B$5:$B$504,"*Vent G/D*",SAISIE!$F$5:$F$504,$G$137)&gt;=0,_xlfn.MAXIFS(SAISIE!$C$5:$C$504,SAISIE!$B$5:$B$504,"*Vent G/D*",SAISIE!$F$5:$F$504,$G$137),INDEX(SAISIE!$C$5:$C$504,MATCH(_xlfn.MINIFS(SAISIE!$E$5:$E$504,SAISIE!$B$5:$B$504,"*Vent G/D*",SAISIE!$F$5:$F$504,$G$137),SAISIE!$E$5:$E$504,0))),"-"))</f>
        <v/>
      </c>
      <c r="C139" s="6" t="str">
        <f>IF($G$137="","",IFERROR(IF(_xlfn.MINIFS(SAISIE!$E$5:$E$504,SAISIE!$B$5:$B$504,"*Vent G/D*",SAISIE!$F$5:$F$504,$G$137)&gt;=0,INDEX(SAISIE!$D$5:$D$504,MATCH(_xlfn.MAXIFS(SAISIE!$C$5:$C$504,SAISIE!$B$5:$B$504,"*Vent G/D*",SAISIE!$F$5:$F$504,$G$137),SAISIE!$C$5:$C$504,0)),INDEX(SAISIE!$D$5:$D$504,MATCH(_xlfn.MINIFS(SAISIE!$E$5:$E$504,SAISIE!$B$5:$B$504,"*Vent G/D*",SAISIE!$F$5:$F$504,$G$137),SAISIE!$E$5:$E$504,0))),"-"))</f>
        <v/>
      </c>
      <c r="D139" s="6" t="str">
        <f>IF($G$137="","",IFERROR(IF(_xlfn.MINIFS(SAISIE!$E$5:$E$504,SAISIE!$B$5:$B$504,"*Vent G/D*",SAISIE!$F$5:$F$504,$G$137)&gt;=0,0,_xlfn.MINIFS(SAISIE!$E$5:$E$504,SAISIE!$B$5:$B$504,"*Vent G/D*",SAISIE!$F$5:$F$504,$G$137)),"-"))</f>
        <v/>
      </c>
      <c r="E139" s="6" t="s">
        <v>51</v>
      </c>
    </row>
    <row r="140" spans="1:7" x14ac:dyDescent="0.25">
      <c r="A140" s="5" t="s">
        <v>52</v>
      </c>
      <c r="B140" s="6" t="str">
        <f>IF($G$137="","",IFERROR(INDEX(SAISIE!$C$5:$C$504,MATCH(_xlfn.MAXIFS(SAISIE!$E$5:$E$504,SAISIE!$B$5:$B$504,"*Vent G/D*",SAISIE!$F$5:$F$504,$G$137),SAISIE!$E$5:$E$504,0)),"-"))</f>
        <v/>
      </c>
      <c r="C140" s="6" t="str">
        <f>IF($G$137="","",IFERROR(INDEX(SAISIE!$D$5:$D$504,MATCH(_xlfn.MAXIFS(SAISIE!$E$5:$E$504,SAISIE!$B$5:$B$504,"*Vent G/D*",SAISIE!$F$5:$F$504,$G$137),SAISIE!$E$5:$E$504,0)),"-"))</f>
        <v/>
      </c>
      <c r="D140" s="6" t="str">
        <f>IF($G$137="","",IFERROR(_xlfn.MAXIFS(SAISIE!$E$5:$E$504,SAISIE!$B$5:$B$504,"*Vent G/D*",SAISIE!$F$5:$F$504,$G$137),"-"))</f>
        <v/>
      </c>
      <c r="E140" s="6" t="s">
        <v>53</v>
      </c>
    </row>
    <row r="141" spans="1:7" x14ac:dyDescent="0.25">
      <c r="A141" s="5" t="s">
        <v>54</v>
      </c>
      <c r="B141" s="6" t="str">
        <f>IF($G$137="","",IFERROR(IF(_xlfn.MINIFS(SAISIE!$E$5:$E$504,SAISIE!$B$5:$B$504,"*Vent D/G*",SAISIE!$F$5:$F$504,$G$137)&gt;=0,_xlfn.MAXIFS(SAISIE!$C$5:$C$504,SAISIE!$B$5:$B$504,"*Vent D/G*",SAISIE!$F$5:$F$504,$G$137),INDEX(SAISIE!$C$5:$C$504,MATCH(_xlfn.MINIFS(SAISIE!$E$5:$E$504,SAISIE!$B$5:$B$504,"*Vent D/G*",SAISIE!$F$5:$F$504,$G$137),SAISIE!$E$5:$E$504,0))),"-"))</f>
        <v/>
      </c>
      <c r="C141" s="6" t="str">
        <f>IF($G$137="","",IFERROR(IF(_xlfn.MINIFS(SAISIE!$E$5:$E$504,SAISIE!$B$5:$B$504,"*Vent D/G*",SAISIE!$F$5:$F$504,$G$137)&gt;=0,INDEX(SAISIE!$D$5:$D$504,MATCH(_xlfn.MAXIFS(SAISIE!$C$5:$C$504,SAISIE!$B$5:$B$504,"*Vent D/G*",SAISIE!$F$5:$F$504,$G$137),SAISIE!$C$5:$C$504,0)),INDEX(SAISIE!$D$5:$D$504,MATCH(_xlfn.MINIFS(SAISIE!$E$5:$E$504,SAISIE!$B$5:$B$504,"*Vent D/G*",SAISIE!$F$5:$F$504,$G$137),SAISIE!$E$5:$E$504,0))),"-"))</f>
        <v/>
      </c>
      <c r="D141" s="6" t="str">
        <f>IF($G$137="","",IFERROR(IF(_xlfn.MINIFS(SAISIE!$E$5:$E$504,SAISIE!$B$5:$B$504,"*Vent D/G*",SAISIE!$F$5:$F$504,$G$137)&gt;=0,0,_xlfn.MINIFS(SAISIE!$E$5:$E$504,SAISIE!$B$5:$B$504,"*Vent D/G*",SAISIE!$F$5:$F$504,$G$137)),"-"))</f>
        <v/>
      </c>
      <c r="E141" s="6" t="s">
        <v>51</v>
      </c>
    </row>
    <row r="142" spans="1:7" x14ac:dyDescent="0.25">
      <c r="A142" s="5" t="s">
        <v>55</v>
      </c>
      <c r="B142" s="6" t="str">
        <f>IF($G$137="","",IFERROR(INDEX(SAISIE!$C$5:$C$504,MATCH(_xlfn.MAXIFS(SAISIE!$E$5:$E$504,SAISIE!$B$5:$B$504,"*Vent D/G*",SAISIE!$F$5:$F$504,$G$137),SAISIE!$E$5:$E$504,0)),"-"))</f>
        <v/>
      </c>
      <c r="C142" s="6" t="str">
        <f>IF($G$137="","",IFERROR(INDEX(SAISIE!$D$5:$D$504,MATCH(_xlfn.MAXIFS(SAISIE!$E$5:$E$504,SAISIE!$B$5:$B$504,"*Vent D/G*",SAISIE!$F$5:$F$504,$G$137),SAISIE!$E$5:$E$504,0)),"-"))</f>
        <v/>
      </c>
      <c r="D142" s="6" t="str">
        <f>IF($G$137="","",IFERROR(_xlfn.MAXIFS(SAISIE!$E$5:$E$504,SAISIE!$B$5:$B$504,"*Vent D/G*",SAISIE!$F$5:$F$504,$G$137),"-"))</f>
        <v/>
      </c>
      <c r="E142" s="6" t="s">
        <v>53</v>
      </c>
    </row>
    <row r="143" spans="1:7" x14ac:dyDescent="0.25">
      <c r="A143" s="5" t="s">
        <v>56</v>
      </c>
      <c r="B143" s="6" t="str">
        <f>IF($G$137="","",IFERROR(IF(_xlfn.MINIFS(SAISIE!$E$5:$E$504,SAISIE!$B$5:$B$504,"*Vent Av./Arr.*",SAISIE!$F$5:$F$504,$G$137)&gt;=0,_xlfn.MAXIFS(SAISIE!$C$5:$C$504,SAISIE!$B$5:$B$504,"*Vent Av./Arr.*",SAISIE!$F$5:$F$504,$G$137),INDEX(SAISIE!$C$5:$C$504,MATCH(_xlfn.MINIFS(SAISIE!$E$5:$E$504,SAISIE!$B$5:$B$504,"*Vent Av./Arr.*",SAISIE!$F$5:$F$504,$G$137),SAISIE!$E$5:$E$504,0))),"-"))</f>
        <v/>
      </c>
      <c r="C143" s="6" t="str">
        <f>IF($G$137="","",IFERROR(IF(_xlfn.MINIFS(SAISIE!$E$5:$E$504,SAISIE!$B$5:$B$504,"*Vent Av./Arr.*",SAISIE!$F$5:$F$504,$G$137)&gt;=0,INDEX(SAISIE!$D$5:$D$504,MATCH(_xlfn.MAXIFS(SAISIE!$C$5:$C$504,SAISIE!$B$5:$B$504,"*Vent Av./Arr.*",SAISIE!$F$5:$F$504,$G$137),SAISIE!$C$5:$C$504,0)),INDEX(SAISIE!$D$5:$D$504,MATCH(_xlfn.MINIFS(SAISIE!$E$5:$E$504,SAISIE!$B$5:$B$504,"*Vent Av./Arr.*",SAISIE!$F$5:$F$504,$G$137),SAISIE!$E$5:$E$504,0))),"-"))</f>
        <v/>
      </c>
      <c r="D143" s="6" t="str">
        <f>IF($G$137="","",IFERROR(IF(_xlfn.MINIFS(SAISIE!$E$5:$E$504,SAISIE!$B$5:$B$504,"*Vent Av./Arr.*",SAISIE!$F$5:$F$504,$G$137)&gt;=0,0,_xlfn.MINIFS(SAISIE!$E$5:$E$504,SAISIE!$B$5:$B$504,"*Vent Av./Arr.*",SAISIE!$F$5:$F$504,$G$137)),"-"))</f>
        <v/>
      </c>
      <c r="E143" s="6" t="s">
        <v>51</v>
      </c>
    </row>
    <row r="144" spans="1:7" x14ac:dyDescent="0.25">
      <c r="A144" s="5" t="s">
        <v>57</v>
      </c>
      <c r="B144" s="6" t="str">
        <f>IF($G$137="","",IFERROR(INDEX(SAISIE!$C$5:$C$504,MATCH(_xlfn.MAXIFS(SAISIE!$E$5:$E$504,SAISIE!$B$5:$B$504,"*Vent Av./Arr.*",SAISIE!$F$5:$F$504,$G$137),SAISIE!$E$5:$E$504,0)),"-"))</f>
        <v/>
      </c>
      <c r="C144" s="6" t="str">
        <f>IF($G$137="","",IFERROR(INDEX(SAISIE!$D$5:$D$504,MATCH(_xlfn.MAXIFS(SAISIE!$E$5:$E$504,SAISIE!$B$5:$B$504,"*Vent Av./Arr.*",SAISIE!$F$5:$F$504,$G$137),SAISIE!$E$5:$E$504,0)),"-"))</f>
        <v/>
      </c>
      <c r="D144" s="6" t="str">
        <f>IF($G$137="","",IFERROR(_xlfn.MAXIFS(SAISIE!$E$5:$E$504,SAISIE!$B$5:$B$504,"*Vent Av./Arr.*",SAISIE!$F$5:$F$504,$G$137),"-"))</f>
        <v/>
      </c>
      <c r="E144" s="6" t="s">
        <v>53</v>
      </c>
    </row>
    <row r="145" spans="1:7" x14ac:dyDescent="0.25">
      <c r="A145" s="5" t="s">
        <v>58</v>
      </c>
      <c r="B145" s="6" t="str">
        <f>IF($G$137="","",IFERROR(IF(_xlfn.MINIFS(SAISIE!$E$5:$E$504,SAISIE!$B$5:$B$504,"*Vent Arr./Av.*",SAISIE!$F$5:$F$504,$G$137)&gt;=0,_xlfn.MAXIFS(SAISIE!$C$5:$C$504,SAISIE!$B$5:$B$504,"*Vent Arr./Av.*",SAISIE!$F$5:$F$504,$G$137),INDEX(SAISIE!$C$5:$C$504,MATCH(_xlfn.MINIFS(SAISIE!$E$5:$E$504,SAISIE!$B$5:$B$504,"*Vent Arr./Av.*",SAISIE!$F$5:$F$504,$G$137),SAISIE!$E$5:$E$504,0))),"-"))</f>
        <v/>
      </c>
      <c r="C145" s="6" t="str">
        <f>IF($G$137="","",IFERROR(IF(_xlfn.MINIFS(SAISIE!$E$5:$E$504,SAISIE!$B$5:$B$504,"*Vent Arr./Av.*",SAISIE!$F$5:$F$504,$G$137)&gt;=0,INDEX(SAISIE!$D$5:$D$504,MATCH(_xlfn.MAXIFS(SAISIE!$C$5:$C$504,SAISIE!$B$5:$B$504,"*Vent Arr./Av.*",SAISIE!$F$5:$F$504,$G$137),SAISIE!$C$5:$C$504,0)),INDEX(SAISIE!$D$5:$D$504,MATCH(_xlfn.MINIFS(SAISIE!$E$5:$E$504,SAISIE!$B$5:$B$504,"*Vent Arr./Av.*",SAISIE!$F$5:$F$504,$G$137),SAISIE!$E$5:$E$504,0))),"-"))</f>
        <v/>
      </c>
      <c r="D145" s="6" t="str">
        <f>IF($G$137="","",IFERROR(IF(_xlfn.MINIFS(SAISIE!$E$5:$E$504,SAISIE!$B$5:$B$504,"*Vent Arr./Av.*",SAISIE!$F$5:$F$504,$G$137)&gt;=0,0,_xlfn.MINIFS(SAISIE!$E$5:$E$504,SAISIE!$B$5:$B$504,"*Vent Arr./Av.*",SAISIE!$F$5:$F$504,$G$137)),"-"))</f>
        <v/>
      </c>
      <c r="E145" s="6" t="s">
        <v>51</v>
      </c>
    </row>
    <row r="146" spans="1:7" x14ac:dyDescent="0.25">
      <c r="A146" s="5" t="s">
        <v>59</v>
      </c>
      <c r="B146" s="6" t="str">
        <f>IF($G$137="","",IFERROR(INDEX(SAISIE!$C$5:$C$504,MATCH(_xlfn.MAXIFS(SAISIE!$E$5:$E$504,SAISIE!$B$5:$B$504,"*Vent Arr./Av.*",SAISIE!$F$5:$F$504,$G$137),SAISIE!$E$5:$E$504,0)),"-"))</f>
        <v/>
      </c>
      <c r="C146" s="6" t="str">
        <f>IF($G$137="","",IFERROR(INDEX(SAISIE!$D$5:$D$504,MATCH(_xlfn.MAXIFS(SAISIE!$E$5:$E$504,SAISIE!$B$5:$B$504,"*Vent Arr./Av.*",SAISIE!$F$5:$F$504,$G$137),SAISIE!$E$5:$E$504,0)),"-"))</f>
        <v/>
      </c>
      <c r="D146" s="6" t="str">
        <f>IF($G$137="","",IFERROR(_xlfn.MAXIFS(SAISIE!$E$5:$E$504,SAISIE!$B$5:$B$504,"*Vent Arr./Av.*",SAISIE!$F$5:$F$504,$G$137),"-"))</f>
        <v/>
      </c>
      <c r="E146" s="6" t="s">
        <v>53</v>
      </c>
    </row>
    <row r="147" spans="1:7" x14ac:dyDescent="0.25">
      <c r="A147" s="5" t="s">
        <v>60</v>
      </c>
      <c r="B147" s="6" t="str">
        <f>IF($G$137="","",IFERROR(INDEX(SAISIE!$C$5:$C$504,MATCH(_xlfn.MINIFS(SAISIE!$E$5:$E$504,SAISIE!$B$5:$B$504,"*Neige*",SAISIE!$B$5:$B$504,"&lt;&gt;*accidentel*",SAISIE!$F$5:$F$504,$G$137),SAISIE!$E$5:$E$504,0)),"-"))</f>
        <v/>
      </c>
      <c r="C147" s="6" t="str">
        <f>IF($G$137="","",IFERROR(INDEX(SAISIE!$D$5:$D$504,MATCH(_xlfn.MINIFS(SAISIE!$E$5:$E$504,SAISIE!$B$5:$B$504,"*Neige*",SAISIE!$B$5:$B$504,"&lt;&gt;*accidentel*",SAISIE!$F$5:$F$504,$G$137),SAISIE!$E$5:$E$504,0)),"-"))</f>
        <v/>
      </c>
      <c r="D147" s="6" t="str">
        <f>IF($G$137="","",IFERROR(INDEX(SAISIE!$E$5:$E$504,MATCH(_xlfn.MINIFS(SAISIE!$E$5:$E$504,SAISIE!$B$5:$B$504,"*Neige*",SAISIE!$B$5:$B$504,"&lt;&gt;*accidentel*",SAISIE!$F$5:$F$504,$G$137),SAISIE!$E$5:$E$504,0)),"-"))</f>
        <v/>
      </c>
      <c r="E147" s="6"/>
    </row>
    <row r="148" spans="1:7" x14ac:dyDescent="0.25">
      <c r="A148" s="5" t="s">
        <v>61</v>
      </c>
      <c r="B148" s="6" t="str">
        <f>IF($G$137="","",IFERROR(LOOKUP(2,1/((SAISIE!$F$5:$F$504=$G$137)*(ISNUMBER(SEARCH("accidentel",SAISIE!$B$5:$B$504)))),SAISIE!$C$5:$C$504),"-"))</f>
        <v/>
      </c>
      <c r="C148" s="6" t="str">
        <f>IF($G$137="","",IFERROR(LOOKUP(2,1/((SAISIE!$F$5:$F$504=$G$137)*(ISNUMBER(SEARCH("accidentel",SAISIE!$B$5:$B$504)))),SAISIE!$D$5:$D$504),"-"))</f>
        <v/>
      </c>
      <c r="D148" s="6" t="str">
        <f>IF($G$137="","",IFERROR(LOOKUP(2,1/((SAISIE!$F$5:$F$504=$G$137)*(ISNUMBER(SEARCH("accidentel",SAISIE!$B$5:$B$504)))),SAISIE!$E$5:$E$504),"-"))</f>
        <v/>
      </c>
      <c r="E148" s="6"/>
    </row>
    <row r="149" spans="1:7" ht="15.75" x14ac:dyDescent="0.25">
      <c r="A149" s="9" t="str">
        <f>IF($G$149="","","Noeud "&amp;$G$149)</f>
        <v/>
      </c>
      <c r="B149" s="10"/>
      <c r="C149" s="10"/>
      <c r="D149" s="10"/>
      <c r="E149" s="10"/>
      <c r="G149" t="str">
        <f>IFERROR(INDEX(SAISIE!$F$5:$F$504,_xlfn.AGGREGATE(15,6,ROW(SAISIE!$F$5:$F$504)-ROW(SAISIE!$F$5)+1/(SAISIE!$F$5:$F$504&lt;&gt;"")/(COUNTIF($G$4:G148,SAISIE!$F$5:$F$504)=0),1)),"")</f>
        <v/>
      </c>
    </row>
    <row r="150" spans="1:7" x14ac:dyDescent="0.25">
      <c r="A150" s="5" t="s">
        <v>49</v>
      </c>
      <c r="B150" s="6" t="str">
        <f>IF($G$149="","",IFERROR(IFERROR(LOOKUP(2,1/((SAISIE!$F$5:$F$504=$G$149)*(LEFT(SAISIE!$B$5:$B$504,2)="G ")),SAISIE!$C$5:$C$504),LOOKUP(2,1/((SAISIE!$F$5:$F$504=$G$149)*(ISNUMBER(SEARCH("Couverture",SAISIE!$B$5:$B$504)))),SAISIE!$C$5:$C$504)),"-"))</f>
        <v/>
      </c>
      <c r="C150" s="6" t="str">
        <f>IF($G$149="","",IFERROR(IFERROR(LOOKUP(2,1/((SAISIE!$F$5:$F$504=$G$149)*(LEFT(SAISIE!$B$5:$B$504,2)="G ")),SAISIE!$D$5:$D$504),LOOKUP(2,1/((SAISIE!$F$5:$F$504=$G$149)*(ISNUMBER(SEARCH("Couverture",SAISIE!$B$5:$B$504)))),SAISIE!$D$5:$D$504)),"-"))</f>
        <v/>
      </c>
      <c r="D150" s="6" t="str">
        <f>IF($G$149="","",IFERROR(IFERROR(LOOKUP(2,1/((SAISIE!$F$5:$F$504=$G$149)*(LEFT(SAISIE!$B$5:$B$504,2)="G ")),SAISIE!$E$5:$E$504),LOOKUP(2,1/((SAISIE!$F$5:$F$504=$G$149)*(ISNUMBER(SEARCH("Couverture",SAISIE!$B$5:$B$504)))),SAISIE!$E$5:$E$504)),"-"))</f>
        <v/>
      </c>
      <c r="E150" s="6"/>
    </row>
    <row r="151" spans="1:7" x14ac:dyDescent="0.25">
      <c r="A151" s="5" t="s">
        <v>50</v>
      </c>
      <c r="B151" s="6" t="str">
        <f>IF($G$149="","",IFERROR(IF(_xlfn.MINIFS(SAISIE!$E$5:$E$504,SAISIE!$B$5:$B$504,"*Vent G/D*",SAISIE!$F$5:$F$504,$G$149)&gt;=0,_xlfn.MAXIFS(SAISIE!$C$5:$C$504,SAISIE!$B$5:$B$504,"*Vent G/D*",SAISIE!$F$5:$F$504,$G$149),INDEX(SAISIE!$C$5:$C$504,MATCH(_xlfn.MINIFS(SAISIE!$E$5:$E$504,SAISIE!$B$5:$B$504,"*Vent G/D*",SAISIE!$F$5:$F$504,$G$149),SAISIE!$E$5:$E$504,0))),"-"))</f>
        <v/>
      </c>
      <c r="C151" s="6" t="str">
        <f>IF($G$149="","",IFERROR(IF(_xlfn.MINIFS(SAISIE!$E$5:$E$504,SAISIE!$B$5:$B$504,"*Vent G/D*",SAISIE!$F$5:$F$504,$G$149)&gt;=0,INDEX(SAISIE!$D$5:$D$504,MATCH(_xlfn.MAXIFS(SAISIE!$C$5:$C$504,SAISIE!$B$5:$B$504,"*Vent G/D*",SAISIE!$F$5:$F$504,$G$149),SAISIE!$C$5:$C$504,0)),INDEX(SAISIE!$D$5:$D$504,MATCH(_xlfn.MINIFS(SAISIE!$E$5:$E$504,SAISIE!$B$5:$B$504,"*Vent G/D*",SAISIE!$F$5:$F$504,$G$149),SAISIE!$E$5:$E$504,0))),"-"))</f>
        <v/>
      </c>
      <c r="D151" s="6" t="str">
        <f>IF($G$149="","",IFERROR(IF(_xlfn.MINIFS(SAISIE!$E$5:$E$504,SAISIE!$B$5:$B$504,"*Vent G/D*",SAISIE!$F$5:$F$504,$G$149)&gt;=0,0,_xlfn.MINIFS(SAISIE!$E$5:$E$504,SAISIE!$B$5:$B$504,"*Vent G/D*",SAISIE!$F$5:$F$504,$G$149)),"-"))</f>
        <v/>
      </c>
      <c r="E151" s="6" t="s">
        <v>51</v>
      </c>
    </row>
    <row r="152" spans="1:7" x14ac:dyDescent="0.25">
      <c r="A152" s="5" t="s">
        <v>52</v>
      </c>
      <c r="B152" s="6" t="str">
        <f>IF($G$149="","",IFERROR(INDEX(SAISIE!$C$5:$C$504,MATCH(_xlfn.MAXIFS(SAISIE!$E$5:$E$504,SAISIE!$B$5:$B$504,"*Vent G/D*",SAISIE!$F$5:$F$504,$G$149),SAISIE!$E$5:$E$504,0)),"-"))</f>
        <v/>
      </c>
      <c r="C152" s="6" t="str">
        <f>IF($G$149="","",IFERROR(INDEX(SAISIE!$D$5:$D$504,MATCH(_xlfn.MAXIFS(SAISIE!$E$5:$E$504,SAISIE!$B$5:$B$504,"*Vent G/D*",SAISIE!$F$5:$F$504,$G$149),SAISIE!$E$5:$E$504,0)),"-"))</f>
        <v/>
      </c>
      <c r="D152" s="6" t="str">
        <f>IF($G$149="","",IFERROR(_xlfn.MAXIFS(SAISIE!$E$5:$E$504,SAISIE!$B$5:$B$504,"*Vent G/D*",SAISIE!$F$5:$F$504,$G$149),"-"))</f>
        <v/>
      </c>
      <c r="E152" s="6" t="s">
        <v>53</v>
      </c>
    </row>
    <row r="153" spans="1:7" x14ac:dyDescent="0.25">
      <c r="A153" s="5" t="s">
        <v>54</v>
      </c>
      <c r="B153" s="6" t="str">
        <f>IF($G$149="","",IFERROR(IF(_xlfn.MINIFS(SAISIE!$E$5:$E$504,SAISIE!$B$5:$B$504,"*Vent D/G*",SAISIE!$F$5:$F$504,$G$149)&gt;=0,_xlfn.MAXIFS(SAISIE!$C$5:$C$504,SAISIE!$B$5:$B$504,"*Vent D/G*",SAISIE!$F$5:$F$504,$G$149),INDEX(SAISIE!$C$5:$C$504,MATCH(_xlfn.MINIFS(SAISIE!$E$5:$E$504,SAISIE!$B$5:$B$504,"*Vent D/G*",SAISIE!$F$5:$F$504,$G$149),SAISIE!$E$5:$E$504,0))),"-"))</f>
        <v/>
      </c>
      <c r="C153" s="6" t="str">
        <f>IF($G$149="","",IFERROR(IF(_xlfn.MINIFS(SAISIE!$E$5:$E$504,SAISIE!$B$5:$B$504,"*Vent D/G*",SAISIE!$F$5:$F$504,$G$149)&gt;=0,INDEX(SAISIE!$D$5:$D$504,MATCH(_xlfn.MAXIFS(SAISIE!$C$5:$C$504,SAISIE!$B$5:$B$504,"*Vent D/G*",SAISIE!$F$5:$F$504,$G$149),SAISIE!$C$5:$C$504,0)),INDEX(SAISIE!$D$5:$D$504,MATCH(_xlfn.MINIFS(SAISIE!$E$5:$E$504,SAISIE!$B$5:$B$504,"*Vent D/G*",SAISIE!$F$5:$F$504,$G$149),SAISIE!$E$5:$E$504,0))),"-"))</f>
        <v/>
      </c>
      <c r="D153" s="6" t="str">
        <f>IF($G$149="","",IFERROR(IF(_xlfn.MINIFS(SAISIE!$E$5:$E$504,SAISIE!$B$5:$B$504,"*Vent D/G*",SAISIE!$F$5:$F$504,$G$149)&gt;=0,0,_xlfn.MINIFS(SAISIE!$E$5:$E$504,SAISIE!$B$5:$B$504,"*Vent D/G*",SAISIE!$F$5:$F$504,$G$149)),"-"))</f>
        <v/>
      </c>
      <c r="E153" s="6" t="s">
        <v>51</v>
      </c>
    </row>
    <row r="154" spans="1:7" x14ac:dyDescent="0.25">
      <c r="A154" s="5" t="s">
        <v>55</v>
      </c>
      <c r="B154" s="6" t="str">
        <f>IF($G$149="","",IFERROR(INDEX(SAISIE!$C$5:$C$504,MATCH(_xlfn.MAXIFS(SAISIE!$E$5:$E$504,SAISIE!$B$5:$B$504,"*Vent D/G*",SAISIE!$F$5:$F$504,$G$149),SAISIE!$E$5:$E$504,0)),"-"))</f>
        <v/>
      </c>
      <c r="C154" s="6" t="str">
        <f>IF($G$149="","",IFERROR(INDEX(SAISIE!$D$5:$D$504,MATCH(_xlfn.MAXIFS(SAISIE!$E$5:$E$504,SAISIE!$B$5:$B$504,"*Vent D/G*",SAISIE!$F$5:$F$504,$G$149),SAISIE!$E$5:$E$504,0)),"-"))</f>
        <v/>
      </c>
      <c r="D154" s="6" t="str">
        <f>IF($G$149="","",IFERROR(_xlfn.MAXIFS(SAISIE!$E$5:$E$504,SAISIE!$B$5:$B$504,"*Vent D/G*",SAISIE!$F$5:$F$504,$G$149),"-"))</f>
        <v/>
      </c>
      <c r="E154" s="6" t="s">
        <v>53</v>
      </c>
    </row>
    <row r="155" spans="1:7" x14ac:dyDescent="0.25">
      <c r="A155" s="5" t="s">
        <v>56</v>
      </c>
      <c r="B155" s="6" t="str">
        <f>IF($G$149="","",IFERROR(IF(_xlfn.MINIFS(SAISIE!$E$5:$E$504,SAISIE!$B$5:$B$504,"*Vent Av./Arr.*",SAISIE!$F$5:$F$504,$G$149)&gt;=0,_xlfn.MAXIFS(SAISIE!$C$5:$C$504,SAISIE!$B$5:$B$504,"*Vent Av./Arr.*",SAISIE!$F$5:$F$504,$G$149),INDEX(SAISIE!$C$5:$C$504,MATCH(_xlfn.MINIFS(SAISIE!$E$5:$E$504,SAISIE!$B$5:$B$504,"*Vent Av./Arr.*",SAISIE!$F$5:$F$504,$G$149),SAISIE!$E$5:$E$504,0))),"-"))</f>
        <v/>
      </c>
      <c r="C155" s="6" t="str">
        <f>IF($G$149="","",IFERROR(IF(_xlfn.MINIFS(SAISIE!$E$5:$E$504,SAISIE!$B$5:$B$504,"*Vent Av./Arr.*",SAISIE!$F$5:$F$504,$G$149)&gt;=0,INDEX(SAISIE!$D$5:$D$504,MATCH(_xlfn.MAXIFS(SAISIE!$C$5:$C$504,SAISIE!$B$5:$B$504,"*Vent Av./Arr.*",SAISIE!$F$5:$F$504,$G$149),SAISIE!$C$5:$C$504,0)),INDEX(SAISIE!$D$5:$D$504,MATCH(_xlfn.MINIFS(SAISIE!$E$5:$E$504,SAISIE!$B$5:$B$504,"*Vent Av./Arr.*",SAISIE!$F$5:$F$504,$G$149),SAISIE!$E$5:$E$504,0))),"-"))</f>
        <v/>
      </c>
      <c r="D155" s="6" t="str">
        <f>IF($G$149="","",IFERROR(IF(_xlfn.MINIFS(SAISIE!$E$5:$E$504,SAISIE!$B$5:$B$504,"*Vent Av./Arr.*",SAISIE!$F$5:$F$504,$G$149)&gt;=0,0,_xlfn.MINIFS(SAISIE!$E$5:$E$504,SAISIE!$B$5:$B$504,"*Vent Av./Arr.*",SAISIE!$F$5:$F$504,$G$149)),"-"))</f>
        <v/>
      </c>
      <c r="E155" s="6" t="s">
        <v>51</v>
      </c>
    </row>
    <row r="156" spans="1:7" x14ac:dyDescent="0.25">
      <c r="A156" s="5" t="s">
        <v>57</v>
      </c>
      <c r="B156" s="6" t="str">
        <f>IF($G$149="","",IFERROR(INDEX(SAISIE!$C$5:$C$504,MATCH(_xlfn.MAXIFS(SAISIE!$E$5:$E$504,SAISIE!$B$5:$B$504,"*Vent Av./Arr.*",SAISIE!$F$5:$F$504,$G$149),SAISIE!$E$5:$E$504,0)),"-"))</f>
        <v/>
      </c>
      <c r="C156" s="6" t="str">
        <f>IF($G$149="","",IFERROR(INDEX(SAISIE!$D$5:$D$504,MATCH(_xlfn.MAXIFS(SAISIE!$E$5:$E$504,SAISIE!$B$5:$B$504,"*Vent Av./Arr.*",SAISIE!$F$5:$F$504,$G$149),SAISIE!$E$5:$E$504,0)),"-"))</f>
        <v/>
      </c>
      <c r="D156" s="6" t="str">
        <f>IF($G$149="","",IFERROR(_xlfn.MAXIFS(SAISIE!$E$5:$E$504,SAISIE!$B$5:$B$504,"*Vent Av./Arr.*",SAISIE!$F$5:$F$504,$G$149),"-"))</f>
        <v/>
      </c>
      <c r="E156" s="6" t="s">
        <v>53</v>
      </c>
    </row>
    <row r="157" spans="1:7" x14ac:dyDescent="0.25">
      <c r="A157" s="5" t="s">
        <v>58</v>
      </c>
      <c r="B157" s="6" t="str">
        <f>IF($G$149="","",IFERROR(IF(_xlfn.MINIFS(SAISIE!$E$5:$E$504,SAISIE!$B$5:$B$504,"*Vent Arr./Av.*",SAISIE!$F$5:$F$504,$G$149)&gt;=0,_xlfn.MAXIFS(SAISIE!$C$5:$C$504,SAISIE!$B$5:$B$504,"*Vent Arr./Av.*",SAISIE!$F$5:$F$504,$G$149),INDEX(SAISIE!$C$5:$C$504,MATCH(_xlfn.MINIFS(SAISIE!$E$5:$E$504,SAISIE!$B$5:$B$504,"*Vent Arr./Av.*",SAISIE!$F$5:$F$504,$G$149),SAISIE!$E$5:$E$504,0))),"-"))</f>
        <v/>
      </c>
      <c r="C157" s="6" t="str">
        <f>IF($G$149="","",IFERROR(IF(_xlfn.MINIFS(SAISIE!$E$5:$E$504,SAISIE!$B$5:$B$504,"*Vent Arr./Av.*",SAISIE!$F$5:$F$504,$G$149)&gt;=0,INDEX(SAISIE!$D$5:$D$504,MATCH(_xlfn.MAXIFS(SAISIE!$C$5:$C$504,SAISIE!$B$5:$B$504,"*Vent Arr./Av.*",SAISIE!$F$5:$F$504,$G$149),SAISIE!$C$5:$C$504,0)),INDEX(SAISIE!$D$5:$D$504,MATCH(_xlfn.MINIFS(SAISIE!$E$5:$E$504,SAISIE!$B$5:$B$504,"*Vent Arr./Av.*",SAISIE!$F$5:$F$504,$G$149),SAISIE!$E$5:$E$504,0))),"-"))</f>
        <v/>
      </c>
      <c r="D157" s="6" t="str">
        <f>IF($G$149="","",IFERROR(IF(_xlfn.MINIFS(SAISIE!$E$5:$E$504,SAISIE!$B$5:$B$504,"*Vent Arr./Av.*",SAISIE!$F$5:$F$504,$G$149)&gt;=0,0,_xlfn.MINIFS(SAISIE!$E$5:$E$504,SAISIE!$B$5:$B$504,"*Vent Arr./Av.*",SAISIE!$F$5:$F$504,$G$149)),"-"))</f>
        <v/>
      </c>
      <c r="E157" s="6" t="s">
        <v>51</v>
      </c>
    </row>
    <row r="158" spans="1:7" x14ac:dyDescent="0.25">
      <c r="A158" s="5" t="s">
        <v>59</v>
      </c>
      <c r="B158" s="6" t="str">
        <f>IF($G$149="","",IFERROR(INDEX(SAISIE!$C$5:$C$504,MATCH(_xlfn.MAXIFS(SAISIE!$E$5:$E$504,SAISIE!$B$5:$B$504,"*Vent Arr./Av.*",SAISIE!$F$5:$F$504,$G$149),SAISIE!$E$5:$E$504,0)),"-"))</f>
        <v/>
      </c>
      <c r="C158" s="6" t="str">
        <f>IF($G$149="","",IFERROR(INDEX(SAISIE!$D$5:$D$504,MATCH(_xlfn.MAXIFS(SAISIE!$E$5:$E$504,SAISIE!$B$5:$B$504,"*Vent Arr./Av.*",SAISIE!$F$5:$F$504,$G$149),SAISIE!$E$5:$E$504,0)),"-"))</f>
        <v/>
      </c>
      <c r="D158" s="6" t="str">
        <f>IF($G$149="","",IFERROR(_xlfn.MAXIFS(SAISIE!$E$5:$E$504,SAISIE!$B$5:$B$504,"*Vent Arr./Av.*",SAISIE!$F$5:$F$504,$G$149),"-"))</f>
        <v/>
      </c>
      <c r="E158" s="6" t="s">
        <v>53</v>
      </c>
    </row>
    <row r="159" spans="1:7" x14ac:dyDescent="0.25">
      <c r="A159" s="5" t="s">
        <v>60</v>
      </c>
      <c r="B159" s="6" t="str">
        <f>IF($G$149="","",IFERROR(INDEX(SAISIE!$C$5:$C$504,MATCH(_xlfn.MINIFS(SAISIE!$E$5:$E$504,SAISIE!$B$5:$B$504,"*Neige*",SAISIE!$B$5:$B$504,"&lt;&gt;*accidentel*",SAISIE!$F$5:$F$504,$G$149),SAISIE!$E$5:$E$504,0)),"-"))</f>
        <v/>
      </c>
      <c r="C159" s="6" t="str">
        <f>IF($G$149="","",IFERROR(INDEX(SAISIE!$D$5:$D$504,MATCH(_xlfn.MINIFS(SAISIE!$E$5:$E$504,SAISIE!$B$5:$B$504,"*Neige*",SAISIE!$B$5:$B$504,"&lt;&gt;*accidentel*",SAISIE!$F$5:$F$504,$G$149),SAISIE!$E$5:$E$504,0)),"-"))</f>
        <v/>
      </c>
      <c r="D159" s="6" t="str">
        <f>IF($G$149="","",IFERROR(INDEX(SAISIE!$E$5:$E$504,MATCH(_xlfn.MINIFS(SAISIE!$E$5:$E$504,SAISIE!$B$5:$B$504,"*Neige*",SAISIE!$B$5:$B$504,"&lt;&gt;*accidentel*",SAISIE!$F$5:$F$504,$G$149),SAISIE!$E$5:$E$504,0)),"-"))</f>
        <v/>
      </c>
      <c r="E159" s="6"/>
    </row>
    <row r="160" spans="1:7" x14ac:dyDescent="0.25">
      <c r="A160" s="5" t="s">
        <v>61</v>
      </c>
      <c r="B160" s="6" t="str">
        <f>IF($G$149="","",IFERROR(LOOKUP(2,1/((SAISIE!$F$5:$F$504=$G$149)*(ISNUMBER(SEARCH("accidentel",SAISIE!$B$5:$B$504)))),SAISIE!$C$5:$C$504),"-"))</f>
        <v/>
      </c>
      <c r="C160" s="6" t="str">
        <f>IF($G$149="","",IFERROR(LOOKUP(2,1/((SAISIE!$F$5:$F$504=$G$149)*(ISNUMBER(SEARCH("accidentel",SAISIE!$B$5:$B$504)))),SAISIE!$D$5:$D$504),"-"))</f>
        <v/>
      </c>
      <c r="D160" s="6" t="str">
        <f>IF($G$149="","",IFERROR(LOOKUP(2,1/((SAISIE!$F$5:$F$504=$G$149)*(ISNUMBER(SEARCH("accidentel",SAISIE!$B$5:$B$504)))),SAISIE!$E$5:$E$504),"-"))</f>
        <v/>
      </c>
      <c r="E160" s="6"/>
    </row>
    <row r="161" spans="1:7" ht="15.75" x14ac:dyDescent="0.25">
      <c r="A161" s="9" t="str">
        <f>IF($G$161="","","Noeud "&amp;$G$161)</f>
        <v/>
      </c>
      <c r="B161" s="10"/>
      <c r="C161" s="10"/>
      <c r="D161" s="10"/>
      <c r="E161" s="10"/>
      <c r="G161" t="str">
        <f>IFERROR(INDEX(SAISIE!$F$5:$F$504,_xlfn.AGGREGATE(15,6,ROW(SAISIE!$F$5:$F$504)-ROW(SAISIE!$F$5)+1/(SAISIE!$F$5:$F$504&lt;&gt;"")/(COUNTIF($G$4:G160,SAISIE!$F$5:$F$504)=0),1)),"")</f>
        <v/>
      </c>
    </row>
    <row r="162" spans="1:7" x14ac:dyDescent="0.25">
      <c r="A162" s="5" t="s">
        <v>49</v>
      </c>
      <c r="B162" s="6" t="str">
        <f>IF($G$161="","",IFERROR(IFERROR(LOOKUP(2,1/((SAISIE!$F$5:$F$504=$G$161)*(LEFT(SAISIE!$B$5:$B$504,2)="G ")),SAISIE!$C$5:$C$504),LOOKUP(2,1/((SAISIE!$F$5:$F$504=$G$161)*(ISNUMBER(SEARCH("Couverture",SAISIE!$B$5:$B$504)))),SAISIE!$C$5:$C$504)),"-"))</f>
        <v/>
      </c>
      <c r="C162" s="6" t="str">
        <f>IF($G$161="","",IFERROR(IFERROR(LOOKUP(2,1/((SAISIE!$F$5:$F$504=$G$161)*(LEFT(SAISIE!$B$5:$B$504,2)="G ")),SAISIE!$D$5:$D$504),LOOKUP(2,1/((SAISIE!$F$5:$F$504=$G$161)*(ISNUMBER(SEARCH("Couverture",SAISIE!$B$5:$B$504)))),SAISIE!$D$5:$D$504)),"-"))</f>
        <v/>
      </c>
      <c r="D162" s="6" t="str">
        <f>IF($G$161="","",IFERROR(IFERROR(LOOKUP(2,1/((SAISIE!$F$5:$F$504=$G$161)*(LEFT(SAISIE!$B$5:$B$504,2)="G ")),SAISIE!$E$5:$E$504),LOOKUP(2,1/((SAISIE!$F$5:$F$504=$G$161)*(ISNUMBER(SEARCH("Couverture",SAISIE!$B$5:$B$504)))),SAISIE!$E$5:$E$504)),"-"))</f>
        <v/>
      </c>
      <c r="E162" s="6"/>
    </row>
    <row r="163" spans="1:7" x14ac:dyDescent="0.25">
      <c r="A163" s="5" t="s">
        <v>50</v>
      </c>
      <c r="B163" s="6" t="str">
        <f>IF($G$161="","",IFERROR(IF(_xlfn.MINIFS(SAISIE!$E$5:$E$504,SAISIE!$B$5:$B$504,"*Vent G/D*",SAISIE!$F$5:$F$504,$G$161)&gt;=0,_xlfn.MAXIFS(SAISIE!$C$5:$C$504,SAISIE!$B$5:$B$504,"*Vent G/D*",SAISIE!$F$5:$F$504,$G$161),INDEX(SAISIE!$C$5:$C$504,MATCH(_xlfn.MINIFS(SAISIE!$E$5:$E$504,SAISIE!$B$5:$B$504,"*Vent G/D*",SAISIE!$F$5:$F$504,$G$161),SAISIE!$E$5:$E$504,0))),"-"))</f>
        <v/>
      </c>
      <c r="C163" s="6" t="str">
        <f>IF($G$161="","",IFERROR(IF(_xlfn.MINIFS(SAISIE!$E$5:$E$504,SAISIE!$B$5:$B$504,"*Vent G/D*",SAISIE!$F$5:$F$504,$G$161)&gt;=0,INDEX(SAISIE!$D$5:$D$504,MATCH(_xlfn.MAXIFS(SAISIE!$C$5:$C$504,SAISIE!$B$5:$B$504,"*Vent G/D*",SAISIE!$F$5:$F$504,$G$161),SAISIE!$C$5:$C$504,0)),INDEX(SAISIE!$D$5:$D$504,MATCH(_xlfn.MINIFS(SAISIE!$E$5:$E$504,SAISIE!$B$5:$B$504,"*Vent G/D*",SAISIE!$F$5:$F$504,$G$161),SAISIE!$E$5:$E$504,0))),"-"))</f>
        <v/>
      </c>
      <c r="D163" s="6" t="str">
        <f>IF($G$161="","",IFERROR(IF(_xlfn.MINIFS(SAISIE!$E$5:$E$504,SAISIE!$B$5:$B$504,"*Vent G/D*",SAISIE!$F$5:$F$504,$G$161)&gt;=0,0,_xlfn.MINIFS(SAISIE!$E$5:$E$504,SAISIE!$B$5:$B$504,"*Vent G/D*",SAISIE!$F$5:$F$504,$G$161)),"-"))</f>
        <v/>
      </c>
      <c r="E163" s="6" t="s">
        <v>51</v>
      </c>
    </row>
    <row r="164" spans="1:7" x14ac:dyDescent="0.25">
      <c r="A164" s="5" t="s">
        <v>52</v>
      </c>
      <c r="B164" s="6" t="str">
        <f>IF($G$161="","",IFERROR(INDEX(SAISIE!$C$5:$C$504,MATCH(_xlfn.MAXIFS(SAISIE!$E$5:$E$504,SAISIE!$B$5:$B$504,"*Vent G/D*",SAISIE!$F$5:$F$504,$G$161),SAISIE!$E$5:$E$504,0)),"-"))</f>
        <v/>
      </c>
      <c r="C164" s="6" t="str">
        <f>IF($G$161="","",IFERROR(INDEX(SAISIE!$D$5:$D$504,MATCH(_xlfn.MAXIFS(SAISIE!$E$5:$E$504,SAISIE!$B$5:$B$504,"*Vent G/D*",SAISIE!$F$5:$F$504,$G$161),SAISIE!$E$5:$E$504,0)),"-"))</f>
        <v/>
      </c>
      <c r="D164" s="6" t="str">
        <f>IF($G$161="","",IFERROR(_xlfn.MAXIFS(SAISIE!$E$5:$E$504,SAISIE!$B$5:$B$504,"*Vent G/D*",SAISIE!$F$5:$F$504,$G$161),"-"))</f>
        <v/>
      </c>
      <c r="E164" s="6" t="s">
        <v>53</v>
      </c>
    </row>
    <row r="165" spans="1:7" x14ac:dyDescent="0.25">
      <c r="A165" s="5" t="s">
        <v>54</v>
      </c>
      <c r="B165" s="6" t="str">
        <f>IF($G$161="","",IFERROR(IF(_xlfn.MINIFS(SAISIE!$E$5:$E$504,SAISIE!$B$5:$B$504,"*Vent D/G*",SAISIE!$F$5:$F$504,$G$161)&gt;=0,_xlfn.MAXIFS(SAISIE!$C$5:$C$504,SAISIE!$B$5:$B$504,"*Vent D/G*",SAISIE!$F$5:$F$504,$G$161),INDEX(SAISIE!$C$5:$C$504,MATCH(_xlfn.MINIFS(SAISIE!$E$5:$E$504,SAISIE!$B$5:$B$504,"*Vent D/G*",SAISIE!$F$5:$F$504,$G$161),SAISIE!$E$5:$E$504,0))),"-"))</f>
        <v/>
      </c>
      <c r="C165" s="6" t="str">
        <f>IF($G$161="","",IFERROR(IF(_xlfn.MINIFS(SAISIE!$E$5:$E$504,SAISIE!$B$5:$B$504,"*Vent D/G*",SAISIE!$F$5:$F$504,$G$161)&gt;=0,INDEX(SAISIE!$D$5:$D$504,MATCH(_xlfn.MAXIFS(SAISIE!$C$5:$C$504,SAISIE!$B$5:$B$504,"*Vent D/G*",SAISIE!$F$5:$F$504,$G$161),SAISIE!$C$5:$C$504,0)),INDEX(SAISIE!$D$5:$D$504,MATCH(_xlfn.MINIFS(SAISIE!$E$5:$E$504,SAISIE!$B$5:$B$504,"*Vent D/G*",SAISIE!$F$5:$F$504,$G$161),SAISIE!$E$5:$E$504,0))),"-"))</f>
        <v/>
      </c>
      <c r="D165" s="6" t="str">
        <f>IF($G$161="","",IFERROR(IF(_xlfn.MINIFS(SAISIE!$E$5:$E$504,SAISIE!$B$5:$B$504,"*Vent D/G*",SAISIE!$F$5:$F$504,$G$161)&gt;=0,0,_xlfn.MINIFS(SAISIE!$E$5:$E$504,SAISIE!$B$5:$B$504,"*Vent D/G*",SAISIE!$F$5:$F$504,$G$161)),"-"))</f>
        <v/>
      </c>
      <c r="E165" s="6" t="s">
        <v>51</v>
      </c>
    </row>
    <row r="166" spans="1:7" x14ac:dyDescent="0.25">
      <c r="A166" s="5" t="s">
        <v>55</v>
      </c>
      <c r="B166" s="6" t="str">
        <f>IF($G$161="","",IFERROR(INDEX(SAISIE!$C$5:$C$504,MATCH(_xlfn.MAXIFS(SAISIE!$E$5:$E$504,SAISIE!$B$5:$B$504,"*Vent D/G*",SAISIE!$F$5:$F$504,$G$161),SAISIE!$E$5:$E$504,0)),"-"))</f>
        <v/>
      </c>
      <c r="C166" s="6" t="str">
        <f>IF($G$161="","",IFERROR(INDEX(SAISIE!$D$5:$D$504,MATCH(_xlfn.MAXIFS(SAISIE!$E$5:$E$504,SAISIE!$B$5:$B$504,"*Vent D/G*",SAISIE!$F$5:$F$504,$G$161),SAISIE!$E$5:$E$504,0)),"-"))</f>
        <v/>
      </c>
      <c r="D166" s="6" t="str">
        <f>IF($G$161="","",IFERROR(_xlfn.MAXIFS(SAISIE!$E$5:$E$504,SAISIE!$B$5:$B$504,"*Vent D/G*",SAISIE!$F$5:$F$504,$G$161),"-"))</f>
        <v/>
      </c>
      <c r="E166" s="6" t="s">
        <v>53</v>
      </c>
    </row>
    <row r="167" spans="1:7" x14ac:dyDescent="0.25">
      <c r="A167" s="5" t="s">
        <v>56</v>
      </c>
      <c r="B167" s="6" t="str">
        <f>IF($G$161="","",IFERROR(IF(_xlfn.MINIFS(SAISIE!$E$5:$E$504,SAISIE!$B$5:$B$504,"*Vent Av./Arr.*",SAISIE!$F$5:$F$504,$G$161)&gt;=0,_xlfn.MAXIFS(SAISIE!$C$5:$C$504,SAISIE!$B$5:$B$504,"*Vent Av./Arr.*",SAISIE!$F$5:$F$504,$G$161),INDEX(SAISIE!$C$5:$C$504,MATCH(_xlfn.MINIFS(SAISIE!$E$5:$E$504,SAISIE!$B$5:$B$504,"*Vent Av./Arr.*",SAISIE!$F$5:$F$504,$G$161),SAISIE!$E$5:$E$504,0))),"-"))</f>
        <v/>
      </c>
      <c r="C167" s="6" t="str">
        <f>IF($G$161="","",IFERROR(IF(_xlfn.MINIFS(SAISIE!$E$5:$E$504,SAISIE!$B$5:$B$504,"*Vent Av./Arr.*",SAISIE!$F$5:$F$504,$G$161)&gt;=0,INDEX(SAISIE!$D$5:$D$504,MATCH(_xlfn.MAXIFS(SAISIE!$C$5:$C$504,SAISIE!$B$5:$B$504,"*Vent Av./Arr.*",SAISIE!$F$5:$F$504,$G$161),SAISIE!$C$5:$C$504,0)),INDEX(SAISIE!$D$5:$D$504,MATCH(_xlfn.MINIFS(SAISIE!$E$5:$E$504,SAISIE!$B$5:$B$504,"*Vent Av./Arr.*",SAISIE!$F$5:$F$504,$G$161),SAISIE!$E$5:$E$504,0))),"-"))</f>
        <v/>
      </c>
      <c r="D167" s="6" t="str">
        <f>IF($G$161="","",IFERROR(IF(_xlfn.MINIFS(SAISIE!$E$5:$E$504,SAISIE!$B$5:$B$504,"*Vent Av./Arr.*",SAISIE!$F$5:$F$504,$G$161)&gt;=0,0,_xlfn.MINIFS(SAISIE!$E$5:$E$504,SAISIE!$B$5:$B$504,"*Vent Av./Arr.*",SAISIE!$F$5:$F$504,$G$161)),"-"))</f>
        <v/>
      </c>
      <c r="E167" s="6" t="s">
        <v>51</v>
      </c>
    </row>
    <row r="168" spans="1:7" x14ac:dyDescent="0.25">
      <c r="A168" s="5" t="s">
        <v>57</v>
      </c>
      <c r="B168" s="6" t="str">
        <f>IF($G$161="","",IFERROR(INDEX(SAISIE!$C$5:$C$504,MATCH(_xlfn.MAXIFS(SAISIE!$E$5:$E$504,SAISIE!$B$5:$B$504,"*Vent Av./Arr.*",SAISIE!$F$5:$F$504,$G$161),SAISIE!$E$5:$E$504,0)),"-"))</f>
        <v/>
      </c>
      <c r="C168" s="6" t="str">
        <f>IF($G$161="","",IFERROR(INDEX(SAISIE!$D$5:$D$504,MATCH(_xlfn.MAXIFS(SAISIE!$E$5:$E$504,SAISIE!$B$5:$B$504,"*Vent Av./Arr.*",SAISIE!$F$5:$F$504,$G$161),SAISIE!$E$5:$E$504,0)),"-"))</f>
        <v/>
      </c>
      <c r="D168" s="6" t="str">
        <f>IF($G$161="","",IFERROR(_xlfn.MAXIFS(SAISIE!$E$5:$E$504,SAISIE!$B$5:$B$504,"*Vent Av./Arr.*",SAISIE!$F$5:$F$504,$G$161),"-"))</f>
        <v/>
      </c>
      <c r="E168" s="6" t="s">
        <v>53</v>
      </c>
    </row>
    <row r="169" spans="1:7" x14ac:dyDescent="0.25">
      <c r="A169" s="5" t="s">
        <v>58</v>
      </c>
      <c r="B169" s="6" t="str">
        <f>IF($G$161="","",IFERROR(IF(_xlfn.MINIFS(SAISIE!$E$5:$E$504,SAISIE!$B$5:$B$504,"*Vent Arr./Av.*",SAISIE!$F$5:$F$504,$G$161)&gt;=0,_xlfn.MAXIFS(SAISIE!$C$5:$C$504,SAISIE!$B$5:$B$504,"*Vent Arr./Av.*",SAISIE!$F$5:$F$504,$G$161),INDEX(SAISIE!$C$5:$C$504,MATCH(_xlfn.MINIFS(SAISIE!$E$5:$E$504,SAISIE!$B$5:$B$504,"*Vent Arr./Av.*",SAISIE!$F$5:$F$504,$G$161),SAISIE!$E$5:$E$504,0))),"-"))</f>
        <v/>
      </c>
      <c r="C169" s="6" t="str">
        <f>IF($G$161="","",IFERROR(IF(_xlfn.MINIFS(SAISIE!$E$5:$E$504,SAISIE!$B$5:$B$504,"*Vent Arr./Av.*",SAISIE!$F$5:$F$504,$G$161)&gt;=0,INDEX(SAISIE!$D$5:$D$504,MATCH(_xlfn.MAXIFS(SAISIE!$C$5:$C$504,SAISIE!$B$5:$B$504,"*Vent Arr./Av.*",SAISIE!$F$5:$F$504,$G$161),SAISIE!$C$5:$C$504,0)),INDEX(SAISIE!$D$5:$D$504,MATCH(_xlfn.MINIFS(SAISIE!$E$5:$E$504,SAISIE!$B$5:$B$504,"*Vent Arr./Av.*",SAISIE!$F$5:$F$504,$G$161),SAISIE!$E$5:$E$504,0))),"-"))</f>
        <v/>
      </c>
      <c r="D169" s="6" t="str">
        <f>IF($G$161="","",IFERROR(IF(_xlfn.MINIFS(SAISIE!$E$5:$E$504,SAISIE!$B$5:$B$504,"*Vent Arr./Av.*",SAISIE!$F$5:$F$504,$G$161)&gt;=0,0,_xlfn.MINIFS(SAISIE!$E$5:$E$504,SAISIE!$B$5:$B$504,"*Vent Arr./Av.*",SAISIE!$F$5:$F$504,$G$161)),"-"))</f>
        <v/>
      </c>
      <c r="E169" s="6" t="s">
        <v>51</v>
      </c>
    </row>
    <row r="170" spans="1:7" x14ac:dyDescent="0.25">
      <c r="A170" s="5" t="s">
        <v>59</v>
      </c>
      <c r="B170" s="6" t="str">
        <f>IF($G$161="","",IFERROR(INDEX(SAISIE!$C$5:$C$504,MATCH(_xlfn.MAXIFS(SAISIE!$E$5:$E$504,SAISIE!$B$5:$B$504,"*Vent Arr./Av.*",SAISIE!$F$5:$F$504,$G$161),SAISIE!$E$5:$E$504,0)),"-"))</f>
        <v/>
      </c>
      <c r="C170" s="6" t="str">
        <f>IF($G$161="","",IFERROR(INDEX(SAISIE!$D$5:$D$504,MATCH(_xlfn.MAXIFS(SAISIE!$E$5:$E$504,SAISIE!$B$5:$B$504,"*Vent Arr./Av.*",SAISIE!$F$5:$F$504,$G$161),SAISIE!$E$5:$E$504,0)),"-"))</f>
        <v/>
      </c>
      <c r="D170" s="6" t="str">
        <f>IF($G$161="","",IFERROR(_xlfn.MAXIFS(SAISIE!$E$5:$E$504,SAISIE!$B$5:$B$504,"*Vent Arr./Av.*",SAISIE!$F$5:$F$504,$G$161),"-"))</f>
        <v/>
      </c>
      <c r="E170" s="6" t="s">
        <v>53</v>
      </c>
    </row>
    <row r="171" spans="1:7" x14ac:dyDescent="0.25">
      <c r="A171" s="5" t="s">
        <v>60</v>
      </c>
      <c r="B171" s="6" t="str">
        <f>IF($G$161="","",IFERROR(INDEX(SAISIE!$C$5:$C$504,MATCH(_xlfn.MINIFS(SAISIE!$E$5:$E$504,SAISIE!$B$5:$B$504,"*Neige*",SAISIE!$B$5:$B$504,"&lt;&gt;*accidentel*",SAISIE!$F$5:$F$504,$G$161),SAISIE!$E$5:$E$504,0)),"-"))</f>
        <v/>
      </c>
      <c r="C171" s="6" t="str">
        <f>IF($G$161="","",IFERROR(INDEX(SAISIE!$D$5:$D$504,MATCH(_xlfn.MINIFS(SAISIE!$E$5:$E$504,SAISIE!$B$5:$B$504,"*Neige*",SAISIE!$B$5:$B$504,"&lt;&gt;*accidentel*",SAISIE!$F$5:$F$504,$G$161),SAISIE!$E$5:$E$504,0)),"-"))</f>
        <v/>
      </c>
      <c r="D171" s="6" t="str">
        <f>IF($G$161="","",IFERROR(INDEX(SAISIE!$E$5:$E$504,MATCH(_xlfn.MINIFS(SAISIE!$E$5:$E$504,SAISIE!$B$5:$B$504,"*Neige*",SAISIE!$B$5:$B$504,"&lt;&gt;*accidentel*",SAISIE!$F$5:$F$504,$G$161),SAISIE!$E$5:$E$504,0)),"-"))</f>
        <v/>
      </c>
      <c r="E171" s="6"/>
    </row>
    <row r="172" spans="1:7" x14ac:dyDescent="0.25">
      <c r="A172" s="5" t="s">
        <v>61</v>
      </c>
      <c r="B172" s="6" t="str">
        <f>IF($G$161="","",IFERROR(LOOKUP(2,1/((SAISIE!$F$5:$F$504=$G$161)*(ISNUMBER(SEARCH("accidentel",SAISIE!$B$5:$B$504)))),SAISIE!$C$5:$C$504),"-"))</f>
        <v/>
      </c>
      <c r="C172" s="6" t="str">
        <f>IF($G$161="","",IFERROR(LOOKUP(2,1/((SAISIE!$F$5:$F$504=$G$161)*(ISNUMBER(SEARCH("accidentel",SAISIE!$B$5:$B$504)))),SAISIE!$D$5:$D$504),"-"))</f>
        <v/>
      </c>
      <c r="D172" s="6" t="str">
        <f>IF($G$161="","",IFERROR(LOOKUP(2,1/((SAISIE!$F$5:$F$504=$G$161)*(ISNUMBER(SEARCH("accidentel",SAISIE!$B$5:$B$504)))),SAISIE!$E$5:$E$504),"-"))</f>
        <v/>
      </c>
      <c r="E172" s="6"/>
    </row>
    <row r="173" spans="1:7" ht="15.75" x14ac:dyDescent="0.25">
      <c r="A173" s="9" t="str">
        <f>IF($G$173="","","Noeud "&amp;$G$173)</f>
        <v/>
      </c>
      <c r="B173" s="10"/>
      <c r="C173" s="10"/>
      <c r="D173" s="10"/>
      <c r="E173" s="10"/>
      <c r="G173" t="str">
        <f>IFERROR(INDEX(SAISIE!$F$5:$F$504,_xlfn.AGGREGATE(15,6,ROW(SAISIE!$F$5:$F$504)-ROW(SAISIE!$F$5)+1/(SAISIE!$F$5:$F$504&lt;&gt;"")/(COUNTIF($G$4:G172,SAISIE!$F$5:$F$504)=0),1)),"")</f>
        <v/>
      </c>
    </row>
    <row r="174" spans="1:7" x14ac:dyDescent="0.25">
      <c r="A174" s="5" t="s">
        <v>49</v>
      </c>
      <c r="B174" s="6" t="str">
        <f>IF($G$173="","",IFERROR(IFERROR(LOOKUP(2,1/((SAISIE!$F$5:$F$504=$G$173)*(LEFT(SAISIE!$B$5:$B$504,2)="G ")),SAISIE!$C$5:$C$504),LOOKUP(2,1/((SAISIE!$F$5:$F$504=$G$173)*(ISNUMBER(SEARCH("Couverture",SAISIE!$B$5:$B$504)))),SAISIE!$C$5:$C$504)),"-"))</f>
        <v/>
      </c>
      <c r="C174" s="6" t="str">
        <f>IF($G$173="","",IFERROR(IFERROR(LOOKUP(2,1/((SAISIE!$F$5:$F$504=$G$173)*(LEFT(SAISIE!$B$5:$B$504,2)="G ")),SAISIE!$D$5:$D$504),LOOKUP(2,1/((SAISIE!$F$5:$F$504=$G$173)*(ISNUMBER(SEARCH("Couverture",SAISIE!$B$5:$B$504)))),SAISIE!$D$5:$D$504)),"-"))</f>
        <v/>
      </c>
      <c r="D174" s="6" t="str">
        <f>IF($G$173="","",IFERROR(IFERROR(LOOKUP(2,1/((SAISIE!$F$5:$F$504=$G$173)*(LEFT(SAISIE!$B$5:$B$504,2)="G ")),SAISIE!$E$5:$E$504),LOOKUP(2,1/((SAISIE!$F$5:$F$504=$G$173)*(ISNUMBER(SEARCH("Couverture",SAISIE!$B$5:$B$504)))),SAISIE!$E$5:$E$504)),"-"))</f>
        <v/>
      </c>
      <c r="E174" s="6"/>
    </row>
    <row r="175" spans="1:7" x14ac:dyDescent="0.25">
      <c r="A175" s="5" t="s">
        <v>50</v>
      </c>
      <c r="B175" s="6" t="str">
        <f>IF($G$173="","",IFERROR(IF(_xlfn.MINIFS(SAISIE!$E$5:$E$504,SAISIE!$B$5:$B$504,"*Vent G/D*",SAISIE!$F$5:$F$504,$G$173)&gt;=0,_xlfn.MAXIFS(SAISIE!$C$5:$C$504,SAISIE!$B$5:$B$504,"*Vent G/D*",SAISIE!$F$5:$F$504,$G$173),INDEX(SAISIE!$C$5:$C$504,MATCH(_xlfn.MINIFS(SAISIE!$E$5:$E$504,SAISIE!$B$5:$B$504,"*Vent G/D*",SAISIE!$F$5:$F$504,$G$173),SAISIE!$E$5:$E$504,0))),"-"))</f>
        <v/>
      </c>
      <c r="C175" s="6" t="str">
        <f>IF($G$173="","",IFERROR(IF(_xlfn.MINIFS(SAISIE!$E$5:$E$504,SAISIE!$B$5:$B$504,"*Vent G/D*",SAISIE!$F$5:$F$504,$G$173)&gt;=0,INDEX(SAISIE!$D$5:$D$504,MATCH(_xlfn.MAXIFS(SAISIE!$C$5:$C$504,SAISIE!$B$5:$B$504,"*Vent G/D*",SAISIE!$F$5:$F$504,$G$173),SAISIE!$C$5:$C$504,0)),INDEX(SAISIE!$D$5:$D$504,MATCH(_xlfn.MINIFS(SAISIE!$E$5:$E$504,SAISIE!$B$5:$B$504,"*Vent G/D*",SAISIE!$F$5:$F$504,$G$173),SAISIE!$E$5:$E$504,0))),"-"))</f>
        <v/>
      </c>
      <c r="D175" s="6" t="str">
        <f>IF($G$173="","",IFERROR(IF(_xlfn.MINIFS(SAISIE!$E$5:$E$504,SAISIE!$B$5:$B$504,"*Vent G/D*",SAISIE!$F$5:$F$504,$G$173)&gt;=0,0,_xlfn.MINIFS(SAISIE!$E$5:$E$504,SAISIE!$B$5:$B$504,"*Vent G/D*",SAISIE!$F$5:$F$504,$G$173)),"-"))</f>
        <v/>
      </c>
      <c r="E175" s="6" t="s">
        <v>51</v>
      </c>
    </row>
    <row r="176" spans="1:7" x14ac:dyDescent="0.25">
      <c r="A176" s="5" t="s">
        <v>52</v>
      </c>
      <c r="B176" s="6" t="str">
        <f>IF($G$173="","",IFERROR(INDEX(SAISIE!$C$5:$C$504,MATCH(_xlfn.MAXIFS(SAISIE!$E$5:$E$504,SAISIE!$B$5:$B$504,"*Vent G/D*",SAISIE!$F$5:$F$504,$G$173),SAISIE!$E$5:$E$504,0)),"-"))</f>
        <v/>
      </c>
      <c r="C176" s="6" t="str">
        <f>IF($G$173="","",IFERROR(INDEX(SAISIE!$D$5:$D$504,MATCH(_xlfn.MAXIFS(SAISIE!$E$5:$E$504,SAISIE!$B$5:$B$504,"*Vent G/D*",SAISIE!$F$5:$F$504,$G$173),SAISIE!$E$5:$E$504,0)),"-"))</f>
        <v/>
      </c>
      <c r="D176" s="6" t="str">
        <f>IF($G$173="","",IFERROR(_xlfn.MAXIFS(SAISIE!$E$5:$E$504,SAISIE!$B$5:$B$504,"*Vent G/D*",SAISIE!$F$5:$F$504,$G$173),"-"))</f>
        <v/>
      </c>
      <c r="E176" s="6" t="s">
        <v>53</v>
      </c>
    </row>
    <row r="177" spans="1:7" x14ac:dyDescent="0.25">
      <c r="A177" s="5" t="s">
        <v>54</v>
      </c>
      <c r="B177" s="6" t="str">
        <f>IF($G$173="","",IFERROR(IF(_xlfn.MINIFS(SAISIE!$E$5:$E$504,SAISIE!$B$5:$B$504,"*Vent D/G*",SAISIE!$F$5:$F$504,$G$173)&gt;=0,_xlfn.MAXIFS(SAISIE!$C$5:$C$504,SAISIE!$B$5:$B$504,"*Vent D/G*",SAISIE!$F$5:$F$504,$G$173),INDEX(SAISIE!$C$5:$C$504,MATCH(_xlfn.MINIFS(SAISIE!$E$5:$E$504,SAISIE!$B$5:$B$504,"*Vent D/G*",SAISIE!$F$5:$F$504,$G$173),SAISIE!$E$5:$E$504,0))),"-"))</f>
        <v/>
      </c>
      <c r="C177" s="6" t="str">
        <f>IF($G$173="","",IFERROR(IF(_xlfn.MINIFS(SAISIE!$E$5:$E$504,SAISIE!$B$5:$B$504,"*Vent D/G*",SAISIE!$F$5:$F$504,$G$173)&gt;=0,INDEX(SAISIE!$D$5:$D$504,MATCH(_xlfn.MAXIFS(SAISIE!$C$5:$C$504,SAISIE!$B$5:$B$504,"*Vent D/G*",SAISIE!$F$5:$F$504,$G$173),SAISIE!$C$5:$C$504,0)),INDEX(SAISIE!$D$5:$D$504,MATCH(_xlfn.MINIFS(SAISIE!$E$5:$E$504,SAISIE!$B$5:$B$504,"*Vent D/G*",SAISIE!$F$5:$F$504,$G$173),SAISIE!$E$5:$E$504,0))),"-"))</f>
        <v/>
      </c>
      <c r="D177" s="6" t="str">
        <f>IF($G$173="","",IFERROR(IF(_xlfn.MINIFS(SAISIE!$E$5:$E$504,SAISIE!$B$5:$B$504,"*Vent D/G*",SAISIE!$F$5:$F$504,$G$173)&gt;=0,0,_xlfn.MINIFS(SAISIE!$E$5:$E$504,SAISIE!$B$5:$B$504,"*Vent D/G*",SAISIE!$F$5:$F$504,$G$173)),"-"))</f>
        <v/>
      </c>
      <c r="E177" s="6" t="s">
        <v>51</v>
      </c>
    </row>
    <row r="178" spans="1:7" x14ac:dyDescent="0.25">
      <c r="A178" s="5" t="s">
        <v>55</v>
      </c>
      <c r="B178" s="6" t="str">
        <f>IF($G$173="","",IFERROR(INDEX(SAISIE!$C$5:$C$504,MATCH(_xlfn.MAXIFS(SAISIE!$E$5:$E$504,SAISIE!$B$5:$B$504,"*Vent D/G*",SAISIE!$F$5:$F$504,$G$173),SAISIE!$E$5:$E$504,0)),"-"))</f>
        <v/>
      </c>
      <c r="C178" s="6" t="str">
        <f>IF($G$173="","",IFERROR(INDEX(SAISIE!$D$5:$D$504,MATCH(_xlfn.MAXIFS(SAISIE!$E$5:$E$504,SAISIE!$B$5:$B$504,"*Vent D/G*",SAISIE!$F$5:$F$504,$G$173),SAISIE!$E$5:$E$504,0)),"-"))</f>
        <v/>
      </c>
      <c r="D178" s="6" t="str">
        <f>IF($G$173="","",IFERROR(_xlfn.MAXIFS(SAISIE!$E$5:$E$504,SAISIE!$B$5:$B$504,"*Vent D/G*",SAISIE!$F$5:$F$504,$G$173),"-"))</f>
        <v/>
      </c>
      <c r="E178" s="6" t="s">
        <v>53</v>
      </c>
    </row>
    <row r="179" spans="1:7" x14ac:dyDescent="0.25">
      <c r="A179" s="5" t="s">
        <v>56</v>
      </c>
      <c r="B179" s="6" t="str">
        <f>IF($G$173="","",IFERROR(IF(_xlfn.MINIFS(SAISIE!$E$5:$E$504,SAISIE!$B$5:$B$504,"*Vent Av./Arr.*",SAISIE!$F$5:$F$504,$G$173)&gt;=0,_xlfn.MAXIFS(SAISIE!$C$5:$C$504,SAISIE!$B$5:$B$504,"*Vent Av./Arr.*",SAISIE!$F$5:$F$504,$G$173),INDEX(SAISIE!$C$5:$C$504,MATCH(_xlfn.MINIFS(SAISIE!$E$5:$E$504,SAISIE!$B$5:$B$504,"*Vent Av./Arr.*",SAISIE!$F$5:$F$504,$G$173),SAISIE!$E$5:$E$504,0))),"-"))</f>
        <v/>
      </c>
      <c r="C179" s="6" t="str">
        <f>IF($G$173="","",IFERROR(IF(_xlfn.MINIFS(SAISIE!$E$5:$E$504,SAISIE!$B$5:$B$504,"*Vent Av./Arr.*",SAISIE!$F$5:$F$504,$G$173)&gt;=0,INDEX(SAISIE!$D$5:$D$504,MATCH(_xlfn.MAXIFS(SAISIE!$C$5:$C$504,SAISIE!$B$5:$B$504,"*Vent Av./Arr.*",SAISIE!$F$5:$F$504,$G$173),SAISIE!$C$5:$C$504,0)),INDEX(SAISIE!$D$5:$D$504,MATCH(_xlfn.MINIFS(SAISIE!$E$5:$E$504,SAISIE!$B$5:$B$504,"*Vent Av./Arr.*",SAISIE!$F$5:$F$504,$G$173),SAISIE!$E$5:$E$504,0))),"-"))</f>
        <v/>
      </c>
      <c r="D179" s="6" t="str">
        <f>IF($G$173="","",IFERROR(IF(_xlfn.MINIFS(SAISIE!$E$5:$E$504,SAISIE!$B$5:$B$504,"*Vent Av./Arr.*",SAISIE!$F$5:$F$504,$G$173)&gt;=0,0,_xlfn.MINIFS(SAISIE!$E$5:$E$504,SAISIE!$B$5:$B$504,"*Vent Av./Arr.*",SAISIE!$F$5:$F$504,$G$173)),"-"))</f>
        <v/>
      </c>
      <c r="E179" s="6" t="s">
        <v>51</v>
      </c>
    </row>
    <row r="180" spans="1:7" x14ac:dyDescent="0.25">
      <c r="A180" s="5" t="s">
        <v>57</v>
      </c>
      <c r="B180" s="6" t="str">
        <f>IF($G$173="","",IFERROR(INDEX(SAISIE!$C$5:$C$504,MATCH(_xlfn.MAXIFS(SAISIE!$E$5:$E$504,SAISIE!$B$5:$B$504,"*Vent Av./Arr.*",SAISIE!$F$5:$F$504,$G$173),SAISIE!$E$5:$E$504,0)),"-"))</f>
        <v/>
      </c>
      <c r="C180" s="6" t="str">
        <f>IF($G$173="","",IFERROR(INDEX(SAISIE!$D$5:$D$504,MATCH(_xlfn.MAXIFS(SAISIE!$E$5:$E$504,SAISIE!$B$5:$B$504,"*Vent Av./Arr.*",SAISIE!$F$5:$F$504,$G$173),SAISIE!$E$5:$E$504,0)),"-"))</f>
        <v/>
      </c>
      <c r="D180" s="6" t="str">
        <f>IF($G$173="","",IFERROR(_xlfn.MAXIFS(SAISIE!$E$5:$E$504,SAISIE!$B$5:$B$504,"*Vent Av./Arr.*",SAISIE!$F$5:$F$504,$G$173),"-"))</f>
        <v/>
      </c>
      <c r="E180" s="6" t="s">
        <v>53</v>
      </c>
    </row>
    <row r="181" spans="1:7" x14ac:dyDescent="0.25">
      <c r="A181" s="5" t="s">
        <v>58</v>
      </c>
      <c r="B181" s="6" t="str">
        <f>IF($G$173="","",IFERROR(IF(_xlfn.MINIFS(SAISIE!$E$5:$E$504,SAISIE!$B$5:$B$504,"*Vent Arr./Av.*",SAISIE!$F$5:$F$504,$G$173)&gt;=0,_xlfn.MAXIFS(SAISIE!$C$5:$C$504,SAISIE!$B$5:$B$504,"*Vent Arr./Av.*",SAISIE!$F$5:$F$504,$G$173),INDEX(SAISIE!$C$5:$C$504,MATCH(_xlfn.MINIFS(SAISIE!$E$5:$E$504,SAISIE!$B$5:$B$504,"*Vent Arr./Av.*",SAISIE!$F$5:$F$504,$G$173),SAISIE!$E$5:$E$504,0))),"-"))</f>
        <v/>
      </c>
      <c r="C181" s="6" t="str">
        <f>IF($G$173="","",IFERROR(IF(_xlfn.MINIFS(SAISIE!$E$5:$E$504,SAISIE!$B$5:$B$504,"*Vent Arr./Av.*",SAISIE!$F$5:$F$504,$G$173)&gt;=0,INDEX(SAISIE!$D$5:$D$504,MATCH(_xlfn.MAXIFS(SAISIE!$C$5:$C$504,SAISIE!$B$5:$B$504,"*Vent Arr./Av.*",SAISIE!$F$5:$F$504,$G$173),SAISIE!$C$5:$C$504,0)),INDEX(SAISIE!$D$5:$D$504,MATCH(_xlfn.MINIFS(SAISIE!$E$5:$E$504,SAISIE!$B$5:$B$504,"*Vent Arr./Av.*",SAISIE!$F$5:$F$504,$G$173),SAISIE!$E$5:$E$504,0))),"-"))</f>
        <v/>
      </c>
      <c r="D181" s="6" t="str">
        <f>IF($G$173="","",IFERROR(IF(_xlfn.MINIFS(SAISIE!$E$5:$E$504,SAISIE!$B$5:$B$504,"*Vent Arr./Av.*",SAISIE!$F$5:$F$504,$G$173)&gt;=0,0,_xlfn.MINIFS(SAISIE!$E$5:$E$504,SAISIE!$B$5:$B$504,"*Vent Arr./Av.*",SAISIE!$F$5:$F$504,$G$173)),"-"))</f>
        <v/>
      </c>
      <c r="E181" s="6" t="s">
        <v>51</v>
      </c>
    </row>
    <row r="182" spans="1:7" x14ac:dyDescent="0.25">
      <c r="A182" s="5" t="s">
        <v>59</v>
      </c>
      <c r="B182" s="6" t="str">
        <f>IF($G$173="","",IFERROR(INDEX(SAISIE!$C$5:$C$504,MATCH(_xlfn.MAXIFS(SAISIE!$E$5:$E$504,SAISIE!$B$5:$B$504,"*Vent Arr./Av.*",SAISIE!$F$5:$F$504,$G$173),SAISIE!$E$5:$E$504,0)),"-"))</f>
        <v/>
      </c>
      <c r="C182" s="6" t="str">
        <f>IF($G$173="","",IFERROR(INDEX(SAISIE!$D$5:$D$504,MATCH(_xlfn.MAXIFS(SAISIE!$E$5:$E$504,SAISIE!$B$5:$B$504,"*Vent Arr./Av.*",SAISIE!$F$5:$F$504,$G$173),SAISIE!$E$5:$E$504,0)),"-"))</f>
        <v/>
      </c>
      <c r="D182" s="6" t="str">
        <f>IF($G$173="","",IFERROR(_xlfn.MAXIFS(SAISIE!$E$5:$E$504,SAISIE!$B$5:$B$504,"*Vent Arr./Av.*",SAISIE!$F$5:$F$504,$G$173),"-"))</f>
        <v/>
      </c>
      <c r="E182" s="6" t="s">
        <v>53</v>
      </c>
    </row>
    <row r="183" spans="1:7" x14ac:dyDescent="0.25">
      <c r="A183" s="5" t="s">
        <v>60</v>
      </c>
      <c r="B183" s="6" t="str">
        <f>IF($G$173="","",IFERROR(INDEX(SAISIE!$C$5:$C$504,MATCH(_xlfn.MINIFS(SAISIE!$E$5:$E$504,SAISIE!$B$5:$B$504,"*Neige*",SAISIE!$B$5:$B$504,"&lt;&gt;*accidentel*",SAISIE!$F$5:$F$504,$G$173),SAISIE!$E$5:$E$504,0)),"-"))</f>
        <v/>
      </c>
      <c r="C183" s="6" t="str">
        <f>IF($G$173="","",IFERROR(INDEX(SAISIE!$D$5:$D$504,MATCH(_xlfn.MINIFS(SAISIE!$E$5:$E$504,SAISIE!$B$5:$B$504,"*Neige*",SAISIE!$B$5:$B$504,"&lt;&gt;*accidentel*",SAISIE!$F$5:$F$504,$G$173),SAISIE!$E$5:$E$504,0)),"-"))</f>
        <v/>
      </c>
      <c r="D183" s="6" t="str">
        <f>IF($G$173="","",IFERROR(INDEX(SAISIE!$E$5:$E$504,MATCH(_xlfn.MINIFS(SAISIE!$E$5:$E$504,SAISIE!$B$5:$B$504,"*Neige*",SAISIE!$B$5:$B$504,"&lt;&gt;*accidentel*",SAISIE!$F$5:$F$504,$G$173),SAISIE!$E$5:$E$504,0)),"-"))</f>
        <v/>
      </c>
      <c r="E183" s="6"/>
    </row>
    <row r="184" spans="1:7" x14ac:dyDescent="0.25">
      <c r="A184" s="5" t="s">
        <v>61</v>
      </c>
      <c r="B184" s="6" t="str">
        <f>IF($G$173="","",IFERROR(LOOKUP(2,1/((SAISIE!$F$5:$F$504=$G$173)*(ISNUMBER(SEARCH("accidentel",SAISIE!$B$5:$B$504)))),SAISIE!$C$5:$C$504),"-"))</f>
        <v/>
      </c>
      <c r="C184" s="6" t="str">
        <f>IF($G$173="","",IFERROR(LOOKUP(2,1/((SAISIE!$F$5:$F$504=$G$173)*(ISNUMBER(SEARCH("accidentel",SAISIE!$B$5:$B$504)))),SAISIE!$D$5:$D$504),"-"))</f>
        <v/>
      </c>
      <c r="D184" s="6" t="str">
        <f>IF($G$173="","",IFERROR(LOOKUP(2,1/((SAISIE!$F$5:$F$504=$G$173)*(ISNUMBER(SEARCH("accidentel",SAISIE!$B$5:$B$504)))),SAISIE!$E$5:$E$504),"-"))</f>
        <v/>
      </c>
      <c r="E184" s="6"/>
    </row>
    <row r="185" spans="1:7" ht="15.75" x14ac:dyDescent="0.25">
      <c r="A185" s="9" t="str">
        <f>IF($G$185="","","Noeud "&amp;$G$185)</f>
        <v/>
      </c>
      <c r="B185" s="10"/>
      <c r="C185" s="10"/>
      <c r="D185" s="10"/>
      <c r="E185" s="10"/>
      <c r="G185" t="str">
        <f>IFERROR(INDEX(SAISIE!$F$5:$F$504,_xlfn.AGGREGATE(15,6,ROW(SAISIE!$F$5:$F$504)-ROW(SAISIE!$F$5)+1/(SAISIE!$F$5:$F$504&lt;&gt;"")/(COUNTIF($G$4:G184,SAISIE!$F$5:$F$504)=0),1)),"")</f>
        <v/>
      </c>
    </row>
    <row r="186" spans="1:7" x14ac:dyDescent="0.25">
      <c r="A186" s="5" t="s">
        <v>49</v>
      </c>
      <c r="B186" s="6" t="str">
        <f>IF($G$185="","",IFERROR(IFERROR(LOOKUP(2,1/((SAISIE!$F$5:$F$504=$G$185)*(LEFT(SAISIE!$B$5:$B$504,2)="G ")),SAISIE!$C$5:$C$504),LOOKUP(2,1/((SAISIE!$F$5:$F$504=$G$185)*(ISNUMBER(SEARCH("Couverture",SAISIE!$B$5:$B$504)))),SAISIE!$C$5:$C$504)),"-"))</f>
        <v/>
      </c>
      <c r="C186" s="6" t="str">
        <f>IF($G$185="","",IFERROR(IFERROR(LOOKUP(2,1/((SAISIE!$F$5:$F$504=$G$185)*(LEFT(SAISIE!$B$5:$B$504,2)="G ")),SAISIE!$D$5:$D$504),LOOKUP(2,1/((SAISIE!$F$5:$F$504=$G$185)*(ISNUMBER(SEARCH("Couverture",SAISIE!$B$5:$B$504)))),SAISIE!$D$5:$D$504)),"-"))</f>
        <v/>
      </c>
      <c r="D186" s="6" t="str">
        <f>IF($G$185="","",IFERROR(IFERROR(LOOKUP(2,1/((SAISIE!$F$5:$F$504=$G$185)*(LEFT(SAISIE!$B$5:$B$504,2)="G ")),SAISIE!$E$5:$E$504),LOOKUP(2,1/((SAISIE!$F$5:$F$504=$G$185)*(ISNUMBER(SEARCH("Couverture",SAISIE!$B$5:$B$504)))),SAISIE!$E$5:$E$504)),"-"))</f>
        <v/>
      </c>
      <c r="E186" s="6"/>
    </row>
    <row r="187" spans="1:7" x14ac:dyDescent="0.25">
      <c r="A187" s="5" t="s">
        <v>50</v>
      </c>
      <c r="B187" s="6" t="str">
        <f>IF($G$185="","",IFERROR(IF(_xlfn.MINIFS(SAISIE!$E$5:$E$504,SAISIE!$B$5:$B$504,"*Vent G/D*",SAISIE!$F$5:$F$504,$G$185)&gt;=0,_xlfn.MAXIFS(SAISIE!$C$5:$C$504,SAISIE!$B$5:$B$504,"*Vent G/D*",SAISIE!$F$5:$F$504,$G$185),INDEX(SAISIE!$C$5:$C$504,MATCH(_xlfn.MINIFS(SAISIE!$E$5:$E$504,SAISIE!$B$5:$B$504,"*Vent G/D*",SAISIE!$F$5:$F$504,$G$185),SAISIE!$E$5:$E$504,0))),"-"))</f>
        <v/>
      </c>
      <c r="C187" s="6" t="str">
        <f>IF($G$185="","",IFERROR(IF(_xlfn.MINIFS(SAISIE!$E$5:$E$504,SAISIE!$B$5:$B$504,"*Vent G/D*",SAISIE!$F$5:$F$504,$G$185)&gt;=0,INDEX(SAISIE!$D$5:$D$504,MATCH(_xlfn.MAXIFS(SAISIE!$C$5:$C$504,SAISIE!$B$5:$B$504,"*Vent G/D*",SAISIE!$F$5:$F$504,$G$185),SAISIE!$C$5:$C$504,0)),INDEX(SAISIE!$D$5:$D$504,MATCH(_xlfn.MINIFS(SAISIE!$E$5:$E$504,SAISIE!$B$5:$B$504,"*Vent G/D*",SAISIE!$F$5:$F$504,$G$185),SAISIE!$E$5:$E$504,0))),"-"))</f>
        <v/>
      </c>
      <c r="D187" s="6" t="str">
        <f>IF($G$185="","",IFERROR(IF(_xlfn.MINIFS(SAISIE!$E$5:$E$504,SAISIE!$B$5:$B$504,"*Vent G/D*",SAISIE!$F$5:$F$504,$G$185)&gt;=0,0,_xlfn.MINIFS(SAISIE!$E$5:$E$504,SAISIE!$B$5:$B$504,"*Vent G/D*",SAISIE!$F$5:$F$504,$G$185)),"-"))</f>
        <v/>
      </c>
      <c r="E187" s="6" t="s">
        <v>51</v>
      </c>
    </row>
    <row r="188" spans="1:7" x14ac:dyDescent="0.25">
      <c r="A188" s="5" t="s">
        <v>52</v>
      </c>
      <c r="B188" s="6" t="str">
        <f>IF($G$185="","",IFERROR(INDEX(SAISIE!$C$5:$C$504,MATCH(_xlfn.MAXIFS(SAISIE!$E$5:$E$504,SAISIE!$B$5:$B$504,"*Vent G/D*",SAISIE!$F$5:$F$504,$G$185),SAISIE!$E$5:$E$504,0)),"-"))</f>
        <v/>
      </c>
      <c r="C188" s="6" t="str">
        <f>IF($G$185="","",IFERROR(INDEX(SAISIE!$D$5:$D$504,MATCH(_xlfn.MAXIFS(SAISIE!$E$5:$E$504,SAISIE!$B$5:$B$504,"*Vent G/D*",SAISIE!$F$5:$F$504,$G$185),SAISIE!$E$5:$E$504,0)),"-"))</f>
        <v/>
      </c>
      <c r="D188" s="6" t="str">
        <f>IF($G$185="","",IFERROR(_xlfn.MAXIFS(SAISIE!$E$5:$E$504,SAISIE!$B$5:$B$504,"*Vent G/D*",SAISIE!$F$5:$F$504,$G$185),"-"))</f>
        <v/>
      </c>
      <c r="E188" s="6" t="s">
        <v>53</v>
      </c>
    </row>
    <row r="189" spans="1:7" x14ac:dyDescent="0.25">
      <c r="A189" s="5" t="s">
        <v>54</v>
      </c>
      <c r="B189" s="6" t="str">
        <f>IF($G$185="","",IFERROR(IF(_xlfn.MINIFS(SAISIE!$E$5:$E$504,SAISIE!$B$5:$B$504,"*Vent D/G*",SAISIE!$F$5:$F$504,$G$185)&gt;=0,_xlfn.MAXIFS(SAISIE!$C$5:$C$504,SAISIE!$B$5:$B$504,"*Vent D/G*",SAISIE!$F$5:$F$504,$G$185),INDEX(SAISIE!$C$5:$C$504,MATCH(_xlfn.MINIFS(SAISIE!$E$5:$E$504,SAISIE!$B$5:$B$504,"*Vent D/G*",SAISIE!$F$5:$F$504,$G$185),SAISIE!$E$5:$E$504,0))),"-"))</f>
        <v/>
      </c>
      <c r="C189" s="6" t="str">
        <f>IF($G$185="","",IFERROR(IF(_xlfn.MINIFS(SAISIE!$E$5:$E$504,SAISIE!$B$5:$B$504,"*Vent D/G*",SAISIE!$F$5:$F$504,$G$185)&gt;=0,INDEX(SAISIE!$D$5:$D$504,MATCH(_xlfn.MAXIFS(SAISIE!$C$5:$C$504,SAISIE!$B$5:$B$504,"*Vent D/G*",SAISIE!$F$5:$F$504,$G$185),SAISIE!$C$5:$C$504,0)),INDEX(SAISIE!$D$5:$D$504,MATCH(_xlfn.MINIFS(SAISIE!$E$5:$E$504,SAISIE!$B$5:$B$504,"*Vent D/G*",SAISIE!$F$5:$F$504,$G$185),SAISIE!$E$5:$E$504,0))),"-"))</f>
        <v/>
      </c>
      <c r="D189" s="6" t="str">
        <f>IF($G$185="","",IFERROR(IF(_xlfn.MINIFS(SAISIE!$E$5:$E$504,SAISIE!$B$5:$B$504,"*Vent D/G*",SAISIE!$F$5:$F$504,$G$185)&gt;=0,0,_xlfn.MINIFS(SAISIE!$E$5:$E$504,SAISIE!$B$5:$B$504,"*Vent D/G*",SAISIE!$F$5:$F$504,$G$185)),"-"))</f>
        <v/>
      </c>
      <c r="E189" s="6" t="s">
        <v>51</v>
      </c>
    </row>
    <row r="190" spans="1:7" x14ac:dyDescent="0.25">
      <c r="A190" s="5" t="s">
        <v>55</v>
      </c>
      <c r="B190" s="6" t="str">
        <f>IF($G$185="","",IFERROR(INDEX(SAISIE!$C$5:$C$504,MATCH(_xlfn.MAXIFS(SAISIE!$E$5:$E$504,SAISIE!$B$5:$B$504,"*Vent D/G*",SAISIE!$F$5:$F$504,$G$185),SAISIE!$E$5:$E$504,0)),"-"))</f>
        <v/>
      </c>
      <c r="C190" s="6" t="str">
        <f>IF($G$185="","",IFERROR(INDEX(SAISIE!$D$5:$D$504,MATCH(_xlfn.MAXIFS(SAISIE!$E$5:$E$504,SAISIE!$B$5:$B$504,"*Vent D/G*",SAISIE!$F$5:$F$504,$G$185),SAISIE!$E$5:$E$504,0)),"-"))</f>
        <v/>
      </c>
      <c r="D190" s="6" t="str">
        <f>IF($G$185="","",IFERROR(_xlfn.MAXIFS(SAISIE!$E$5:$E$504,SAISIE!$B$5:$B$504,"*Vent D/G*",SAISIE!$F$5:$F$504,$G$185),"-"))</f>
        <v/>
      </c>
      <c r="E190" s="6" t="s">
        <v>53</v>
      </c>
    </row>
    <row r="191" spans="1:7" x14ac:dyDescent="0.25">
      <c r="A191" s="5" t="s">
        <v>56</v>
      </c>
      <c r="B191" s="6" t="str">
        <f>IF($G$185="","",IFERROR(IF(_xlfn.MINIFS(SAISIE!$E$5:$E$504,SAISIE!$B$5:$B$504,"*Vent Av./Arr.*",SAISIE!$F$5:$F$504,$G$185)&gt;=0,_xlfn.MAXIFS(SAISIE!$C$5:$C$504,SAISIE!$B$5:$B$504,"*Vent Av./Arr.*",SAISIE!$F$5:$F$504,$G$185),INDEX(SAISIE!$C$5:$C$504,MATCH(_xlfn.MINIFS(SAISIE!$E$5:$E$504,SAISIE!$B$5:$B$504,"*Vent Av./Arr.*",SAISIE!$F$5:$F$504,$G$185),SAISIE!$E$5:$E$504,0))),"-"))</f>
        <v/>
      </c>
      <c r="C191" s="6" t="str">
        <f>IF($G$185="","",IFERROR(IF(_xlfn.MINIFS(SAISIE!$E$5:$E$504,SAISIE!$B$5:$B$504,"*Vent Av./Arr.*",SAISIE!$F$5:$F$504,$G$185)&gt;=0,INDEX(SAISIE!$D$5:$D$504,MATCH(_xlfn.MAXIFS(SAISIE!$C$5:$C$504,SAISIE!$B$5:$B$504,"*Vent Av./Arr.*",SAISIE!$F$5:$F$504,$G$185),SAISIE!$C$5:$C$504,0)),INDEX(SAISIE!$D$5:$D$504,MATCH(_xlfn.MINIFS(SAISIE!$E$5:$E$504,SAISIE!$B$5:$B$504,"*Vent Av./Arr.*",SAISIE!$F$5:$F$504,$G$185),SAISIE!$E$5:$E$504,0))),"-"))</f>
        <v/>
      </c>
      <c r="D191" s="6" t="str">
        <f>IF($G$185="","",IFERROR(IF(_xlfn.MINIFS(SAISIE!$E$5:$E$504,SAISIE!$B$5:$B$504,"*Vent Av./Arr.*",SAISIE!$F$5:$F$504,$G$185)&gt;=0,0,_xlfn.MINIFS(SAISIE!$E$5:$E$504,SAISIE!$B$5:$B$504,"*Vent Av./Arr.*",SAISIE!$F$5:$F$504,$G$185)),"-"))</f>
        <v/>
      </c>
      <c r="E191" s="6" t="s">
        <v>51</v>
      </c>
    </row>
    <row r="192" spans="1:7" x14ac:dyDescent="0.25">
      <c r="A192" s="5" t="s">
        <v>57</v>
      </c>
      <c r="B192" s="6" t="str">
        <f>IF($G$185="","",IFERROR(INDEX(SAISIE!$C$5:$C$504,MATCH(_xlfn.MAXIFS(SAISIE!$E$5:$E$504,SAISIE!$B$5:$B$504,"*Vent Av./Arr.*",SAISIE!$F$5:$F$504,$G$185),SAISIE!$E$5:$E$504,0)),"-"))</f>
        <v/>
      </c>
      <c r="C192" s="6" t="str">
        <f>IF($G$185="","",IFERROR(INDEX(SAISIE!$D$5:$D$504,MATCH(_xlfn.MAXIFS(SAISIE!$E$5:$E$504,SAISIE!$B$5:$B$504,"*Vent Av./Arr.*",SAISIE!$F$5:$F$504,$G$185),SAISIE!$E$5:$E$504,0)),"-"))</f>
        <v/>
      </c>
      <c r="D192" s="6" t="str">
        <f>IF($G$185="","",IFERROR(_xlfn.MAXIFS(SAISIE!$E$5:$E$504,SAISIE!$B$5:$B$504,"*Vent Av./Arr.*",SAISIE!$F$5:$F$504,$G$185),"-"))</f>
        <v/>
      </c>
      <c r="E192" s="6" t="s">
        <v>53</v>
      </c>
    </row>
    <row r="193" spans="1:7" x14ac:dyDescent="0.25">
      <c r="A193" s="5" t="s">
        <v>58</v>
      </c>
      <c r="B193" s="6" t="str">
        <f>IF($G$185="","",IFERROR(IF(_xlfn.MINIFS(SAISIE!$E$5:$E$504,SAISIE!$B$5:$B$504,"*Vent Arr./Av.*",SAISIE!$F$5:$F$504,$G$185)&gt;=0,_xlfn.MAXIFS(SAISIE!$C$5:$C$504,SAISIE!$B$5:$B$504,"*Vent Arr./Av.*",SAISIE!$F$5:$F$504,$G$185),INDEX(SAISIE!$C$5:$C$504,MATCH(_xlfn.MINIFS(SAISIE!$E$5:$E$504,SAISIE!$B$5:$B$504,"*Vent Arr./Av.*",SAISIE!$F$5:$F$504,$G$185),SAISIE!$E$5:$E$504,0))),"-"))</f>
        <v/>
      </c>
      <c r="C193" s="6" t="str">
        <f>IF($G$185="","",IFERROR(IF(_xlfn.MINIFS(SAISIE!$E$5:$E$504,SAISIE!$B$5:$B$504,"*Vent Arr./Av.*",SAISIE!$F$5:$F$504,$G$185)&gt;=0,INDEX(SAISIE!$D$5:$D$504,MATCH(_xlfn.MAXIFS(SAISIE!$C$5:$C$504,SAISIE!$B$5:$B$504,"*Vent Arr./Av.*",SAISIE!$F$5:$F$504,$G$185),SAISIE!$C$5:$C$504,0)),INDEX(SAISIE!$D$5:$D$504,MATCH(_xlfn.MINIFS(SAISIE!$E$5:$E$504,SAISIE!$B$5:$B$504,"*Vent Arr./Av.*",SAISIE!$F$5:$F$504,$G$185),SAISIE!$E$5:$E$504,0))),"-"))</f>
        <v/>
      </c>
      <c r="D193" s="6" t="str">
        <f>IF($G$185="","",IFERROR(IF(_xlfn.MINIFS(SAISIE!$E$5:$E$504,SAISIE!$B$5:$B$504,"*Vent Arr./Av.*",SAISIE!$F$5:$F$504,$G$185)&gt;=0,0,_xlfn.MINIFS(SAISIE!$E$5:$E$504,SAISIE!$B$5:$B$504,"*Vent Arr./Av.*",SAISIE!$F$5:$F$504,$G$185)),"-"))</f>
        <v/>
      </c>
      <c r="E193" s="6" t="s">
        <v>51</v>
      </c>
    </row>
    <row r="194" spans="1:7" x14ac:dyDescent="0.25">
      <c r="A194" s="5" t="s">
        <v>59</v>
      </c>
      <c r="B194" s="6" t="str">
        <f>IF($G$185="","",IFERROR(INDEX(SAISIE!$C$5:$C$504,MATCH(_xlfn.MAXIFS(SAISIE!$E$5:$E$504,SAISIE!$B$5:$B$504,"*Vent Arr./Av.*",SAISIE!$F$5:$F$504,$G$185),SAISIE!$E$5:$E$504,0)),"-"))</f>
        <v/>
      </c>
      <c r="C194" s="6" t="str">
        <f>IF($G$185="","",IFERROR(INDEX(SAISIE!$D$5:$D$504,MATCH(_xlfn.MAXIFS(SAISIE!$E$5:$E$504,SAISIE!$B$5:$B$504,"*Vent Arr./Av.*",SAISIE!$F$5:$F$504,$G$185),SAISIE!$E$5:$E$504,0)),"-"))</f>
        <v/>
      </c>
      <c r="D194" s="6" t="str">
        <f>IF($G$185="","",IFERROR(_xlfn.MAXIFS(SAISIE!$E$5:$E$504,SAISIE!$B$5:$B$504,"*Vent Arr./Av.*",SAISIE!$F$5:$F$504,$G$185),"-"))</f>
        <v/>
      </c>
      <c r="E194" s="6" t="s">
        <v>53</v>
      </c>
    </row>
    <row r="195" spans="1:7" x14ac:dyDescent="0.25">
      <c r="A195" s="5" t="s">
        <v>60</v>
      </c>
      <c r="B195" s="6" t="str">
        <f>IF($G$185="","",IFERROR(INDEX(SAISIE!$C$5:$C$504,MATCH(_xlfn.MINIFS(SAISIE!$E$5:$E$504,SAISIE!$B$5:$B$504,"*Neige*",SAISIE!$B$5:$B$504,"&lt;&gt;*accidentel*",SAISIE!$F$5:$F$504,$G$185),SAISIE!$E$5:$E$504,0)),"-"))</f>
        <v/>
      </c>
      <c r="C195" s="6" t="str">
        <f>IF($G$185="","",IFERROR(INDEX(SAISIE!$D$5:$D$504,MATCH(_xlfn.MINIFS(SAISIE!$E$5:$E$504,SAISIE!$B$5:$B$504,"*Neige*",SAISIE!$B$5:$B$504,"&lt;&gt;*accidentel*",SAISIE!$F$5:$F$504,$G$185),SAISIE!$E$5:$E$504,0)),"-"))</f>
        <v/>
      </c>
      <c r="D195" s="6" t="str">
        <f>IF($G$185="","",IFERROR(INDEX(SAISIE!$E$5:$E$504,MATCH(_xlfn.MINIFS(SAISIE!$E$5:$E$504,SAISIE!$B$5:$B$504,"*Neige*",SAISIE!$B$5:$B$504,"&lt;&gt;*accidentel*",SAISIE!$F$5:$F$504,$G$185),SAISIE!$E$5:$E$504,0)),"-"))</f>
        <v/>
      </c>
      <c r="E195" s="6"/>
    </row>
    <row r="196" spans="1:7" x14ac:dyDescent="0.25">
      <c r="A196" s="5" t="s">
        <v>61</v>
      </c>
      <c r="B196" s="6" t="str">
        <f>IF($G$185="","",IFERROR(LOOKUP(2,1/((SAISIE!$F$5:$F$504=$G$185)*(ISNUMBER(SEARCH("accidentel",SAISIE!$B$5:$B$504)))),SAISIE!$C$5:$C$504),"-"))</f>
        <v/>
      </c>
      <c r="C196" s="6" t="str">
        <f>IF($G$185="","",IFERROR(LOOKUP(2,1/((SAISIE!$F$5:$F$504=$G$185)*(ISNUMBER(SEARCH("accidentel",SAISIE!$B$5:$B$504)))),SAISIE!$D$5:$D$504),"-"))</f>
        <v/>
      </c>
      <c r="D196" s="6" t="str">
        <f>IF($G$185="","",IFERROR(LOOKUP(2,1/((SAISIE!$F$5:$F$504=$G$185)*(ISNUMBER(SEARCH("accidentel",SAISIE!$B$5:$B$504)))),SAISIE!$E$5:$E$504),"-"))</f>
        <v/>
      </c>
      <c r="E196" s="6"/>
    </row>
    <row r="197" spans="1:7" ht="15.75" x14ac:dyDescent="0.25">
      <c r="A197" s="9" t="str">
        <f>IF($G$197="","","Noeud "&amp;$G$197)</f>
        <v/>
      </c>
      <c r="B197" s="10"/>
      <c r="C197" s="10"/>
      <c r="D197" s="10"/>
      <c r="E197" s="10"/>
      <c r="G197" t="str">
        <f>IFERROR(INDEX(SAISIE!$F$5:$F$504,_xlfn.AGGREGATE(15,6,ROW(SAISIE!$F$5:$F$504)-ROW(SAISIE!$F$5)+1/(SAISIE!$F$5:$F$504&lt;&gt;"")/(COUNTIF($G$4:G196,SAISIE!$F$5:$F$504)=0),1)),"")</f>
        <v/>
      </c>
    </row>
    <row r="198" spans="1:7" x14ac:dyDescent="0.25">
      <c r="A198" s="5" t="s">
        <v>49</v>
      </c>
      <c r="B198" s="6" t="str">
        <f>IF($G$197="","",IFERROR(IFERROR(LOOKUP(2,1/((SAISIE!$F$5:$F$504=$G$197)*(LEFT(SAISIE!$B$5:$B$504,2)="G ")),SAISIE!$C$5:$C$504),LOOKUP(2,1/((SAISIE!$F$5:$F$504=$G$197)*(ISNUMBER(SEARCH("Couverture",SAISIE!$B$5:$B$504)))),SAISIE!$C$5:$C$504)),"-"))</f>
        <v/>
      </c>
      <c r="C198" s="6" t="str">
        <f>IF($G$197="","",IFERROR(IFERROR(LOOKUP(2,1/((SAISIE!$F$5:$F$504=$G$197)*(LEFT(SAISIE!$B$5:$B$504,2)="G ")),SAISIE!$D$5:$D$504),LOOKUP(2,1/((SAISIE!$F$5:$F$504=$G$197)*(ISNUMBER(SEARCH("Couverture",SAISIE!$B$5:$B$504)))),SAISIE!$D$5:$D$504)),"-"))</f>
        <v/>
      </c>
      <c r="D198" s="6" t="str">
        <f>IF($G$197="","",IFERROR(IFERROR(LOOKUP(2,1/((SAISIE!$F$5:$F$504=$G$197)*(LEFT(SAISIE!$B$5:$B$504,2)="G ")),SAISIE!$E$5:$E$504),LOOKUP(2,1/((SAISIE!$F$5:$F$504=$G$197)*(ISNUMBER(SEARCH("Couverture",SAISIE!$B$5:$B$504)))),SAISIE!$E$5:$E$504)),"-"))</f>
        <v/>
      </c>
      <c r="E198" s="6"/>
    </row>
    <row r="199" spans="1:7" x14ac:dyDescent="0.25">
      <c r="A199" s="5" t="s">
        <v>50</v>
      </c>
      <c r="B199" s="6" t="str">
        <f>IF($G$197="","",IFERROR(IF(_xlfn.MINIFS(SAISIE!$E$5:$E$504,SAISIE!$B$5:$B$504,"*Vent G/D*",SAISIE!$F$5:$F$504,$G$197)&gt;=0,_xlfn.MAXIFS(SAISIE!$C$5:$C$504,SAISIE!$B$5:$B$504,"*Vent G/D*",SAISIE!$F$5:$F$504,$G$197),INDEX(SAISIE!$C$5:$C$504,MATCH(_xlfn.MINIFS(SAISIE!$E$5:$E$504,SAISIE!$B$5:$B$504,"*Vent G/D*",SAISIE!$F$5:$F$504,$G$197),SAISIE!$E$5:$E$504,0))),"-"))</f>
        <v/>
      </c>
      <c r="C199" s="6" t="str">
        <f>IF($G$197="","",IFERROR(IF(_xlfn.MINIFS(SAISIE!$E$5:$E$504,SAISIE!$B$5:$B$504,"*Vent G/D*",SAISIE!$F$5:$F$504,$G$197)&gt;=0,INDEX(SAISIE!$D$5:$D$504,MATCH(_xlfn.MAXIFS(SAISIE!$C$5:$C$504,SAISIE!$B$5:$B$504,"*Vent G/D*",SAISIE!$F$5:$F$504,$G$197),SAISIE!$C$5:$C$504,0)),INDEX(SAISIE!$D$5:$D$504,MATCH(_xlfn.MINIFS(SAISIE!$E$5:$E$504,SAISIE!$B$5:$B$504,"*Vent G/D*",SAISIE!$F$5:$F$504,$G$197),SAISIE!$E$5:$E$504,0))),"-"))</f>
        <v/>
      </c>
      <c r="D199" s="6" t="str">
        <f>IF($G$197="","",IFERROR(IF(_xlfn.MINIFS(SAISIE!$E$5:$E$504,SAISIE!$B$5:$B$504,"*Vent G/D*",SAISIE!$F$5:$F$504,$G$197)&gt;=0,0,_xlfn.MINIFS(SAISIE!$E$5:$E$504,SAISIE!$B$5:$B$504,"*Vent G/D*",SAISIE!$F$5:$F$504,$G$197)),"-"))</f>
        <v/>
      </c>
      <c r="E199" s="6" t="s">
        <v>51</v>
      </c>
    </row>
    <row r="200" spans="1:7" x14ac:dyDescent="0.25">
      <c r="A200" s="5" t="s">
        <v>52</v>
      </c>
      <c r="B200" s="6" t="str">
        <f>IF($G$197="","",IFERROR(INDEX(SAISIE!$C$5:$C$504,MATCH(_xlfn.MAXIFS(SAISIE!$E$5:$E$504,SAISIE!$B$5:$B$504,"*Vent G/D*",SAISIE!$F$5:$F$504,$G$197),SAISIE!$E$5:$E$504,0)),"-"))</f>
        <v/>
      </c>
      <c r="C200" s="6" t="str">
        <f>IF($G$197="","",IFERROR(INDEX(SAISIE!$D$5:$D$504,MATCH(_xlfn.MAXIFS(SAISIE!$E$5:$E$504,SAISIE!$B$5:$B$504,"*Vent G/D*",SAISIE!$F$5:$F$504,$G$197),SAISIE!$E$5:$E$504,0)),"-"))</f>
        <v/>
      </c>
      <c r="D200" s="6" t="str">
        <f>IF($G$197="","",IFERROR(_xlfn.MAXIFS(SAISIE!$E$5:$E$504,SAISIE!$B$5:$B$504,"*Vent G/D*",SAISIE!$F$5:$F$504,$G$197),"-"))</f>
        <v/>
      </c>
      <c r="E200" s="6" t="s">
        <v>53</v>
      </c>
    </row>
    <row r="201" spans="1:7" x14ac:dyDescent="0.25">
      <c r="A201" s="5" t="s">
        <v>54</v>
      </c>
      <c r="B201" s="6" t="str">
        <f>IF($G$197="","",IFERROR(IF(_xlfn.MINIFS(SAISIE!$E$5:$E$504,SAISIE!$B$5:$B$504,"*Vent D/G*",SAISIE!$F$5:$F$504,$G$197)&gt;=0,_xlfn.MAXIFS(SAISIE!$C$5:$C$504,SAISIE!$B$5:$B$504,"*Vent D/G*",SAISIE!$F$5:$F$504,$G$197),INDEX(SAISIE!$C$5:$C$504,MATCH(_xlfn.MINIFS(SAISIE!$E$5:$E$504,SAISIE!$B$5:$B$504,"*Vent D/G*",SAISIE!$F$5:$F$504,$G$197),SAISIE!$E$5:$E$504,0))),"-"))</f>
        <v/>
      </c>
      <c r="C201" s="6" t="str">
        <f>IF($G$197="","",IFERROR(IF(_xlfn.MINIFS(SAISIE!$E$5:$E$504,SAISIE!$B$5:$B$504,"*Vent D/G*",SAISIE!$F$5:$F$504,$G$197)&gt;=0,INDEX(SAISIE!$D$5:$D$504,MATCH(_xlfn.MAXIFS(SAISIE!$C$5:$C$504,SAISIE!$B$5:$B$504,"*Vent D/G*",SAISIE!$F$5:$F$504,$G$197),SAISIE!$C$5:$C$504,0)),INDEX(SAISIE!$D$5:$D$504,MATCH(_xlfn.MINIFS(SAISIE!$E$5:$E$504,SAISIE!$B$5:$B$504,"*Vent D/G*",SAISIE!$F$5:$F$504,$G$197),SAISIE!$E$5:$E$504,0))),"-"))</f>
        <v/>
      </c>
      <c r="D201" s="6" t="str">
        <f>IF($G$197="","",IFERROR(IF(_xlfn.MINIFS(SAISIE!$E$5:$E$504,SAISIE!$B$5:$B$504,"*Vent D/G*",SAISIE!$F$5:$F$504,$G$197)&gt;=0,0,_xlfn.MINIFS(SAISIE!$E$5:$E$504,SAISIE!$B$5:$B$504,"*Vent D/G*",SAISIE!$F$5:$F$504,$G$197)),"-"))</f>
        <v/>
      </c>
      <c r="E201" s="6" t="s">
        <v>51</v>
      </c>
    </row>
    <row r="202" spans="1:7" x14ac:dyDescent="0.25">
      <c r="A202" s="5" t="s">
        <v>55</v>
      </c>
      <c r="B202" s="6" t="str">
        <f>IF($G$197="","",IFERROR(INDEX(SAISIE!$C$5:$C$504,MATCH(_xlfn.MAXIFS(SAISIE!$E$5:$E$504,SAISIE!$B$5:$B$504,"*Vent D/G*",SAISIE!$F$5:$F$504,$G$197),SAISIE!$E$5:$E$504,0)),"-"))</f>
        <v/>
      </c>
      <c r="C202" s="6" t="str">
        <f>IF($G$197="","",IFERROR(INDEX(SAISIE!$D$5:$D$504,MATCH(_xlfn.MAXIFS(SAISIE!$E$5:$E$504,SAISIE!$B$5:$B$504,"*Vent D/G*",SAISIE!$F$5:$F$504,$G$197),SAISIE!$E$5:$E$504,0)),"-"))</f>
        <v/>
      </c>
      <c r="D202" s="6" t="str">
        <f>IF($G$197="","",IFERROR(_xlfn.MAXIFS(SAISIE!$E$5:$E$504,SAISIE!$B$5:$B$504,"*Vent D/G*",SAISIE!$F$5:$F$504,$G$197),"-"))</f>
        <v/>
      </c>
      <c r="E202" s="6" t="s">
        <v>53</v>
      </c>
    </row>
    <row r="203" spans="1:7" x14ac:dyDescent="0.25">
      <c r="A203" s="5" t="s">
        <v>56</v>
      </c>
      <c r="B203" s="6" t="str">
        <f>IF($G$197="","",IFERROR(IF(_xlfn.MINIFS(SAISIE!$E$5:$E$504,SAISIE!$B$5:$B$504,"*Vent Av./Arr.*",SAISIE!$F$5:$F$504,$G$197)&gt;=0,_xlfn.MAXIFS(SAISIE!$C$5:$C$504,SAISIE!$B$5:$B$504,"*Vent Av./Arr.*",SAISIE!$F$5:$F$504,$G$197),INDEX(SAISIE!$C$5:$C$504,MATCH(_xlfn.MINIFS(SAISIE!$E$5:$E$504,SAISIE!$B$5:$B$504,"*Vent Av./Arr.*",SAISIE!$F$5:$F$504,$G$197),SAISIE!$E$5:$E$504,0))),"-"))</f>
        <v/>
      </c>
      <c r="C203" s="6" t="str">
        <f>IF($G$197="","",IFERROR(IF(_xlfn.MINIFS(SAISIE!$E$5:$E$504,SAISIE!$B$5:$B$504,"*Vent Av./Arr.*",SAISIE!$F$5:$F$504,$G$197)&gt;=0,INDEX(SAISIE!$D$5:$D$504,MATCH(_xlfn.MAXIFS(SAISIE!$C$5:$C$504,SAISIE!$B$5:$B$504,"*Vent Av./Arr.*",SAISIE!$F$5:$F$504,$G$197),SAISIE!$C$5:$C$504,0)),INDEX(SAISIE!$D$5:$D$504,MATCH(_xlfn.MINIFS(SAISIE!$E$5:$E$504,SAISIE!$B$5:$B$504,"*Vent Av./Arr.*",SAISIE!$F$5:$F$504,$G$197),SAISIE!$E$5:$E$504,0))),"-"))</f>
        <v/>
      </c>
      <c r="D203" s="6" t="str">
        <f>IF($G$197="","",IFERROR(IF(_xlfn.MINIFS(SAISIE!$E$5:$E$504,SAISIE!$B$5:$B$504,"*Vent Av./Arr.*",SAISIE!$F$5:$F$504,$G$197)&gt;=0,0,_xlfn.MINIFS(SAISIE!$E$5:$E$504,SAISIE!$B$5:$B$504,"*Vent Av./Arr.*",SAISIE!$F$5:$F$504,$G$197)),"-"))</f>
        <v/>
      </c>
      <c r="E203" s="6" t="s">
        <v>51</v>
      </c>
    </row>
    <row r="204" spans="1:7" x14ac:dyDescent="0.25">
      <c r="A204" s="5" t="s">
        <v>57</v>
      </c>
      <c r="B204" s="6" t="str">
        <f>IF($G$197="","",IFERROR(INDEX(SAISIE!$C$5:$C$504,MATCH(_xlfn.MAXIFS(SAISIE!$E$5:$E$504,SAISIE!$B$5:$B$504,"*Vent Av./Arr.*",SAISIE!$F$5:$F$504,$G$197),SAISIE!$E$5:$E$504,0)),"-"))</f>
        <v/>
      </c>
      <c r="C204" s="6" t="str">
        <f>IF($G$197="","",IFERROR(INDEX(SAISIE!$D$5:$D$504,MATCH(_xlfn.MAXIFS(SAISIE!$E$5:$E$504,SAISIE!$B$5:$B$504,"*Vent Av./Arr.*",SAISIE!$F$5:$F$504,$G$197),SAISIE!$E$5:$E$504,0)),"-"))</f>
        <v/>
      </c>
      <c r="D204" s="6" t="str">
        <f>IF($G$197="","",IFERROR(_xlfn.MAXIFS(SAISIE!$E$5:$E$504,SAISIE!$B$5:$B$504,"*Vent Av./Arr.*",SAISIE!$F$5:$F$504,$G$197),"-"))</f>
        <v/>
      </c>
      <c r="E204" s="6" t="s">
        <v>53</v>
      </c>
    </row>
    <row r="205" spans="1:7" x14ac:dyDescent="0.25">
      <c r="A205" s="5" t="s">
        <v>58</v>
      </c>
      <c r="B205" s="6" t="str">
        <f>IF($G$197="","",IFERROR(IF(_xlfn.MINIFS(SAISIE!$E$5:$E$504,SAISIE!$B$5:$B$504,"*Vent Arr./Av.*",SAISIE!$F$5:$F$504,$G$197)&gt;=0,_xlfn.MAXIFS(SAISIE!$C$5:$C$504,SAISIE!$B$5:$B$504,"*Vent Arr./Av.*",SAISIE!$F$5:$F$504,$G$197),INDEX(SAISIE!$C$5:$C$504,MATCH(_xlfn.MINIFS(SAISIE!$E$5:$E$504,SAISIE!$B$5:$B$504,"*Vent Arr./Av.*",SAISIE!$F$5:$F$504,$G$197),SAISIE!$E$5:$E$504,0))),"-"))</f>
        <v/>
      </c>
      <c r="C205" s="6" t="str">
        <f>IF($G$197="","",IFERROR(IF(_xlfn.MINIFS(SAISIE!$E$5:$E$504,SAISIE!$B$5:$B$504,"*Vent Arr./Av.*",SAISIE!$F$5:$F$504,$G$197)&gt;=0,INDEX(SAISIE!$D$5:$D$504,MATCH(_xlfn.MAXIFS(SAISIE!$C$5:$C$504,SAISIE!$B$5:$B$504,"*Vent Arr./Av.*",SAISIE!$F$5:$F$504,$G$197),SAISIE!$C$5:$C$504,0)),INDEX(SAISIE!$D$5:$D$504,MATCH(_xlfn.MINIFS(SAISIE!$E$5:$E$504,SAISIE!$B$5:$B$504,"*Vent Arr./Av.*",SAISIE!$F$5:$F$504,$G$197),SAISIE!$E$5:$E$504,0))),"-"))</f>
        <v/>
      </c>
      <c r="D205" s="6" t="str">
        <f>IF($G$197="","",IFERROR(IF(_xlfn.MINIFS(SAISIE!$E$5:$E$504,SAISIE!$B$5:$B$504,"*Vent Arr./Av.*",SAISIE!$F$5:$F$504,$G$197)&gt;=0,0,_xlfn.MINIFS(SAISIE!$E$5:$E$504,SAISIE!$B$5:$B$504,"*Vent Arr./Av.*",SAISIE!$F$5:$F$504,$G$197)),"-"))</f>
        <v/>
      </c>
      <c r="E205" s="6" t="s">
        <v>51</v>
      </c>
    </row>
    <row r="206" spans="1:7" x14ac:dyDescent="0.25">
      <c r="A206" s="5" t="s">
        <v>59</v>
      </c>
      <c r="B206" s="6" t="str">
        <f>IF($G$197="","",IFERROR(INDEX(SAISIE!$C$5:$C$504,MATCH(_xlfn.MAXIFS(SAISIE!$E$5:$E$504,SAISIE!$B$5:$B$504,"*Vent Arr./Av.*",SAISIE!$F$5:$F$504,$G$197),SAISIE!$E$5:$E$504,0)),"-"))</f>
        <v/>
      </c>
      <c r="C206" s="6" t="str">
        <f>IF($G$197="","",IFERROR(INDEX(SAISIE!$D$5:$D$504,MATCH(_xlfn.MAXIFS(SAISIE!$E$5:$E$504,SAISIE!$B$5:$B$504,"*Vent Arr./Av.*",SAISIE!$F$5:$F$504,$G$197),SAISIE!$E$5:$E$504,0)),"-"))</f>
        <v/>
      </c>
      <c r="D206" s="6" t="str">
        <f>IF($G$197="","",IFERROR(_xlfn.MAXIFS(SAISIE!$E$5:$E$504,SAISIE!$B$5:$B$504,"*Vent Arr./Av.*",SAISIE!$F$5:$F$504,$G$197),"-"))</f>
        <v/>
      </c>
      <c r="E206" s="6" t="s">
        <v>53</v>
      </c>
    </row>
    <row r="207" spans="1:7" x14ac:dyDescent="0.25">
      <c r="A207" s="5" t="s">
        <v>60</v>
      </c>
      <c r="B207" s="6" t="str">
        <f>IF($G$197="","",IFERROR(INDEX(SAISIE!$C$5:$C$504,MATCH(_xlfn.MINIFS(SAISIE!$E$5:$E$504,SAISIE!$B$5:$B$504,"*Neige*",SAISIE!$B$5:$B$504,"&lt;&gt;*accidentel*",SAISIE!$F$5:$F$504,$G$197),SAISIE!$E$5:$E$504,0)),"-"))</f>
        <v/>
      </c>
      <c r="C207" s="6" t="str">
        <f>IF($G$197="","",IFERROR(INDEX(SAISIE!$D$5:$D$504,MATCH(_xlfn.MINIFS(SAISIE!$E$5:$E$504,SAISIE!$B$5:$B$504,"*Neige*",SAISIE!$B$5:$B$504,"&lt;&gt;*accidentel*",SAISIE!$F$5:$F$504,$G$197),SAISIE!$E$5:$E$504,0)),"-"))</f>
        <v/>
      </c>
      <c r="D207" s="6" t="str">
        <f>IF($G$197="","",IFERROR(INDEX(SAISIE!$E$5:$E$504,MATCH(_xlfn.MINIFS(SAISIE!$E$5:$E$504,SAISIE!$B$5:$B$504,"*Neige*",SAISIE!$B$5:$B$504,"&lt;&gt;*accidentel*",SAISIE!$F$5:$F$504,$G$197),SAISIE!$E$5:$E$504,0)),"-"))</f>
        <v/>
      </c>
      <c r="E207" s="6"/>
    </row>
    <row r="208" spans="1:7" x14ac:dyDescent="0.25">
      <c r="A208" s="5" t="s">
        <v>61</v>
      </c>
      <c r="B208" s="6" t="str">
        <f>IF($G$197="","",IFERROR(LOOKUP(2,1/((SAISIE!$F$5:$F$504=$G$197)*(ISNUMBER(SEARCH("accidentel",SAISIE!$B$5:$B$504)))),SAISIE!$C$5:$C$504),"-"))</f>
        <v/>
      </c>
      <c r="C208" s="6" t="str">
        <f>IF($G$197="","",IFERROR(LOOKUP(2,1/((SAISIE!$F$5:$F$504=$G$197)*(ISNUMBER(SEARCH("accidentel",SAISIE!$B$5:$B$504)))),SAISIE!$D$5:$D$504),"-"))</f>
        <v/>
      </c>
      <c r="D208" s="6" t="str">
        <f>IF($G$197="","",IFERROR(LOOKUP(2,1/((SAISIE!$F$5:$F$504=$G$197)*(ISNUMBER(SEARCH("accidentel",SAISIE!$B$5:$B$504)))),SAISIE!$E$5:$E$504),"-"))</f>
        <v/>
      </c>
      <c r="E208" s="6"/>
    </row>
    <row r="209" spans="1:7" ht="15.75" x14ac:dyDescent="0.25">
      <c r="A209" s="9" t="str">
        <f>IF($G$209="","","Noeud "&amp;$G$209)</f>
        <v/>
      </c>
      <c r="B209" s="10"/>
      <c r="C209" s="10"/>
      <c r="D209" s="10"/>
      <c r="E209" s="10"/>
      <c r="G209" t="str">
        <f>IFERROR(INDEX(SAISIE!$F$5:$F$504,_xlfn.AGGREGATE(15,6,ROW(SAISIE!$F$5:$F$504)-ROW(SAISIE!$F$5)+1/(SAISIE!$F$5:$F$504&lt;&gt;"")/(COUNTIF($G$4:G208,SAISIE!$F$5:$F$504)=0),1)),"")</f>
        <v/>
      </c>
    </row>
    <row r="210" spans="1:7" x14ac:dyDescent="0.25">
      <c r="A210" s="5" t="s">
        <v>49</v>
      </c>
      <c r="B210" s="6" t="str">
        <f>IF($G$209="","",IFERROR(IFERROR(LOOKUP(2,1/((SAISIE!$F$5:$F$504=$G$209)*(LEFT(SAISIE!$B$5:$B$504,2)="G ")),SAISIE!$C$5:$C$504),LOOKUP(2,1/((SAISIE!$F$5:$F$504=$G$209)*(ISNUMBER(SEARCH("Couverture",SAISIE!$B$5:$B$504)))),SAISIE!$C$5:$C$504)),"-"))</f>
        <v/>
      </c>
      <c r="C210" s="6" t="str">
        <f>IF($G$209="","",IFERROR(IFERROR(LOOKUP(2,1/((SAISIE!$F$5:$F$504=$G$209)*(LEFT(SAISIE!$B$5:$B$504,2)="G ")),SAISIE!$D$5:$D$504),LOOKUP(2,1/((SAISIE!$F$5:$F$504=$G$209)*(ISNUMBER(SEARCH("Couverture",SAISIE!$B$5:$B$504)))),SAISIE!$D$5:$D$504)),"-"))</f>
        <v/>
      </c>
      <c r="D210" s="6" t="str">
        <f>IF($G$209="","",IFERROR(IFERROR(LOOKUP(2,1/((SAISIE!$F$5:$F$504=$G$209)*(LEFT(SAISIE!$B$5:$B$504,2)="G ")),SAISIE!$E$5:$E$504),LOOKUP(2,1/((SAISIE!$F$5:$F$504=$G$209)*(ISNUMBER(SEARCH("Couverture",SAISIE!$B$5:$B$504)))),SAISIE!$E$5:$E$504)),"-"))</f>
        <v/>
      </c>
      <c r="E210" s="6"/>
    </row>
    <row r="211" spans="1:7" x14ac:dyDescent="0.25">
      <c r="A211" s="5" t="s">
        <v>50</v>
      </c>
      <c r="B211" s="6" t="str">
        <f>IF($G$209="","",IFERROR(IF(_xlfn.MINIFS(SAISIE!$E$5:$E$504,SAISIE!$B$5:$B$504,"*Vent G/D*",SAISIE!$F$5:$F$504,$G$209)&gt;=0,_xlfn.MAXIFS(SAISIE!$C$5:$C$504,SAISIE!$B$5:$B$504,"*Vent G/D*",SAISIE!$F$5:$F$504,$G$209),INDEX(SAISIE!$C$5:$C$504,MATCH(_xlfn.MINIFS(SAISIE!$E$5:$E$504,SAISIE!$B$5:$B$504,"*Vent G/D*",SAISIE!$F$5:$F$504,$G$209),SAISIE!$E$5:$E$504,0))),"-"))</f>
        <v/>
      </c>
      <c r="C211" s="6" t="str">
        <f>IF($G$209="","",IFERROR(IF(_xlfn.MINIFS(SAISIE!$E$5:$E$504,SAISIE!$B$5:$B$504,"*Vent G/D*",SAISIE!$F$5:$F$504,$G$209)&gt;=0,INDEX(SAISIE!$D$5:$D$504,MATCH(_xlfn.MAXIFS(SAISIE!$C$5:$C$504,SAISIE!$B$5:$B$504,"*Vent G/D*",SAISIE!$F$5:$F$504,$G$209),SAISIE!$C$5:$C$504,0)),INDEX(SAISIE!$D$5:$D$504,MATCH(_xlfn.MINIFS(SAISIE!$E$5:$E$504,SAISIE!$B$5:$B$504,"*Vent G/D*",SAISIE!$F$5:$F$504,$G$209),SAISIE!$E$5:$E$504,0))),"-"))</f>
        <v/>
      </c>
      <c r="D211" s="6" t="str">
        <f>IF($G$209="","",IFERROR(IF(_xlfn.MINIFS(SAISIE!$E$5:$E$504,SAISIE!$B$5:$B$504,"*Vent G/D*",SAISIE!$F$5:$F$504,$G$209)&gt;=0,0,_xlfn.MINIFS(SAISIE!$E$5:$E$504,SAISIE!$B$5:$B$504,"*Vent G/D*",SAISIE!$F$5:$F$504,$G$209)),"-"))</f>
        <v/>
      </c>
      <c r="E211" s="6" t="s">
        <v>51</v>
      </c>
    </row>
    <row r="212" spans="1:7" x14ac:dyDescent="0.25">
      <c r="A212" s="5" t="s">
        <v>52</v>
      </c>
      <c r="B212" s="6" t="str">
        <f>IF($G$209="","",IFERROR(INDEX(SAISIE!$C$5:$C$504,MATCH(_xlfn.MAXIFS(SAISIE!$E$5:$E$504,SAISIE!$B$5:$B$504,"*Vent G/D*",SAISIE!$F$5:$F$504,$G$209),SAISIE!$E$5:$E$504,0)),"-"))</f>
        <v/>
      </c>
      <c r="C212" s="6" t="str">
        <f>IF($G$209="","",IFERROR(INDEX(SAISIE!$D$5:$D$504,MATCH(_xlfn.MAXIFS(SAISIE!$E$5:$E$504,SAISIE!$B$5:$B$504,"*Vent G/D*",SAISIE!$F$5:$F$504,$G$209),SAISIE!$E$5:$E$504,0)),"-"))</f>
        <v/>
      </c>
      <c r="D212" s="6" t="str">
        <f>IF($G$209="","",IFERROR(_xlfn.MAXIFS(SAISIE!$E$5:$E$504,SAISIE!$B$5:$B$504,"*Vent G/D*",SAISIE!$F$5:$F$504,$G$209),"-"))</f>
        <v/>
      </c>
      <c r="E212" s="6" t="s">
        <v>53</v>
      </c>
    </row>
    <row r="213" spans="1:7" x14ac:dyDescent="0.25">
      <c r="A213" s="5" t="s">
        <v>54</v>
      </c>
      <c r="B213" s="6" t="str">
        <f>IF($G$209="","",IFERROR(IF(_xlfn.MINIFS(SAISIE!$E$5:$E$504,SAISIE!$B$5:$B$504,"*Vent D/G*",SAISIE!$F$5:$F$504,$G$209)&gt;=0,_xlfn.MAXIFS(SAISIE!$C$5:$C$504,SAISIE!$B$5:$B$504,"*Vent D/G*",SAISIE!$F$5:$F$504,$G$209),INDEX(SAISIE!$C$5:$C$504,MATCH(_xlfn.MINIFS(SAISIE!$E$5:$E$504,SAISIE!$B$5:$B$504,"*Vent D/G*",SAISIE!$F$5:$F$504,$G$209),SAISIE!$E$5:$E$504,0))),"-"))</f>
        <v/>
      </c>
      <c r="C213" s="6" t="str">
        <f>IF($G$209="","",IFERROR(IF(_xlfn.MINIFS(SAISIE!$E$5:$E$504,SAISIE!$B$5:$B$504,"*Vent D/G*",SAISIE!$F$5:$F$504,$G$209)&gt;=0,INDEX(SAISIE!$D$5:$D$504,MATCH(_xlfn.MAXIFS(SAISIE!$C$5:$C$504,SAISIE!$B$5:$B$504,"*Vent D/G*",SAISIE!$F$5:$F$504,$G$209),SAISIE!$C$5:$C$504,0)),INDEX(SAISIE!$D$5:$D$504,MATCH(_xlfn.MINIFS(SAISIE!$E$5:$E$504,SAISIE!$B$5:$B$504,"*Vent D/G*",SAISIE!$F$5:$F$504,$G$209),SAISIE!$E$5:$E$504,0))),"-"))</f>
        <v/>
      </c>
      <c r="D213" s="6" t="str">
        <f>IF($G$209="","",IFERROR(IF(_xlfn.MINIFS(SAISIE!$E$5:$E$504,SAISIE!$B$5:$B$504,"*Vent D/G*",SAISIE!$F$5:$F$504,$G$209)&gt;=0,0,_xlfn.MINIFS(SAISIE!$E$5:$E$504,SAISIE!$B$5:$B$504,"*Vent D/G*",SAISIE!$F$5:$F$504,$G$209)),"-"))</f>
        <v/>
      </c>
      <c r="E213" s="6" t="s">
        <v>51</v>
      </c>
    </row>
    <row r="214" spans="1:7" x14ac:dyDescent="0.25">
      <c r="A214" s="5" t="s">
        <v>55</v>
      </c>
      <c r="B214" s="6" t="str">
        <f>IF($G$209="","",IFERROR(INDEX(SAISIE!$C$5:$C$504,MATCH(_xlfn.MAXIFS(SAISIE!$E$5:$E$504,SAISIE!$B$5:$B$504,"*Vent D/G*",SAISIE!$F$5:$F$504,$G$209),SAISIE!$E$5:$E$504,0)),"-"))</f>
        <v/>
      </c>
      <c r="C214" s="6" t="str">
        <f>IF($G$209="","",IFERROR(INDEX(SAISIE!$D$5:$D$504,MATCH(_xlfn.MAXIFS(SAISIE!$E$5:$E$504,SAISIE!$B$5:$B$504,"*Vent D/G*",SAISIE!$F$5:$F$504,$G$209),SAISIE!$E$5:$E$504,0)),"-"))</f>
        <v/>
      </c>
      <c r="D214" s="6" t="str">
        <f>IF($G$209="","",IFERROR(_xlfn.MAXIFS(SAISIE!$E$5:$E$504,SAISIE!$B$5:$B$504,"*Vent D/G*",SAISIE!$F$5:$F$504,$G$209),"-"))</f>
        <v/>
      </c>
      <c r="E214" s="6" t="s">
        <v>53</v>
      </c>
    </row>
    <row r="215" spans="1:7" x14ac:dyDescent="0.25">
      <c r="A215" s="5" t="s">
        <v>56</v>
      </c>
      <c r="B215" s="6" t="str">
        <f>IF($G$209="","",IFERROR(IF(_xlfn.MINIFS(SAISIE!$E$5:$E$504,SAISIE!$B$5:$B$504,"*Vent Av./Arr.*",SAISIE!$F$5:$F$504,$G$209)&gt;=0,_xlfn.MAXIFS(SAISIE!$C$5:$C$504,SAISIE!$B$5:$B$504,"*Vent Av./Arr.*",SAISIE!$F$5:$F$504,$G$209),INDEX(SAISIE!$C$5:$C$504,MATCH(_xlfn.MINIFS(SAISIE!$E$5:$E$504,SAISIE!$B$5:$B$504,"*Vent Av./Arr.*",SAISIE!$F$5:$F$504,$G$209),SAISIE!$E$5:$E$504,0))),"-"))</f>
        <v/>
      </c>
      <c r="C215" s="6" t="str">
        <f>IF($G$209="","",IFERROR(IF(_xlfn.MINIFS(SAISIE!$E$5:$E$504,SAISIE!$B$5:$B$504,"*Vent Av./Arr.*",SAISIE!$F$5:$F$504,$G$209)&gt;=0,INDEX(SAISIE!$D$5:$D$504,MATCH(_xlfn.MAXIFS(SAISIE!$C$5:$C$504,SAISIE!$B$5:$B$504,"*Vent Av./Arr.*",SAISIE!$F$5:$F$504,$G$209),SAISIE!$C$5:$C$504,0)),INDEX(SAISIE!$D$5:$D$504,MATCH(_xlfn.MINIFS(SAISIE!$E$5:$E$504,SAISIE!$B$5:$B$504,"*Vent Av./Arr.*",SAISIE!$F$5:$F$504,$G$209),SAISIE!$E$5:$E$504,0))),"-"))</f>
        <v/>
      </c>
      <c r="D215" s="6" t="str">
        <f>IF($G$209="","",IFERROR(IF(_xlfn.MINIFS(SAISIE!$E$5:$E$504,SAISIE!$B$5:$B$504,"*Vent Av./Arr.*",SAISIE!$F$5:$F$504,$G$209)&gt;=0,0,_xlfn.MINIFS(SAISIE!$E$5:$E$504,SAISIE!$B$5:$B$504,"*Vent Av./Arr.*",SAISIE!$F$5:$F$504,$G$209)),"-"))</f>
        <v/>
      </c>
      <c r="E215" s="6" t="s">
        <v>51</v>
      </c>
    </row>
    <row r="216" spans="1:7" x14ac:dyDescent="0.25">
      <c r="A216" s="5" t="s">
        <v>57</v>
      </c>
      <c r="B216" s="6" t="str">
        <f>IF($G$209="","",IFERROR(INDEX(SAISIE!$C$5:$C$504,MATCH(_xlfn.MAXIFS(SAISIE!$E$5:$E$504,SAISIE!$B$5:$B$504,"*Vent Av./Arr.*",SAISIE!$F$5:$F$504,$G$209),SAISIE!$E$5:$E$504,0)),"-"))</f>
        <v/>
      </c>
      <c r="C216" s="6" t="str">
        <f>IF($G$209="","",IFERROR(INDEX(SAISIE!$D$5:$D$504,MATCH(_xlfn.MAXIFS(SAISIE!$E$5:$E$504,SAISIE!$B$5:$B$504,"*Vent Av./Arr.*",SAISIE!$F$5:$F$504,$G$209),SAISIE!$E$5:$E$504,0)),"-"))</f>
        <v/>
      </c>
      <c r="D216" s="6" t="str">
        <f>IF($G$209="","",IFERROR(_xlfn.MAXIFS(SAISIE!$E$5:$E$504,SAISIE!$B$5:$B$504,"*Vent Av./Arr.*",SAISIE!$F$5:$F$504,$G$209),"-"))</f>
        <v/>
      </c>
      <c r="E216" s="6" t="s">
        <v>53</v>
      </c>
    </row>
    <row r="217" spans="1:7" x14ac:dyDescent="0.25">
      <c r="A217" s="5" t="s">
        <v>58</v>
      </c>
      <c r="B217" s="6" t="str">
        <f>IF($G$209="","",IFERROR(IF(_xlfn.MINIFS(SAISIE!$E$5:$E$504,SAISIE!$B$5:$B$504,"*Vent Arr./Av.*",SAISIE!$F$5:$F$504,$G$209)&gt;=0,_xlfn.MAXIFS(SAISIE!$C$5:$C$504,SAISIE!$B$5:$B$504,"*Vent Arr./Av.*",SAISIE!$F$5:$F$504,$G$209),INDEX(SAISIE!$C$5:$C$504,MATCH(_xlfn.MINIFS(SAISIE!$E$5:$E$504,SAISIE!$B$5:$B$504,"*Vent Arr./Av.*",SAISIE!$F$5:$F$504,$G$209),SAISIE!$E$5:$E$504,0))),"-"))</f>
        <v/>
      </c>
      <c r="C217" s="6" t="str">
        <f>IF($G$209="","",IFERROR(IF(_xlfn.MINIFS(SAISIE!$E$5:$E$504,SAISIE!$B$5:$B$504,"*Vent Arr./Av.*",SAISIE!$F$5:$F$504,$G$209)&gt;=0,INDEX(SAISIE!$D$5:$D$504,MATCH(_xlfn.MAXIFS(SAISIE!$C$5:$C$504,SAISIE!$B$5:$B$504,"*Vent Arr./Av.*",SAISIE!$F$5:$F$504,$G$209),SAISIE!$C$5:$C$504,0)),INDEX(SAISIE!$D$5:$D$504,MATCH(_xlfn.MINIFS(SAISIE!$E$5:$E$504,SAISIE!$B$5:$B$504,"*Vent Arr./Av.*",SAISIE!$F$5:$F$504,$G$209),SAISIE!$E$5:$E$504,0))),"-"))</f>
        <v/>
      </c>
      <c r="D217" s="6" t="str">
        <f>IF($G$209="","",IFERROR(IF(_xlfn.MINIFS(SAISIE!$E$5:$E$504,SAISIE!$B$5:$B$504,"*Vent Arr./Av.*",SAISIE!$F$5:$F$504,$G$209)&gt;=0,0,_xlfn.MINIFS(SAISIE!$E$5:$E$504,SAISIE!$B$5:$B$504,"*Vent Arr./Av.*",SAISIE!$F$5:$F$504,$G$209)),"-"))</f>
        <v/>
      </c>
      <c r="E217" s="6" t="s">
        <v>51</v>
      </c>
    </row>
    <row r="218" spans="1:7" x14ac:dyDescent="0.25">
      <c r="A218" s="5" t="s">
        <v>59</v>
      </c>
      <c r="B218" s="6" t="str">
        <f>IF($G$209="","",IFERROR(INDEX(SAISIE!$C$5:$C$504,MATCH(_xlfn.MAXIFS(SAISIE!$E$5:$E$504,SAISIE!$B$5:$B$504,"*Vent Arr./Av.*",SAISIE!$F$5:$F$504,$G$209),SAISIE!$E$5:$E$504,0)),"-"))</f>
        <v/>
      </c>
      <c r="C218" s="6" t="str">
        <f>IF($G$209="","",IFERROR(INDEX(SAISIE!$D$5:$D$504,MATCH(_xlfn.MAXIFS(SAISIE!$E$5:$E$504,SAISIE!$B$5:$B$504,"*Vent Arr./Av.*",SAISIE!$F$5:$F$504,$G$209),SAISIE!$E$5:$E$504,0)),"-"))</f>
        <v/>
      </c>
      <c r="D218" s="6" t="str">
        <f>IF($G$209="","",IFERROR(_xlfn.MAXIFS(SAISIE!$E$5:$E$504,SAISIE!$B$5:$B$504,"*Vent Arr./Av.*",SAISIE!$F$5:$F$504,$G$209),"-"))</f>
        <v/>
      </c>
      <c r="E218" s="6" t="s">
        <v>53</v>
      </c>
    </row>
    <row r="219" spans="1:7" x14ac:dyDescent="0.25">
      <c r="A219" s="5" t="s">
        <v>60</v>
      </c>
      <c r="B219" s="6" t="str">
        <f>IF($G$209="","",IFERROR(INDEX(SAISIE!$C$5:$C$504,MATCH(_xlfn.MINIFS(SAISIE!$E$5:$E$504,SAISIE!$B$5:$B$504,"*Neige*",SAISIE!$B$5:$B$504,"&lt;&gt;*accidentel*",SAISIE!$F$5:$F$504,$G$209),SAISIE!$E$5:$E$504,0)),"-"))</f>
        <v/>
      </c>
      <c r="C219" s="6" t="str">
        <f>IF($G$209="","",IFERROR(INDEX(SAISIE!$D$5:$D$504,MATCH(_xlfn.MINIFS(SAISIE!$E$5:$E$504,SAISIE!$B$5:$B$504,"*Neige*",SAISIE!$B$5:$B$504,"&lt;&gt;*accidentel*",SAISIE!$F$5:$F$504,$G$209),SAISIE!$E$5:$E$504,0)),"-"))</f>
        <v/>
      </c>
      <c r="D219" s="6" t="str">
        <f>IF($G$209="","",IFERROR(INDEX(SAISIE!$E$5:$E$504,MATCH(_xlfn.MINIFS(SAISIE!$E$5:$E$504,SAISIE!$B$5:$B$504,"*Neige*",SAISIE!$B$5:$B$504,"&lt;&gt;*accidentel*",SAISIE!$F$5:$F$504,$G$209),SAISIE!$E$5:$E$504,0)),"-"))</f>
        <v/>
      </c>
      <c r="E219" s="6"/>
    </row>
    <row r="220" spans="1:7" x14ac:dyDescent="0.25">
      <c r="A220" s="5" t="s">
        <v>61</v>
      </c>
      <c r="B220" s="6" t="str">
        <f>IF($G$209="","",IFERROR(LOOKUP(2,1/((SAISIE!$F$5:$F$504=$G$209)*(ISNUMBER(SEARCH("accidentel",SAISIE!$B$5:$B$504)))),SAISIE!$C$5:$C$504),"-"))</f>
        <v/>
      </c>
      <c r="C220" s="6" t="str">
        <f>IF($G$209="","",IFERROR(LOOKUP(2,1/((SAISIE!$F$5:$F$504=$G$209)*(ISNUMBER(SEARCH("accidentel",SAISIE!$B$5:$B$504)))),SAISIE!$D$5:$D$504),"-"))</f>
        <v/>
      </c>
      <c r="D220" s="6" t="str">
        <f>IF($G$209="","",IFERROR(LOOKUP(2,1/((SAISIE!$F$5:$F$504=$G$209)*(ISNUMBER(SEARCH("accidentel",SAISIE!$B$5:$B$504)))),SAISIE!$E$5:$E$504),"-"))</f>
        <v/>
      </c>
      <c r="E220" s="6"/>
    </row>
    <row r="221" spans="1:7" ht="15.75" x14ac:dyDescent="0.25">
      <c r="A221" s="9" t="str">
        <f>IF($G$221="","","Noeud "&amp;$G$221)</f>
        <v/>
      </c>
      <c r="B221" s="10"/>
      <c r="C221" s="10"/>
      <c r="D221" s="10"/>
      <c r="E221" s="10"/>
      <c r="G221" t="str">
        <f>IFERROR(INDEX(SAISIE!$F$5:$F$504,_xlfn.AGGREGATE(15,6,ROW(SAISIE!$F$5:$F$504)-ROW(SAISIE!$F$5)+1/(SAISIE!$F$5:$F$504&lt;&gt;"")/(COUNTIF($G$4:G220,SAISIE!$F$5:$F$504)=0),1)),"")</f>
        <v/>
      </c>
    </row>
    <row r="222" spans="1:7" x14ac:dyDescent="0.25">
      <c r="A222" s="5" t="s">
        <v>49</v>
      </c>
      <c r="B222" s="6" t="str">
        <f>IF($G$221="","",IFERROR(IFERROR(LOOKUP(2,1/((SAISIE!$F$5:$F$504=$G$221)*(LEFT(SAISIE!$B$5:$B$504,2)="G ")),SAISIE!$C$5:$C$504),LOOKUP(2,1/((SAISIE!$F$5:$F$504=$G$221)*(ISNUMBER(SEARCH("Couverture",SAISIE!$B$5:$B$504)))),SAISIE!$C$5:$C$504)),"-"))</f>
        <v/>
      </c>
      <c r="C222" s="6" t="str">
        <f>IF($G$221="","",IFERROR(IFERROR(LOOKUP(2,1/((SAISIE!$F$5:$F$504=$G$221)*(LEFT(SAISIE!$B$5:$B$504,2)="G ")),SAISIE!$D$5:$D$504),LOOKUP(2,1/((SAISIE!$F$5:$F$504=$G$221)*(ISNUMBER(SEARCH("Couverture",SAISIE!$B$5:$B$504)))),SAISIE!$D$5:$D$504)),"-"))</f>
        <v/>
      </c>
      <c r="D222" s="6" t="str">
        <f>IF($G$221="","",IFERROR(IFERROR(LOOKUP(2,1/((SAISIE!$F$5:$F$504=$G$221)*(LEFT(SAISIE!$B$5:$B$504,2)="G ")),SAISIE!$E$5:$E$504),LOOKUP(2,1/((SAISIE!$F$5:$F$504=$G$221)*(ISNUMBER(SEARCH("Couverture",SAISIE!$B$5:$B$504)))),SAISIE!$E$5:$E$504)),"-"))</f>
        <v/>
      </c>
      <c r="E222" s="6"/>
    </row>
    <row r="223" spans="1:7" x14ac:dyDescent="0.25">
      <c r="A223" s="5" t="s">
        <v>50</v>
      </c>
      <c r="B223" s="6" t="str">
        <f>IF($G$221="","",IFERROR(IF(_xlfn.MINIFS(SAISIE!$E$5:$E$504,SAISIE!$B$5:$B$504,"*Vent G/D*",SAISIE!$F$5:$F$504,$G$221)&gt;=0,_xlfn.MAXIFS(SAISIE!$C$5:$C$504,SAISIE!$B$5:$B$504,"*Vent G/D*",SAISIE!$F$5:$F$504,$G$221),INDEX(SAISIE!$C$5:$C$504,MATCH(_xlfn.MINIFS(SAISIE!$E$5:$E$504,SAISIE!$B$5:$B$504,"*Vent G/D*",SAISIE!$F$5:$F$504,$G$221),SAISIE!$E$5:$E$504,0))),"-"))</f>
        <v/>
      </c>
      <c r="C223" s="6" t="str">
        <f>IF($G$221="","",IFERROR(IF(_xlfn.MINIFS(SAISIE!$E$5:$E$504,SAISIE!$B$5:$B$504,"*Vent G/D*",SAISIE!$F$5:$F$504,$G$221)&gt;=0,INDEX(SAISIE!$D$5:$D$504,MATCH(_xlfn.MAXIFS(SAISIE!$C$5:$C$504,SAISIE!$B$5:$B$504,"*Vent G/D*",SAISIE!$F$5:$F$504,$G$221),SAISIE!$C$5:$C$504,0)),INDEX(SAISIE!$D$5:$D$504,MATCH(_xlfn.MINIFS(SAISIE!$E$5:$E$504,SAISIE!$B$5:$B$504,"*Vent G/D*",SAISIE!$F$5:$F$504,$G$221),SAISIE!$E$5:$E$504,0))),"-"))</f>
        <v/>
      </c>
      <c r="D223" s="6" t="str">
        <f>IF($G$221="","",IFERROR(IF(_xlfn.MINIFS(SAISIE!$E$5:$E$504,SAISIE!$B$5:$B$504,"*Vent G/D*",SAISIE!$F$5:$F$504,$G$221)&gt;=0,0,_xlfn.MINIFS(SAISIE!$E$5:$E$504,SAISIE!$B$5:$B$504,"*Vent G/D*",SAISIE!$F$5:$F$504,$G$221)),"-"))</f>
        <v/>
      </c>
      <c r="E223" s="6" t="s">
        <v>51</v>
      </c>
    </row>
    <row r="224" spans="1:7" x14ac:dyDescent="0.25">
      <c r="A224" s="5" t="s">
        <v>52</v>
      </c>
      <c r="B224" s="6" t="str">
        <f>IF($G$221="","",IFERROR(INDEX(SAISIE!$C$5:$C$504,MATCH(_xlfn.MAXIFS(SAISIE!$E$5:$E$504,SAISIE!$B$5:$B$504,"*Vent G/D*",SAISIE!$F$5:$F$504,$G$221),SAISIE!$E$5:$E$504,0)),"-"))</f>
        <v/>
      </c>
      <c r="C224" s="6" t="str">
        <f>IF($G$221="","",IFERROR(INDEX(SAISIE!$D$5:$D$504,MATCH(_xlfn.MAXIFS(SAISIE!$E$5:$E$504,SAISIE!$B$5:$B$504,"*Vent G/D*",SAISIE!$F$5:$F$504,$G$221),SAISIE!$E$5:$E$504,0)),"-"))</f>
        <v/>
      </c>
      <c r="D224" s="6" t="str">
        <f>IF($G$221="","",IFERROR(_xlfn.MAXIFS(SAISIE!$E$5:$E$504,SAISIE!$B$5:$B$504,"*Vent G/D*",SAISIE!$F$5:$F$504,$G$221),"-"))</f>
        <v/>
      </c>
      <c r="E224" s="6" t="s">
        <v>53</v>
      </c>
    </row>
    <row r="225" spans="1:7" x14ac:dyDescent="0.25">
      <c r="A225" s="5" t="s">
        <v>54</v>
      </c>
      <c r="B225" s="6" t="str">
        <f>IF($G$221="","",IFERROR(IF(_xlfn.MINIFS(SAISIE!$E$5:$E$504,SAISIE!$B$5:$B$504,"*Vent D/G*",SAISIE!$F$5:$F$504,$G$221)&gt;=0,_xlfn.MAXIFS(SAISIE!$C$5:$C$504,SAISIE!$B$5:$B$504,"*Vent D/G*",SAISIE!$F$5:$F$504,$G$221),INDEX(SAISIE!$C$5:$C$504,MATCH(_xlfn.MINIFS(SAISIE!$E$5:$E$504,SAISIE!$B$5:$B$504,"*Vent D/G*",SAISIE!$F$5:$F$504,$G$221),SAISIE!$E$5:$E$504,0))),"-"))</f>
        <v/>
      </c>
      <c r="C225" s="6" t="str">
        <f>IF($G$221="","",IFERROR(IF(_xlfn.MINIFS(SAISIE!$E$5:$E$504,SAISIE!$B$5:$B$504,"*Vent D/G*",SAISIE!$F$5:$F$504,$G$221)&gt;=0,INDEX(SAISIE!$D$5:$D$504,MATCH(_xlfn.MAXIFS(SAISIE!$C$5:$C$504,SAISIE!$B$5:$B$504,"*Vent D/G*",SAISIE!$F$5:$F$504,$G$221),SAISIE!$C$5:$C$504,0)),INDEX(SAISIE!$D$5:$D$504,MATCH(_xlfn.MINIFS(SAISIE!$E$5:$E$504,SAISIE!$B$5:$B$504,"*Vent D/G*",SAISIE!$F$5:$F$504,$G$221),SAISIE!$E$5:$E$504,0))),"-"))</f>
        <v/>
      </c>
      <c r="D225" s="6" t="str">
        <f>IF($G$221="","",IFERROR(IF(_xlfn.MINIFS(SAISIE!$E$5:$E$504,SAISIE!$B$5:$B$504,"*Vent D/G*",SAISIE!$F$5:$F$504,$G$221)&gt;=0,0,_xlfn.MINIFS(SAISIE!$E$5:$E$504,SAISIE!$B$5:$B$504,"*Vent D/G*",SAISIE!$F$5:$F$504,$G$221)),"-"))</f>
        <v/>
      </c>
      <c r="E225" s="6" t="s">
        <v>51</v>
      </c>
    </row>
    <row r="226" spans="1:7" x14ac:dyDescent="0.25">
      <c r="A226" s="5" t="s">
        <v>55</v>
      </c>
      <c r="B226" s="6" t="str">
        <f>IF($G$221="","",IFERROR(INDEX(SAISIE!$C$5:$C$504,MATCH(_xlfn.MAXIFS(SAISIE!$E$5:$E$504,SAISIE!$B$5:$B$504,"*Vent D/G*",SAISIE!$F$5:$F$504,$G$221),SAISIE!$E$5:$E$504,0)),"-"))</f>
        <v/>
      </c>
      <c r="C226" s="6" t="str">
        <f>IF($G$221="","",IFERROR(INDEX(SAISIE!$D$5:$D$504,MATCH(_xlfn.MAXIFS(SAISIE!$E$5:$E$504,SAISIE!$B$5:$B$504,"*Vent D/G*",SAISIE!$F$5:$F$504,$G$221),SAISIE!$E$5:$E$504,0)),"-"))</f>
        <v/>
      </c>
      <c r="D226" s="6" t="str">
        <f>IF($G$221="","",IFERROR(_xlfn.MAXIFS(SAISIE!$E$5:$E$504,SAISIE!$B$5:$B$504,"*Vent D/G*",SAISIE!$F$5:$F$504,$G$221),"-"))</f>
        <v/>
      </c>
      <c r="E226" s="6" t="s">
        <v>53</v>
      </c>
    </row>
    <row r="227" spans="1:7" x14ac:dyDescent="0.25">
      <c r="A227" s="5" t="s">
        <v>56</v>
      </c>
      <c r="B227" s="6" t="str">
        <f>IF($G$221="","",IFERROR(IF(_xlfn.MINIFS(SAISIE!$E$5:$E$504,SAISIE!$B$5:$B$504,"*Vent Av./Arr.*",SAISIE!$F$5:$F$504,$G$221)&gt;=0,_xlfn.MAXIFS(SAISIE!$C$5:$C$504,SAISIE!$B$5:$B$504,"*Vent Av./Arr.*",SAISIE!$F$5:$F$504,$G$221),INDEX(SAISIE!$C$5:$C$504,MATCH(_xlfn.MINIFS(SAISIE!$E$5:$E$504,SAISIE!$B$5:$B$504,"*Vent Av./Arr.*",SAISIE!$F$5:$F$504,$G$221),SAISIE!$E$5:$E$504,0))),"-"))</f>
        <v/>
      </c>
      <c r="C227" s="6" t="str">
        <f>IF($G$221="","",IFERROR(IF(_xlfn.MINIFS(SAISIE!$E$5:$E$504,SAISIE!$B$5:$B$504,"*Vent Av./Arr.*",SAISIE!$F$5:$F$504,$G$221)&gt;=0,INDEX(SAISIE!$D$5:$D$504,MATCH(_xlfn.MAXIFS(SAISIE!$C$5:$C$504,SAISIE!$B$5:$B$504,"*Vent Av./Arr.*",SAISIE!$F$5:$F$504,$G$221),SAISIE!$C$5:$C$504,0)),INDEX(SAISIE!$D$5:$D$504,MATCH(_xlfn.MINIFS(SAISIE!$E$5:$E$504,SAISIE!$B$5:$B$504,"*Vent Av./Arr.*",SAISIE!$F$5:$F$504,$G$221),SAISIE!$E$5:$E$504,0))),"-"))</f>
        <v/>
      </c>
      <c r="D227" s="6" t="str">
        <f>IF($G$221="","",IFERROR(IF(_xlfn.MINIFS(SAISIE!$E$5:$E$504,SAISIE!$B$5:$B$504,"*Vent Av./Arr.*",SAISIE!$F$5:$F$504,$G$221)&gt;=0,0,_xlfn.MINIFS(SAISIE!$E$5:$E$504,SAISIE!$B$5:$B$504,"*Vent Av./Arr.*",SAISIE!$F$5:$F$504,$G$221)),"-"))</f>
        <v/>
      </c>
      <c r="E227" s="6" t="s">
        <v>51</v>
      </c>
    </row>
    <row r="228" spans="1:7" x14ac:dyDescent="0.25">
      <c r="A228" s="5" t="s">
        <v>57</v>
      </c>
      <c r="B228" s="6" t="str">
        <f>IF($G$221="","",IFERROR(INDEX(SAISIE!$C$5:$C$504,MATCH(_xlfn.MAXIFS(SAISIE!$E$5:$E$504,SAISIE!$B$5:$B$504,"*Vent Av./Arr.*",SAISIE!$F$5:$F$504,$G$221),SAISIE!$E$5:$E$504,0)),"-"))</f>
        <v/>
      </c>
      <c r="C228" s="6" t="str">
        <f>IF($G$221="","",IFERROR(INDEX(SAISIE!$D$5:$D$504,MATCH(_xlfn.MAXIFS(SAISIE!$E$5:$E$504,SAISIE!$B$5:$B$504,"*Vent Av./Arr.*",SAISIE!$F$5:$F$504,$G$221),SAISIE!$E$5:$E$504,0)),"-"))</f>
        <v/>
      </c>
      <c r="D228" s="6" t="str">
        <f>IF($G$221="","",IFERROR(_xlfn.MAXIFS(SAISIE!$E$5:$E$504,SAISIE!$B$5:$B$504,"*Vent Av./Arr.*",SAISIE!$F$5:$F$504,$G$221),"-"))</f>
        <v/>
      </c>
      <c r="E228" s="6" t="s">
        <v>53</v>
      </c>
    </row>
    <row r="229" spans="1:7" x14ac:dyDescent="0.25">
      <c r="A229" s="5" t="s">
        <v>58</v>
      </c>
      <c r="B229" s="6" t="str">
        <f>IF($G$221="","",IFERROR(IF(_xlfn.MINIFS(SAISIE!$E$5:$E$504,SAISIE!$B$5:$B$504,"*Vent Arr./Av.*",SAISIE!$F$5:$F$504,$G$221)&gt;=0,_xlfn.MAXIFS(SAISIE!$C$5:$C$504,SAISIE!$B$5:$B$504,"*Vent Arr./Av.*",SAISIE!$F$5:$F$504,$G$221),INDEX(SAISIE!$C$5:$C$504,MATCH(_xlfn.MINIFS(SAISIE!$E$5:$E$504,SAISIE!$B$5:$B$504,"*Vent Arr./Av.*",SAISIE!$F$5:$F$504,$G$221),SAISIE!$E$5:$E$504,0))),"-"))</f>
        <v/>
      </c>
      <c r="C229" s="6" t="str">
        <f>IF($G$221="","",IFERROR(IF(_xlfn.MINIFS(SAISIE!$E$5:$E$504,SAISIE!$B$5:$B$504,"*Vent Arr./Av.*",SAISIE!$F$5:$F$504,$G$221)&gt;=0,INDEX(SAISIE!$D$5:$D$504,MATCH(_xlfn.MAXIFS(SAISIE!$C$5:$C$504,SAISIE!$B$5:$B$504,"*Vent Arr./Av.*",SAISIE!$F$5:$F$504,$G$221),SAISIE!$C$5:$C$504,0)),INDEX(SAISIE!$D$5:$D$504,MATCH(_xlfn.MINIFS(SAISIE!$E$5:$E$504,SAISIE!$B$5:$B$504,"*Vent Arr./Av.*",SAISIE!$F$5:$F$504,$G$221),SAISIE!$E$5:$E$504,0))),"-"))</f>
        <v/>
      </c>
      <c r="D229" s="6" t="str">
        <f>IF($G$221="","",IFERROR(IF(_xlfn.MINIFS(SAISIE!$E$5:$E$504,SAISIE!$B$5:$B$504,"*Vent Arr./Av.*",SAISIE!$F$5:$F$504,$G$221)&gt;=0,0,_xlfn.MINIFS(SAISIE!$E$5:$E$504,SAISIE!$B$5:$B$504,"*Vent Arr./Av.*",SAISIE!$F$5:$F$504,$G$221)),"-"))</f>
        <v/>
      </c>
      <c r="E229" s="6" t="s">
        <v>51</v>
      </c>
    </row>
    <row r="230" spans="1:7" x14ac:dyDescent="0.25">
      <c r="A230" s="5" t="s">
        <v>59</v>
      </c>
      <c r="B230" s="6" t="str">
        <f>IF($G$221="","",IFERROR(INDEX(SAISIE!$C$5:$C$504,MATCH(_xlfn.MAXIFS(SAISIE!$E$5:$E$504,SAISIE!$B$5:$B$504,"*Vent Arr./Av.*",SAISIE!$F$5:$F$504,$G$221),SAISIE!$E$5:$E$504,0)),"-"))</f>
        <v/>
      </c>
      <c r="C230" s="6" t="str">
        <f>IF($G$221="","",IFERROR(INDEX(SAISIE!$D$5:$D$504,MATCH(_xlfn.MAXIFS(SAISIE!$E$5:$E$504,SAISIE!$B$5:$B$504,"*Vent Arr./Av.*",SAISIE!$F$5:$F$504,$G$221),SAISIE!$E$5:$E$504,0)),"-"))</f>
        <v/>
      </c>
      <c r="D230" s="6" t="str">
        <f>IF($G$221="","",IFERROR(_xlfn.MAXIFS(SAISIE!$E$5:$E$504,SAISIE!$B$5:$B$504,"*Vent Arr./Av.*",SAISIE!$F$5:$F$504,$G$221),"-"))</f>
        <v/>
      </c>
      <c r="E230" s="6" t="s">
        <v>53</v>
      </c>
    </row>
    <row r="231" spans="1:7" x14ac:dyDescent="0.25">
      <c r="A231" s="5" t="s">
        <v>60</v>
      </c>
      <c r="B231" s="6" t="str">
        <f>IF($G$221="","",IFERROR(INDEX(SAISIE!$C$5:$C$504,MATCH(_xlfn.MINIFS(SAISIE!$E$5:$E$504,SAISIE!$B$5:$B$504,"*Neige*",SAISIE!$B$5:$B$504,"&lt;&gt;*accidentel*",SAISIE!$F$5:$F$504,$G$221),SAISIE!$E$5:$E$504,0)),"-"))</f>
        <v/>
      </c>
      <c r="C231" s="6" t="str">
        <f>IF($G$221="","",IFERROR(INDEX(SAISIE!$D$5:$D$504,MATCH(_xlfn.MINIFS(SAISIE!$E$5:$E$504,SAISIE!$B$5:$B$504,"*Neige*",SAISIE!$B$5:$B$504,"&lt;&gt;*accidentel*",SAISIE!$F$5:$F$504,$G$221),SAISIE!$E$5:$E$504,0)),"-"))</f>
        <v/>
      </c>
      <c r="D231" s="6" t="str">
        <f>IF($G$221="","",IFERROR(INDEX(SAISIE!$E$5:$E$504,MATCH(_xlfn.MINIFS(SAISIE!$E$5:$E$504,SAISIE!$B$5:$B$504,"*Neige*",SAISIE!$B$5:$B$504,"&lt;&gt;*accidentel*",SAISIE!$F$5:$F$504,$G$221),SAISIE!$E$5:$E$504,0)),"-"))</f>
        <v/>
      </c>
      <c r="E231" s="6"/>
    </row>
    <row r="232" spans="1:7" x14ac:dyDescent="0.25">
      <c r="A232" s="5" t="s">
        <v>61</v>
      </c>
      <c r="B232" s="6" t="str">
        <f>IF($G$221="","",IFERROR(LOOKUP(2,1/((SAISIE!$F$5:$F$504=$G$221)*(ISNUMBER(SEARCH("accidentel",SAISIE!$B$5:$B$504)))),SAISIE!$C$5:$C$504),"-"))</f>
        <v/>
      </c>
      <c r="C232" s="6" t="str">
        <f>IF($G$221="","",IFERROR(LOOKUP(2,1/((SAISIE!$F$5:$F$504=$G$221)*(ISNUMBER(SEARCH("accidentel",SAISIE!$B$5:$B$504)))),SAISIE!$D$5:$D$504),"-"))</f>
        <v/>
      </c>
      <c r="D232" s="6" t="str">
        <f>IF($G$221="","",IFERROR(LOOKUP(2,1/((SAISIE!$F$5:$F$504=$G$221)*(ISNUMBER(SEARCH("accidentel",SAISIE!$B$5:$B$504)))),SAISIE!$E$5:$E$504),"-"))</f>
        <v/>
      </c>
      <c r="E232" s="6"/>
    </row>
    <row r="233" spans="1:7" ht="15.75" x14ac:dyDescent="0.25">
      <c r="A233" s="9" t="str">
        <f>IF($G$233="","","Noeud "&amp;$G$233)</f>
        <v/>
      </c>
      <c r="B233" s="10"/>
      <c r="C233" s="10"/>
      <c r="D233" s="10"/>
      <c r="E233" s="10"/>
      <c r="G233" t="str">
        <f>IFERROR(INDEX(SAISIE!$F$5:$F$504,_xlfn.AGGREGATE(15,6,ROW(SAISIE!$F$5:$F$504)-ROW(SAISIE!$F$5)+1/(SAISIE!$F$5:$F$504&lt;&gt;"")/(COUNTIF($G$4:G232,SAISIE!$F$5:$F$504)=0),1)),"")</f>
        <v/>
      </c>
    </row>
    <row r="234" spans="1:7" x14ac:dyDescent="0.25">
      <c r="A234" s="5" t="s">
        <v>49</v>
      </c>
      <c r="B234" s="6" t="str">
        <f>IF($G$233="","",IFERROR(IFERROR(LOOKUP(2,1/((SAISIE!$F$5:$F$504=$G$233)*(LEFT(SAISIE!$B$5:$B$504,2)="G ")),SAISIE!$C$5:$C$504),LOOKUP(2,1/((SAISIE!$F$5:$F$504=$G$233)*(ISNUMBER(SEARCH("Couverture",SAISIE!$B$5:$B$504)))),SAISIE!$C$5:$C$504)),"-"))</f>
        <v/>
      </c>
      <c r="C234" s="6" t="str">
        <f>IF($G$233="","",IFERROR(IFERROR(LOOKUP(2,1/((SAISIE!$F$5:$F$504=$G$233)*(LEFT(SAISIE!$B$5:$B$504,2)="G ")),SAISIE!$D$5:$D$504),LOOKUP(2,1/((SAISIE!$F$5:$F$504=$G$233)*(ISNUMBER(SEARCH("Couverture",SAISIE!$B$5:$B$504)))),SAISIE!$D$5:$D$504)),"-"))</f>
        <v/>
      </c>
      <c r="D234" s="6" t="str">
        <f>IF($G$233="","",IFERROR(IFERROR(LOOKUP(2,1/((SAISIE!$F$5:$F$504=$G$233)*(LEFT(SAISIE!$B$5:$B$504,2)="G ")),SAISIE!$E$5:$E$504),LOOKUP(2,1/((SAISIE!$F$5:$F$504=$G$233)*(ISNUMBER(SEARCH("Couverture",SAISIE!$B$5:$B$504)))),SAISIE!$E$5:$E$504)),"-"))</f>
        <v/>
      </c>
      <c r="E234" s="6"/>
    </row>
    <row r="235" spans="1:7" x14ac:dyDescent="0.25">
      <c r="A235" s="5" t="s">
        <v>50</v>
      </c>
      <c r="B235" s="6" t="str">
        <f>IF($G$233="","",IFERROR(IF(_xlfn.MINIFS(SAISIE!$E$5:$E$504,SAISIE!$B$5:$B$504,"*Vent G/D*",SAISIE!$F$5:$F$504,$G$233)&gt;=0,_xlfn.MAXIFS(SAISIE!$C$5:$C$504,SAISIE!$B$5:$B$504,"*Vent G/D*",SAISIE!$F$5:$F$504,$G$233),INDEX(SAISIE!$C$5:$C$504,MATCH(_xlfn.MINIFS(SAISIE!$E$5:$E$504,SAISIE!$B$5:$B$504,"*Vent G/D*",SAISIE!$F$5:$F$504,$G$233),SAISIE!$E$5:$E$504,0))),"-"))</f>
        <v/>
      </c>
      <c r="C235" s="6" t="str">
        <f>IF($G$233="","",IFERROR(IF(_xlfn.MINIFS(SAISIE!$E$5:$E$504,SAISIE!$B$5:$B$504,"*Vent G/D*",SAISIE!$F$5:$F$504,$G$233)&gt;=0,INDEX(SAISIE!$D$5:$D$504,MATCH(_xlfn.MAXIFS(SAISIE!$C$5:$C$504,SAISIE!$B$5:$B$504,"*Vent G/D*",SAISIE!$F$5:$F$504,$G$233),SAISIE!$C$5:$C$504,0)),INDEX(SAISIE!$D$5:$D$504,MATCH(_xlfn.MINIFS(SAISIE!$E$5:$E$504,SAISIE!$B$5:$B$504,"*Vent G/D*",SAISIE!$F$5:$F$504,$G$233),SAISIE!$E$5:$E$504,0))),"-"))</f>
        <v/>
      </c>
      <c r="D235" s="6" t="str">
        <f>IF($G$233="","",IFERROR(IF(_xlfn.MINIFS(SAISIE!$E$5:$E$504,SAISIE!$B$5:$B$504,"*Vent G/D*",SAISIE!$F$5:$F$504,$G$233)&gt;=0,0,_xlfn.MINIFS(SAISIE!$E$5:$E$504,SAISIE!$B$5:$B$504,"*Vent G/D*",SAISIE!$F$5:$F$504,$G$233)),"-"))</f>
        <v/>
      </c>
      <c r="E235" s="6" t="s">
        <v>51</v>
      </c>
    </row>
    <row r="236" spans="1:7" x14ac:dyDescent="0.25">
      <c r="A236" s="5" t="s">
        <v>52</v>
      </c>
      <c r="B236" s="6" t="str">
        <f>IF($G$233="","",IFERROR(INDEX(SAISIE!$C$5:$C$504,MATCH(_xlfn.MAXIFS(SAISIE!$E$5:$E$504,SAISIE!$B$5:$B$504,"*Vent G/D*",SAISIE!$F$5:$F$504,$G$233),SAISIE!$E$5:$E$504,0)),"-"))</f>
        <v/>
      </c>
      <c r="C236" s="6" t="str">
        <f>IF($G$233="","",IFERROR(INDEX(SAISIE!$D$5:$D$504,MATCH(_xlfn.MAXIFS(SAISIE!$E$5:$E$504,SAISIE!$B$5:$B$504,"*Vent G/D*",SAISIE!$F$5:$F$504,$G$233),SAISIE!$E$5:$E$504,0)),"-"))</f>
        <v/>
      </c>
      <c r="D236" s="6" t="str">
        <f>IF($G$233="","",IFERROR(_xlfn.MAXIFS(SAISIE!$E$5:$E$504,SAISIE!$B$5:$B$504,"*Vent G/D*",SAISIE!$F$5:$F$504,$G$233),"-"))</f>
        <v/>
      </c>
      <c r="E236" s="6" t="s">
        <v>53</v>
      </c>
    </row>
    <row r="237" spans="1:7" x14ac:dyDescent="0.25">
      <c r="A237" s="5" t="s">
        <v>54</v>
      </c>
      <c r="B237" s="6" t="str">
        <f>IF($G$233="","",IFERROR(IF(_xlfn.MINIFS(SAISIE!$E$5:$E$504,SAISIE!$B$5:$B$504,"*Vent D/G*",SAISIE!$F$5:$F$504,$G$233)&gt;=0,_xlfn.MAXIFS(SAISIE!$C$5:$C$504,SAISIE!$B$5:$B$504,"*Vent D/G*",SAISIE!$F$5:$F$504,$G$233),INDEX(SAISIE!$C$5:$C$504,MATCH(_xlfn.MINIFS(SAISIE!$E$5:$E$504,SAISIE!$B$5:$B$504,"*Vent D/G*",SAISIE!$F$5:$F$504,$G$233),SAISIE!$E$5:$E$504,0))),"-"))</f>
        <v/>
      </c>
      <c r="C237" s="6" t="str">
        <f>IF($G$233="","",IFERROR(IF(_xlfn.MINIFS(SAISIE!$E$5:$E$504,SAISIE!$B$5:$B$504,"*Vent D/G*",SAISIE!$F$5:$F$504,$G$233)&gt;=0,INDEX(SAISIE!$D$5:$D$504,MATCH(_xlfn.MAXIFS(SAISIE!$C$5:$C$504,SAISIE!$B$5:$B$504,"*Vent D/G*",SAISIE!$F$5:$F$504,$G$233),SAISIE!$C$5:$C$504,0)),INDEX(SAISIE!$D$5:$D$504,MATCH(_xlfn.MINIFS(SAISIE!$E$5:$E$504,SAISIE!$B$5:$B$504,"*Vent D/G*",SAISIE!$F$5:$F$504,$G$233),SAISIE!$E$5:$E$504,0))),"-"))</f>
        <v/>
      </c>
      <c r="D237" s="6" t="str">
        <f>IF($G$233="","",IFERROR(IF(_xlfn.MINIFS(SAISIE!$E$5:$E$504,SAISIE!$B$5:$B$504,"*Vent D/G*",SAISIE!$F$5:$F$504,$G$233)&gt;=0,0,_xlfn.MINIFS(SAISIE!$E$5:$E$504,SAISIE!$B$5:$B$504,"*Vent D/G*",SAISIE!$F$5:$F$504,$G$233)),"-"))</f>
        <v/>
      </c>
      <c r="E237" s="6" t="s">
        <v>51</v>
      </c>
    </row>
    <row r="238" spans="1:7" x14ac:dyDescent="0.25">
      <c r="A238" s="5" t="s">
        <v>55</v>
      </c>
      <c r="B238" s="6" t="str">
        <f>IF($G$233="","",IFERROR(INDEX(SAISIE!$C$5:$C$504,MATCH(_xlfn.MAXIFS(SAISIE!$E$5:$E$504,SAISIE!$B$5:$B$504,"*Vent D/G*",SAISIE!$F$5:$F$504,$G$233),SAISIE!$E$5:$E$504,0)),"-"))</f>
        <v/>
      </c>
      <c r="C238" s="6" t="str">
        <f>IF($G$233="","",IFERROR(INDEX(SAISIE!$D$5:$D$504,MATCH(_xlfn.MAXIFS(SAISIE!$E$5:$E$504,SAISIE!$B$5:$B$504,"*Vent D/G*",SAISIE!$F$5:$F$504,$G$233),SAISIE!$E$5:$E$504,0)),"-"))</f>
        <v/>
      </c>
      <c r="D238" s="6" t="str">
        <f>IF($G$233="","",IFERROR(_xlfn.MAXIFS(SAISIE!$E$5:$E$504,SAISIE!$B$5:$B$504,"*Vent D/G*",SAISIE!$F$5:$F$504,$G$233),"-"))</f>
        <v/>
      </c>
      <c r="E238" s="6" t="s">
        <v>53</v>
      </c>
    </row>
    <row r="239" spans="1:7" x14ac:dyDescent="0.25">
      <c r="A239" s="5" t="s">
        <v>56</v>
      </c>
      <c r="B239" s="6" t="str">
        <f>IF($G$233="","",IFERROR(IF(_xlfn.MINIFS(SAISIE!$E$5:$E$504,SAISIE!$B$5:$B$504,"*Vent Av./Arr.*",SAISIE!$F$5:$F$504,$G$233)&gt;=0,_xlfn.MAXIFS(SAISIE!$C$5:$C$504,SAISIE!$B$5:$B$504,"*Vent Av./Arr.*",SAISIE!$F$5:$F$504,$G$233),INDEX(SAISIE!$C$5:$C$504,MATCH(_xlfn.MINIFS(SAISIE!$E$5:$E$504,SAISIE!$B$5:$B$504,"*Vent Av./Arr.*",SAISIE!$F$5:$F$504,$G$233),SAISIE!$E$5:$E$504,0))),"-"))</f>
        <v/>
      </c>
      <c r="C239" s="6" t="str">
        <f>IF($G$233="","",IFERROR(IF(_xlfn.MINIFS(SAISIE!$E$5:$E$504,SAISIE!$B$5:$B$504,"*Vent Av./Arr.*",SAISIE!$F$5:$F$504,$G$233)&gt;=0,INDEX(SAISIE!$D$5:$D$504,MATCH(_xlfn.MAXIFS(SAISIE!$C$5:$C$504,SAISIE!$B$5:$B$504,"*Vent Av./Arr.*",SAISIE!$F$5:$F$504,$G$233),SAISIE!$C$5:$C$504,0)),INDEX(SAISIE!$D$5:$D$504,MATCH(_xlfn.MINIFS(SAISIE!$E$5:$E$504,SAISIE!$B$5:$B$504,"*Vent Av./Arr.*",SAISIE!$F$5:$F$504,$G$233),SAISIE!$E$5:$E$504,0))),"-"))</f>
        <v/>
      </c>
      <c r="D239" s="6" t="str">
        <f>IF($G$233="","",IFERROR(IF(_xlfn.MINIFS(SAISIE!$E$5:$E$504,SAISIE!$B$5:$B$504,"*Vent Av./Arr.*",SAISIE!$F$5:$F$504,$G$233)&gt;=0,0,_xlfn.MINIFS(SAISIE!$E$5:$E$504,SAISIE!$B$5:$B$504,"*Vent Av./Arr.*",SAISIE!$F$5:$F$504,$G$233)),"-"))</f>
        <v/>
      </c>
      <c r="E239" s="6" t="s">
        <v>51</v>
      </c>
    </row>
    <row r="240" spans="1:7" x14ac:dyDescent="0.25">
      <c r="A240" s="5" t="s">
        <v>57</v>
      </c>
      <c r="B240" s="6" t="str">
        <f>IF($G$233="","",IFERROR(INDEX(SAISIE!$C$5:$C$504,MATCH(_xlfn.MAXIFS(SAISIE!$E$5:$E$504,SAISIE!$B$5:$B$504,"*Vent Av./Arr.*",SAISIE!$F$5:$F$504,$G$233),SAISIE!$E$5:$E$504,0)),"-"))</f>
        <v/>
      </c>
      <c r="C240" s="6" t="str">
        <f>IF($G$233="","",IFERROR(INDEX(SAISIE!$D$5:$D$504,MATCH(_xlfn.MAXIFS(SAISIE!$E$5:$E$504,SAISIE!$B$5:$B$504,"*Vent Av./Arr.*",SAISIE!$F$5:$F$504,$G$233),SAISIE!$E$5:$E$504,0)),"-"))</f>
        <v/>
      </c>
      <c r="D240" s="6" t="str">
        <f>IF($G$233="","",IFERROR(_xlfn.MAXIFS(SAISIE!$E$5:$E$504,SAISIE!$B$5:$B$504,"*Vent Av./Arr.*",SAISIE!$F$5:$F$504,$G$233),"-"))</f>
        <v/>
      </c>
      <c r="E240" s="6" t="s">
        <v>53</v>
      </c>
    </row>
    <row r="241" spans="1:7" x14ac:dyDescent="0.25">
      <c r="A241" s="5" t="s">
        <v>58</v>
      </c>
      <c r="B241" s="6" t="str">
        <f>IF($G$233="","",IFERROR(IF(_xlfn.MINIFS(SAISIE!$E$5:$E$504,SAISIE!$B$5:$B$504,"*Vent Arr./Av.*",SAISIE!$F$5:$F$504,$G$233)&gt;=0,_xlfn.MAXIFS(SAISIE!$C$5:$C$504,SAISIE!$B$5:$B$504,"*Vent Arr./Av.*",SAISIE!$F$5:$F$504,$G$233),INDEX(SAISIE!$C$5:$C$504,MATCH(_xlfn.MINIFS(SAISIE!$E$5:$E$504,SAISIE!$B$5:$B$504,"*Vent Arr./Av.*",SAISIE!$F$5:$F$504,$G$233),SAISIE!$E$5:$E$504,0))),"-"))</f>
        <v/>
      </c>
      <c r="C241" s="6" t="str">
        <f>IF($G$233="","",IFERROR(IF(_xlfn.MINIFS(SAISIE!$E$5:$E$504,SAISIE!$B$5:$B$504,"*Vent Arr./Av.*",SAISIE!$F$5:$F$504,$G$233)&gt;=0,INDEX(SAISIE!$D$5:$D$504,MATCH(_xlfn.MAXIFS(SAISIE!$C$5:$C$504,SAISIE!$B$5:$B$504,"*Vent Arr./Av.*",SAISIE!$F$5:$F$504,$G$233),SAISIE!$C$5:$C$504,0)),INDEX(SAISIE!$D$5:$D$504,MATCH(_xlfn.MINIFS(SAISIE!$E$5:$E$504,SAISIE!$B$5:$B$504,"*Vent Arr./Av.*",SAISIE!$F$5:$F$504,$G$233),SAISIE!$E$5:$E$504,0))),"-"))</f>
        <v/>
      </c>
      <c r="D241" s="6" t="str">
        <f>IF($G$233="","",IFERROR(IF(_xlfn.MINIFS(SAISIE!$E$5:$E$504,SAISIE!$B$5:$B$504,"*Vent Arr./Av.*",SAISIE!$F$5:$F$504,$G$233)&gt;=0,0,_xlfn.MINIFS(SAISIE!$E$5:$E$504,SAISIE!$B$5:$B$504,"*Vent Arr./Av.*",SAISIE!$F$5:$F$504,$G$233)),"-"))</f>
        <v/>
      </c>
      <c r="E241" s="6" t="s">
        <v>51</v>
      </c>
    </row>
    <row r="242" spans="1:7" x14ac:dyDescent="0.25">
      <c r="A242" s="5" t="s">
        <v>59</v>
      </c>
      <c r="B242" s="6" t="str">
        <f>IF($G$233="","",IFERROR(INDEX(SAISIE!$C$5:$C$504,MATCH(_xlfn.MAXIFS(SAISIE!$E$5:$E$504,SAISIE!$B$5:$B$504,"*Vent Arr./Av.*",SAISIE!$F$5:$F$504,$G$233),SAISIE!$E$5:$E$504,0)),"-"))</f>
        <v/>
      </c>
      <c r="C242" s="6" t="str">
        <f>IF($G$233="","",IFERROR(INDEX(SAISIE!$D$5:$D$504,MATCH(_xlfn.MAXIFS(SAISIE!$E$5:$E$504,SAISIE!$B$5:$B$504,"*Vent Arr./Av.*",SAISIE!$F$5:$F$504,$G$233),SAISIE!$E$5:$E$504,0)),"-"))</f>
        <v/>
      </c>
      <c r="D242" s="6" t="str">
        <f>IF($G$233="","",IFERROR(_xlfn.MAXIFS(SAISIE!$E$5:$E$504,SAISIE!$B$5:$B$504,"*Vent Arr./Av.*",SAISIE!$F$5:$F$504,$G$233),"-"))</f>
        <v/>
      </c>
      <c r="E242" s="6" t="s">
        <v>53</v>
      </c>
    </row>
    <row r="243" spans="1:7" x14ac:dyDescent="0.25">
      <c r="A243" s="5" t="s">
        <v>60</v>
      </c>
      <c r="B243" s="6" t="str">
        <f>IF($G$233="","",IFERROR(INDEX(SAISIE!$C$5:$C$504,MATCH(_xlfn.MINIFS(SAISIE!$E$5:$E$504,SAISIE!$B$5:$B$504,"*Neige*",SAISIE!$B$5:$B$504,"&lt;&gt;*accidentel*",SAISIE!$F$5:$F$504,$G$233),SAISIE!$E$5:$E$504,0)),"-"))</f>
        <v/>
      </c>
      <c r="C243" s="6" t="str">
        <f>IF($G$233="","",IFERROR(INDEX(SAISIE!$D$5:$D$504,MATCH(_xlfn.MINIFS(SAISIE!$E$5:$E$504,SAISIE!$B$5:$B$504,"*Neige*",SAISIE!$B$5:$B$504,"&lt;&gt;*accidentel*",SAISIE!$F$5:$F$504,$G$233),SAISIE!$E$5:$E$504,0)),"-"))</f>
        <v/>
      </c>
      <c r="D243" s="6" t="str">
        <f>IF($G$233="","",IFERROR(INDEX(SAISIE!$E$5:$E$504,MATCH(_xlfn.MINIFS(SAISIE!$E$5:$E$504,SAISIE!$B$5:$B$504,"*Neige*",SAISIE!$B$5:$B$504,"&lt;&gt;*accidentel*",SAISIE!$F$5:$F$504,$G$233),SAISIE!$E$5:$E$504,0)),"-"))</f>
        <v/>
      </c>
      <c r="E243" s="6"/>
    </row>
    <row r="244" spans="1:7" x14ac:dyDescent="0.25">
      <c r="A244" s="5" t="s">
        <v>61</v>
      </c>
      <c r="B244" s="6" t="str">
        <f>IF($G$233="","",IFERROR(LOOKUP(2,1/((SAISIE!$F$5:$F$504=$G$233)*(ISNUMBER(SEARCH("accidentel",SAISIE!$B$5:$B$504)))),SAISIE!$C$5:$C$504),"-"))</f>
        <v/>
      </c>
      <c r="C244" s="6" t="str">
        <f>IF($G$233="","",IFERROR(LOOKUP(2,1/((SAISIE!$F$5:$F$504=$G$233)*(ISNUMBER(SEARCH("accidentel",SAISIE!$B$5:$B$504)))),SAISIE!$D$5:$D$504),"-"))</f>
        <v/>
      </c>
      <c r="D244" s="6" t="str">
        <f>IF($G$233="","",IFERROR(LOOKUP(2,1/((SAISIE!$F$5:$F$504=$G$233)*(ISNUMBER(SEARCH("accidentel",SAISIE!$B$5:$B$504)))),SAISIE!$E$5:$E$504),"-"))</f>
        <v/>
      </c>
      <c r="E244" s="6"/>
    </row>
    <row r="245" spans="1:7" ht="15.75" x14ac:dyDescent="0.25">
      <c r="A245" s="9" t="str">
        <f>IF($G$245="","","Noeud "&amp;$G$245)</f>
        <v/>
      </c>
      <c r="B245" s="10"/>
      <c r="C245" s="10"/>
      <c r="D245" s="10"/>
      <c r="E245" s="10"/>
      <c r="G245" t="str">
        <f>IFERROR(INDEX(SAISIE!$F$5:$F$504,_xlfn.AGGREGATE(15,6,ROW(SAISIE!$F$5:$F$504)-ROW(SAISIE!$F$5)+1/(SAISIE!$F$5:$F$504&lt;&gt;"")/(COUNTIF($G$4:G244,SAISIE!$F$5:$F$504)=0),1)),"")</f>
        <v/>
      </c>
    </row>
    <row r="246" spans="1:7" x14ac:dyDescent="0.25">
      <c r="A246" s="5" t="s">
        <v>49</v>
      </c>
      <c r="B246" s="6" t="str">
        <f>IF($G$245="","",IFERROR(IFERROR(LOOKUP(2,1/((SAISIE!$F$5:$F$504=$G$245)*(LEFT(SAISIE!$B$5:$B$504,2)="G ")),SAISIE!$C$5:$C$504),LOOKUP(2,1/((SAISIE!$F$5:$F$504=$G$245)*(ISNUMBER(SEARCH("Couverture",SAISIE!$B$5:$B$504)))),SAISIE!$C$5:$C$504)),"-"))</f>
        <v/>
      </c>
      <c r="C246" s="6" t="str">
        <f>IF($G$245="","",IFERROR(IFERROR(LOOKUP(2,1/((SAISIE!$F$5:$F$504=$G$245)*(LEFT(SAISIE!$B$5:$B$504,2)="G ")),SAISIE!$D$5:$D$504),LOOKUP(2,1/((SAISIE!$F$5:$F$504=$G$245)*(ISNUMBER(SEARCH("Couverture",SAISIE!$B$5:$B$504)))),SAISIE!$D$5:$D$504)),"-"))</f>
        <v/>
      </c>
      <c r="D246" s="6" t="str">
        <f>IF($G$245="","",IFERROR(IFERROR(LOOKUP(2,1/((SAISIE!$F$5:$F$504=$G$245)*(LEFT(SAISIE!$B$5:$B$504,2)="G ")),SAISIE!$E$5:$E$504),LOOKUP(2,1/((SAISIE!$F$5:$F$504=$G$245)*(ISNUMBER(SEARCH("Couverture",SAISIE!$B$5:$B$504)))),SAISIE!$E$5:$E$504)),"-"))</f>
        <v/>
      </c>
      <c r="E246" s="6"/>
    </row>
    <row r="247" spans="1:7" x14ac:dyDescent="0.25">
      <c r="A247" s="5" t="s">
        <v>50</v>
      </c>
      <c r="B247" s="6" t="str">
        <f>IF($G$245="","",IFERROR(IF(_xlfn.MINIFS(SAISIE!$E$5:$E$504,SAISIE!$B$5:$B$504,"*Vent G/D*",SAISIE!$F$5:$F$504,$G$245)&gt;=0,_xlfn.MAXIFS(SAISIE!$C$5:$C$504,SAISIE!$B$5:$B$504,"*Vent G/D*",SAISIE!$F$5:$F$504,$G$245),INDEX(SAISIE!$C$5:$C$504,MATCH(_xlfn.MINIFS(SAISIE!$E$5:$E$504,SAISIE!$B$5:$B$504,"*Vent G/D*",SAISIE!$F$5:$F$504,$G$245),SAISIE!$E$5:$E$504,0))),"-"))</f>
        <v/>
      </c>
      <c r="C247" s="6" t="str">
        <f>IF($G$245="","",IFERROR(IF(_xlfn.MINIFS(SAISIE!$E$5:$E$504,SAISIE!$B$5:$B$504,"*Vent G/D*",SAISIE!$F$5:$F$504,$G$245)&gt;=0,INDEX(SAISIE!$D$5:$D$504,MATCH(_xlfn.MAXIFS(SAISIE!$C$5:$C$504,SAISIE!$B$5:$B$504,"*Vent G/D*",SAISIE!$F$5:$F$504,$G$245),SAISIE!$C$5:$C$504,0)),INDEX(SAISIE!$D$5:$D$504,MATCH(_xlfn.MINIFS(SAISIE!$E$5:$E$504,SAISIE!$B$5:$B$504,"*Vent G/D*",SAISIE!$F$5:$F$504,$G$245),SAISIE!$E$5:$E$504,0))),"-"))</f>
        <v/>
      </c>
      <c r="D247" s="6" t="str">
        <f>IF($G$245="","",IFERROR(IF(_xlfn.MINIFS(SAISIE!$E$5:$E$504,SAISIE!$B$5:$B$504,"*Vent G/D*",SAISIE!$F$5:$F$504,$G$245)&gt;=0,0,_xlfn.MINIFS(SAISIE!$E$5:$E$504,SAISIE!$B$5:$B$504,"*Vent G/D*",SAISIE!$F$5:$F$504,$G$245)),"-"))</f>
        <v/>
      </c>
      <c r="E247" s="6" t="s">
        <v>51</v>
      </c>
    </row>
    <row r="248" spans="1:7" x14ac:dyDescent="0.25">
      <c r="A248" s="5" t="s">
        <v>52</v>
      </c>
      <c r="B248" s="6" t="str">
        <f>IF($G$245="","",IFERROR(INDEX(SAISIE!$C$5:$C$504,MATCH(_xlfn.MAXIFS(SAISIE!$E$5:$E$504,SAISIE!$B$5:$B$504,"*Vent G/D*",SAISIE!$F$5:$F$504,$G$245),SAISIE!$E$5:$E$504,0)),"-"))</f>
        <v/>
      </c>
      <c r="C248" s="6" t="str">
        <f>IF($G$245="","",IFERROR(INDEX(SAISIE!$D$5:$D$504,MATCH(_xlfn.MAXIFS(SAISIE!$E$5:$E$504,SAISIE!$B$5:$B$504,"*Vent G/D*",SAISIE!$F$5:$F$504,$G$245),SAISIE!$E$5:$E$504,0)),"-"))</f>
        <v/>
      </c>
      <c r="D248" s="6" t="str">
        <f>IF($G$245="","",IFERROR(_xlfn.MAXIFS(SAISIE!$E$5:$E$504,SAISIE!$B$5:$B$504,"*Vent G/D*",SAISIE!$F$5:$F$504,$G$245),"-"))</f>
        <v/>
      </c>
      <c r="E248" s="6" t="s">
        <v>53</v>
      </c>
    </row>
    <row r="249" spans="1:7" x14ac:dyDescent="0.25">
      <c r="A249" s="5" t="s">
        <v>54</v>
      </c>
      <c r="B249" s="6" t="str">
        <f>IF($G$245="","",IFERROR(IF(_xlfn.MINIFS(SAISIE!$E$5:$E$504,SAISIE!$B$5:$B$504,"*Vent D/G*",SAISIE!$F$5:$F$504,$G$245)&gt;=0,_xlfn.MAXIFS(SAISIE!$C$5:$C$504,SAISIE!$B$5:$B$504,"*Vent D/G*",SAISIE!$F$5:$F$504,$G$245),INDEX(SAISIE!$C$5:$C$504,MATCH(_xlfn.MINIFS(SAISIE!$E$5:$E$504,SAISIE!$B$5:$B$504,"*Vent D/G*",SAISIE!$F$5:$F$504,$G$245),SAISIE!$E$5:$E$504,0))),"-"))</f>
        <v/>
      </c>
      <c r="C249" s="6" t="str">
        <f>IF($G$245="","",IFERROR(IF(_xlfn.MINIFS(SAISIE!$E$5:$E$504,SAISIE!$B$5:$B$504,"*Vent D/G*",SAISIE!$F$5:$F$504,$G$245)&gt;=0,INDEX(SAISIE!$D$5:$D$504,MATCH(_xlfn.MAXIFS(SAISIE!$C$5:$C$504,SAISIE!$B$5:$B$504,"*Vent D/G*",SAISIE!$F$5:$F$504,$G$245),SAISIE!$C$5:$C$504,0)),INDEX(SAISIE!$D$5:$D$504,MATCH(_xlfn.MINIFS(SAISIE!$E$5:$E$504,SAISIE!$B$5:$B$504,"*Vent D/G*",SAISIE!$F$5:$F$504,$G$245),SAISIE!$E$5:$E$504,0))),"-"))</f>
        <v/>
      </c>
      <c r="D249" s="6" t="str">
        <f>IF($G$245="","",IFERROR(IF(_xlfn.MINIFS(SAISIE!$E$5:$E$504,SAISIE!$B$5:$B$504,"*Vent D/G*",SAISIE!$F$5:$F$504,$G$245)&gt;=0,0,_xlfn.MINIFS(SAISIE!$E$5:$E$504,SAISIE!$B$5:$B$504,"*Vent D/G*",SAISIE!$F$5:$F$504,$G$245)),"-"))</f>
        <v/>
      </c>
      <c r="E249" s="6" t="s">
        <v>51</v>
      </c>
    </row>
    <row r="250" spans="1:7" x14ac:dyDescent="0.25">
      <c r="A250" s="5" t="s">
        <v>55</v>
      </c>
      <c r="B250" s="6" t="str">
        <f>IF($G$245="","",IFERROR(INDEX(SAISIE!$C$5:$C$504,MATCH(_xlfn.MAXIFS(SAISIE!$E$5:$E$504,SAISIE!$B$5:$B$504,"*Vent D/G*",SAISIE!$F$5:$F$504,$G$245),SAISIE!$E$5:$E$504,0)),"-"))</f>
        <v/>
      </c>
      <c r="C250" s="6" t="str">
        <f>IF($G$245="","",IFERROR(INDEX(SAISIE!$D$5:$D$504,MATCH(_xlfn.MAXIFS(SAISIE!$E$5:$E$504,SAISIE!$B$5:$B$504,"*Vent D/G*",SAISIE!$F$5:$F$504,$G$245),SAISIE!$E$5:$E$504,0)),"-"))</f>
        <v/>
      </c>
      <c r="D250" s="6" t="str">
        <f>IF($G$245="","",IFERROR(_xlfn.MAXIFS(SAISIE!$E$5:$E$504,SAISIE!$B$5:$B$504,"*Vent D/G*",SAISIE!$F$5:$F$504,$G$245),"-"))</f>
        <v/>
      </c>
      <c r="E250" s="6" t="s">
        <v>53</v>
      </c>
    </row>
    <row r="251" spans="1:7" x14ac:dyDescent="0.25">
      <c r="A251" s="5" t="s">
        <v>56</v>
      </c>
      <c r="B251" s="6" t="str">
        <f>IF($G$245="","",IFERROR(IF(_xlfn.MINIFS(SAISIE!$E$5:$E$504,SAISIE!$B$5:$B$504,"*Vent Av./Arr.*",SAISIE!$F$5:$F$504,$G$245)&gt;=0,_xlfn.MAXIFS(SAISIE!$C$5:$C$504,SAISIE!$B$5:$B$504,"*Vent Av./Arr.*",SAISIE!$F$5:$F$504,$G$245),INDEX(SAISIE!$C$5:$C$504,MATCH(_xlfn.MINIFS(SAISIE!$E$5:$E$504,SAISIE!$B$5:$B$504,"*Vent Av./Arr.*",SAISIE!$F$5:$F$504,$G$245),SAISIE!$E$5:$E$504,0))),"-"))</f>
        <v/>
      </c>
      <c r="C251" s="6" t="str">
        <f>IF($G$245="","",IFERROR(IF(_xlfn.MINIFS(SAISIE!$E$5:$E$504,SAISIE!$B$5:$B$504,"*Vent Av./Arr.*",SAISIE!$F$5:$F$504,$G$245)&gt;=0,INDEX(SAISIE!$D$5:$D$504,MATCH(_xlfn.MAXIFS(SAISIE!$C$5:$C$504,SAISIE!$B$5:$B$504,"*Vent Av./Arr.*",SAISIE!$F$5:$F$504,$G$245),SAISIE!$C$5:$C$504,0)),INDEX(SAISIE!$D$5:$D$504,MATCH(_xlfn.MINIFS(SAISIE!$E$5:$E$504,SAISIE!$B$5:$B$504,"*Vent Av./Arr.*",SAISIE!$F$5:$F$504,$G$245),SAISIE!$E$5:$E$504,0))),"-"))</f>
        <v/>
      </c>
      <c r="D251" s="6" t="str">
        <f>IF($G$245="","",IFERROR(IF(_xlfn.MINIFS(SAISIE!$E$5:$E$504,SAISIE!$B$5:$B$504,"*Vent Av./Arr.*",SAISIE!$F$5:$F$504,$G$245)&gt;=0,0,_xlfn.MINIFS(SAISIE!$E$5:$E$504,SAISIE!$B$5:$B$504,"*Vent Av./Arr.*",SAISIE!$F$5:$F$504,$G$245)),"-"))</f>
        <v/>
      </c>
      <c r="E251" s="6" t="s">
        <v>51</v>
      </c>
    </row>
    <row r="252" spans="1:7" x14ac:dyDescent="0.25">
      <c r="A252" s="5" t="s">
        <v>57</v>
      </c>
      <c r="B252" s="6" t="str">
        <f>IF($G$245="","",IFERROR(INDEX(SAISIE!$C$5:$C$504,MATCH(_xlfn.MAXIFS(SAISIE!$E$5:$E$504,SAISIE!$B$5:$B$504,"*Vent Av./Arr.*",SAISIE!$F$5:$F$504,$G$245),SAISIE!$E$5:$E$504,0)),"-"))</f>
        <v/>
      </c>
      <c r="C252" s="6" t="str">
        <f>IF($G$245="","",IFERROR(INDEX(SAISIE!$D$5:$D$504,MATCH(_xlfn.MAXIFS(SAISIE!$E$5:$E$504,SAISIE!$B$5:$B$504,"*Vent Av./Arr.*",SAISIE!$F$5:$F$504,$G$245),SAISIE!$E$5:$E$504,0)),"-"))</f>
        <v/>
      </c>
      <c r="D252" s="6" t="str">
        <f>IF($G$245="","",IFERROR(_xlfn.MAXIFS(SAISIE!$E$5:$E$504,SAISIE!$B$5:$B$504,"*Vent Av./Arr.*",SAISIE!$F$5:$F$504,$G$245),"-"))</f>
        <v/>
      </c>
      <c r="E252" s="6" t="s">
        <v>53</v>
      </c>
    </row>
    <row r="253" spans="1:7" x14ac:dyDescent="0.25">
      <c r="A253" s="5" t="s">
        <v>58</v>
      </c>
      <c r="B253" s="6" t="str">
        <f>IF($G$245="","",IFERROR(IF(_xlfn.MINIFS(SAISIE!$E$5:$E$504,SAISIE!$B$5:$B$504,"*Vent Arr./Av.*",SAISIE!$F$5:$F$504,$G$245)&gt;=0,_xlfn.MAXIFS(SAISIE!$C$5:$C$504,SAISIE!$B$5:$B$504,"*Vent Arr./Av.*",SAISIE!$F$5:$F$504,$G$245),INDEX(SAISIE!$C$5:$C$504,MATCH(_xlfn.MINIFS(SAISIE!$E$5:$E$504,SAISIE!$B$5:$B$504,"*Vent Arr./Av.*",SAISIE!$F$5:$F$504,$G$245),SAISIE!$E$5:$E$504,0))),"-"))</f>
        <v/>
      </c>
      <c r="C253" s="6" t="str">
        <f>IF($G$245="","",IFERROR(IF(_xlfn.MINIFS(SAISIE!$E$5:$E$504,SAISIE!$B$5:$B$504,"*Vent Arr./Av.*",SAISIE!$F$5:$F$504,$G$245)&gt;=0,INDEX(SAISIE!$D$5:$D$504,MATCH(_xlfn.MAXIFS(SAISIE!$C$5:$C$504,SAISIE!$B$5:$B$504,"*Vent Arr./Av.*",SAISIE!$F$5:$F$504,$G$245),SAISIE!$C$5:$C$504,0)),INDEX(SAISIE!$D$5:$D$504,MATCH(_xlfn.MINIFS(SAISIE!$E$5:$E$504,SAISIE!$B$5:$B$504,"*Vent Arr./Av.*",SAISIE!$F$5:$F$504,$G$245),SAISIE!$E$5:$E$504,0))),"-"))</f>
        <v/>
      </c>
      <c r="D253" s="6" t="str">
        <f>IF($G$245="","",IFERROR(IF(_xlfn.MINIFS(SAISIE!$E$5:$E$504,SAISIE!$B$5:$B$504,"*Vent Arr./Av.*",SAISIE!$F$5:$F$504,$G$245)&gt;=0,0,_xlfn.MINIFS(SAISIE!$E$5:$E$504,SAISIE!$B$5:$B$504,"*Vent Arr./Av.*",SAISIE!$F$5:$F$504,$G$245)),"-"))</f>
        <v/>
      </c>
      <c r="E253" s="6" t="s">
        <v>51</v>
      </c>
    </row>
    <row r="254" spans="1:7" x14ac:dyDescent="0.25">
      <c r="A254" s="5" t="s">
        <v>59</v>
      </c>
      <c r="B254" s="6" t="str">
        <f>IF($G$245="","",IFERROR(INDEX(SAISIE!$C$5:$C$504,MATCH(_xlfn.MAXIFS(SAISIE!$E$5:$E$504,SAISIE!$B$5:$B$504,"*Vent Arr./Av.*",SAISIE!$F$5:$F$504,$G$245),SAISIE!$E$5:$E$504,0)),"-"))</f>
        <v/>
      </c>
      <c r="C254" s="6" t="str">
        <f>IF($G$245="","",IFERROR(INDEX(SAISIE!$D$5:$D$504,MATCH(_xlfn.MAXIFS(SAISIE!$E$5:$E$504,SAISIE!$B$5:$B$504,"*Vent Arr./Av.*",SAISIE!$F$5:$F$504,$G$245),SAISIE!$E$5:$E$504,0)),"-"))</f>
        <v/>
      </c>
      <c r="D254" s="6" t="str">
        <f>IF($G$245="","",IFERROR(_xlfn.MAXIFS(SAISIE!$E$5:$E$504,SAISIE!$B$5:$B$504,"*Vent Arr./Av.*",SAISIE!$F$5:$F$504,$G$245),"-"))</f>
        <v/>
      </c>
      <c r="E254" s="6" t="s">
        <v>53</v>
      </c>
    </row>
    <row r="255" spans="1:7" x14ac:dyDescent="0.25">
      <c r="A255" s="5" t="s">
        <v>60</v>
      </c>
      <c r="B255" s="6" t="str">
        <f>IF($G$245="","",IFERROR(INDEX(SAISIE!$C$5:$C$504,MATCH(_xlfn.MINIFS(SAISIE!$E$5:$E$504,SAISIE!$B$5:$B$504,"*Neige*",SAISIE!$B$5:$B$504,"&lt;&gt;*accidentel*",SAISIE!$F$5:$F$504,$G$245),SAISIE!$E$5:$E$504,0)),"-"))</f>
        <v/>
      </c>
      <c r="C255" s="6" t="str">
        <f>IF($G$245="","",IFERROR(INDEX(SAISIE!$D$5:$D$504,MATCH(_xlfn.MINIFS(SAISIE!$E$5:$E$504,SAISIE!$B$5:$B$504,"*Neige*",SAISIE!$B$5:$B$504,"&lt;&gt;*accidentel*",SAISIE!$F$5:$F$504,$G$245),SAISIE!$E$5:$E$504,0)),"-"))</f>
        <v/>
      </c>
      <c r="D255" s="6" t="str">
        <f>IF($G$245="","",IFERROR(INDEX(SAISIE!$E$5:$E$504,MATCH(_xlfn.MINIFS(SAISIE!$E$5:$E$504,SAISIE!$B$5:$B$504,"*Neige*",SAISIE!$B$5:$B$504,"&lt;&gt;*accidentel*",SAISIE!$F$5:$F$504,$G$245),SAISIE!$E$5:$E$504,0)),"-"))</f>
        <v/>
      </c>
      <c r="E255" s="6"/>
    </row>
    <row r="256" spans="1:7" x14ac:dyDescent="0.25">
      <c r="A256" s="5" t="s">
        <v>61</v>
      </c>
      <c r="B256" s="6" t="str">
        <f>IF($G$245="","",IFERROR(LOOKUP(2,1/((SAISIE!$F$5:$F$504=$G$245)*(ISNUMBER(SEARCH("accidentel",SAISIE!$B$5:$B$504)))),SAISIE!$C$5:$C$504),"-"))</f>
        <v/>
      </c>
      <c r="C256" s="6" t="str">
        <f>IF($G$245="","",IFERROR(LOOKUP(2,1/((SAISIE!$F$5:$F$504=$G$245)*(ISNUMBER(SEARCH("accidentel",SAISIE!$B$5:$B$504)))),SAISIE!$D$5:$D$504),"-"))</f>
        <v/>
      </c>
      <c r="D256" s="6" t="str">
        <f>IF($G$245="","",IFERROR(LOOKUP(2,1/((SAISIE!$F$5:$F$504=$G$245)*(ISNUMBER(SEARCH("accidentel",SAISIE!$B$5:$B$504)))),SAISIE!$E$5:$E$504),"-"))</f>
        <v/>
      </c>
      <c r="E256" s="6"/>
    </row>
    <row r="257" spans="1:7" ht="15.75" x14ac:dyDescent="0.25">
      <c r="A257" s="9" t="str">
        <f>IF($G$257="","","Noeud "&amp;$G$257)</f>
        <v/>
      </c>
      <c r="B257" s="10"/>
      <c r="C257" s="10"/>
      <c r="D257" s="10"/>
      <c r="E257" s="10"/>
      <c r="G257" t="str">
        <f>IFERROR(INDEX(SAISIE!$F$5:$F$504,_xlfn.AGGREGATE(15,6,ROW(SAISIE!$F$5:$F$504)-ROW(SAISIE!$F$5)+1/(SAISIE!$F$5:$F$504&lt;&gt;"")/(COUNTIF($G$4:G256,SAISIE!$F$5:$F$504)=0),1)),"")</f>
        <v/>
      </c>
    </row>
    <row r="258" spans="1:7" x14ac:dyDescent="0.25">
      <c r="A258" s="5" t="s">
        <v>49</v>
      </c>
      <c r="B258" s="6" t="str">
        <f>IF($G$257="","",IFERROR(IFERROR(LOOKUP(2,1/((SAISIE!$F$5:$F$504=$G$257)*(LEFT(SAISIE!$B$5:$B$504,2)="G ")),SAISIE!$C$5:$C$504),LOOKUP(2,1/((SAISIE!$F$5:$F$504=$G$257)*(ISNUMBER(SEARCH("Couverture",SAISIE!$B$5:$B$504)))),SAISIE!$C$5:$C$504)),"-"))</f>
        <v/>
      </c>
      <c r="C258" s="6" t="str">
        <f>IF($G$257="","",IFERROR(IFERROR(LOOKUP(2,1/((SAISIE!$F$5:$F$504=$G$257)*(LEFT(SAISIE!$B$5:$B$504,2)="G ")),SAISIE!$D$5:$D$504),LOOKUP(2,1/((SAISIE!$F$5:$F$504=$G$257)*(ISNUMBER(SEARCH("Couverture",SAISIE!$B$5:$B$504)))),SAISIE!$D$5:$D$504)),"-"))</f>
        <v/>
      </c>
      <c r="D258" s="6" t="str">
        <f>IF($G$257="","",IFERROR(IFERROR(LOOKUP(2,1/((SAISIE!$F$5:$F$504=$G$257)*(LEFT(SAISIE!$B$5:$B$504,2)="G ")),SAISIE!$E$5:$E$504),LOOKUP(2,1/((SAISIE!$F$5:$F$504=$G$257)*(ISNUMBER(SEARCH("Couverture",SAISIE!$B$5:$B$504)))),SAISIE!$E$5:$E$504)),"-"))</f>
        <v/>
      </c>
      <c r="E258" s="6"/>
    </row>
    <row r="259" spans="1:7" x14ac:dyDescent="0.25">
      <c r="A259" s="5" t="s">
        <v>50</v>
      </c>
      <c r="B259" s="6" t="str">
        <f>IF($G$257="","",IFERROR(IF(_xlfn.MINIFS(SAISIE!$E$5:$E$504,SAISIE!$B$5:$B$504,"*Vent G/D*",SAISIE!$F$5:$F$504,$G$257)&gt;=0,_xlfn.MAXIFS(SAISIE!$C$5:$C$504,SAISIE!$B$5:$B$504,"*Vent G/D*",SAISIE!$F$5:$F$504,$G$257),INDEX(SAISIE!$C$5:$C$504,MATCH(_xlfn.MINIFS(SAISIE!$E$5:$E$504,SAISIE!$B$5:$B$504,"*Vent G/D*",SAISIE!$F$5:$F$504,$G$257),SAISIE!$E$5:$E$504,0))),"-"))</f>
        <v/>
      </c>
      <c r="C259" s="6" t="str">
        <f>IF($G$257="","",IFERROR(IF(_xlfn.MINIFS(SAISIE!$E$5:$E$504,SAISIE!$B$5:$B$504,"*Vent G/D*",SAISIE!$F$5:$F$504,$G$257)&gt;=0,INDEX(SAISIE!$D$5:$D$504,MATCH(_xlfn.MAXIFS(SAISIE!$C$5:$C$504,SAISIE!$B$5:$B$504,"*Vent G/D*",SAISIE!$F$5:$F$504,$G$257),SAISIE!$C$5:$C$504,0)),INDEX(SAISIE!$D$5:$D$504,MATCH(_xlfn.MINIFS(SAISIE!$E$5:$E$504,SAISIE!$B$5:$B$504,"*Vent G/D*",SAISIE!$F$5:$F$504,$G$257),SAISIE!$E$5:$E$504,0))),"-"))</f>
        <v/>
      </c>
      <c r="D259" s="6" t="str">
        <f>IF($G$257="","",IFERROR(IF(_xlfn.MINIFS(SAISIE!$E$5:$E$504,SAISIE!$B$5:$B$504,"*Vent G/D*",SAISIE!$F$5:$F$504,$G$257)&gt;=0,0,_xlfn.MINIFS(SAISIE!$E$5:$E$504,SAISIE!$B$5:$B$504,"*Vent G/D*",SAISIE!$F$5:$F$504,$G$257)),"-"))</f>
        <v/>
      </c>
      <c r="E259" s="6" t="s">
        <v>51</v>
      </c>
    </row>
    <row r="260" spans="1:7" x14ac:dyDescent="0.25">
      <c r="A260" s="5" t="s">
        <v>52</v>
      </c>
      <c r="B260" s="6" t="str">
        <f>IF($G$257="","",IFERROR(INDEX(SAISIE!$C$5:$C$504,MATCH(_xlfn.MAXIFS(SAISIE!$E$5:$E$504,SAISIE!$B$5:$B$504,"*Vent G/D*",SAISIE!$F$5:$F$504,$G$257),SAISIE!$E$5:$E$504,0)),"-"))</f>
        <v/>
      </c>
      <c r="C260" s="6" t="str">
        <f>IF($G$257="","",IFERROR(INDEX(SAISIE!$D$5:$D$504,MATCH(_xlfn.MAXIFS(SAISIE!$E$5:$E$504,SAISIE!$B$5:$B$504,"*Vent G/D*",SAISIE!$F$5:$F$504,$G$257),SAISIE!$E$5:$E$504,0)),"-"))</f>
        <v/>
      </c>
      <c r="D260" s="6" t="str">
        <f>IF($G$257="","",IFERROR(_xlfn.MAXIFS(SAISIE!$E$5:$E$504,SAISIE!$B$5:$B$504,"*Vent G/D*",SAISIE!$F$5:$F$504,$G$257),"-"))</f>
        <v/>
      </c>
      <c r="E260" s="6" t="s">
        <v>53</v>
      </c>
    </row>
    <row r="261" spans="1:7" x14ac:dyDescent="0.25">
      <c r="A261" s="5" t="s">
        <v>54</v>
      </c>
      <c r="B261" s="6" t="str">
        <f>IF($G$257="","",IFERROR(IF(_xlfn.MINIFS(SAISIE!$E$5:$E$504,SAISIE!$B$5:$B$504,"*Vent D/G*",SAISIE!$F$5:$F$504,$G$257)&gt;=0,_xlfn.MAXIFS(SAISIE!$C$5:$C$504,SAISIE!$B$5:$B$504,"*Vent D/G*",SAISIE!$F$5:$F$504,$G$257),INDEX(SAISIE!$C$5:$C$504,MATCH(_xlfn.MINIFS(SAISIE!$E$5:$E$504,SAISIE!$B$5:$B$504,"*Vent D/G*",SAISIE!$F$5:$F$504,$G$257),SAISIE!$E$5:$E$504,0))),"-"))</f>
        <v/>
      </c>
      <c r="C261" s="6" t="str">
        <f>IF($G$257="","",IFERROR(IF(_xlfn.MINIFS(SAISIE!$E$5:$E$504,SAISIE!$B$5:$B$504,"*Vent D/G*",SAISIE!$F$5:$F$504,$G$257)&gt;=0,INDEX(SAISIE!$D$5:$D$504,MATCH(_xlfn.MAXIFS(SAISIE!$C$5:$C$504,SAISIE!$B$5:$B$504,"*Vent D/G*",SAISIE!$F$5:$F$504,$G$257),SAISIE!$C$5:$C$504,0)),INDEX(SAISIE!$D$5:$D$504,MATCH(_xlfn.MINIFS(SAISIE!$E$5:$E$504,SAISIE!$B$5:$B$504,"*Vent D/G*",SAISIE!$F$5:$F$504,$G$257),SAISIE!$E$5:$E$504,0))),"-"))</f>
        <v/>
      </c>
      <c r="D261" s="6" t="str">
        <f>IF($G$257="","",IFERROR(IF(_xlfn.MINIFS(SAISIE!$E$5:$E$504,SAISIE!$B$5:$B$504,"*Vent D/G*",SAISIE!$F$5:$F$504,$G$257)&gt;=0,0,_xlfn.MINIFS(SAISIE!$E$5:$E$504,SAISIE!$B$5:$B$504,"*Vent D/G*",SAISIE!$F$5:$F$504,$G$257)),"-"))</f>
        <v/>
      </c>
      <c r="E261" s="6" t="s">
        <v>51</v>
      </c>
    </row>
    <row r="262" spans="1:7" x14ac:dyDescent="0.25">
      <c r="A262" s="5" t="s">
        <v>55</v>
      </c>
      <c r="B262" s="6" t="str">
        <f>IF($G$257="","",IFERROR(INDEX(SAISIE!$C$5:$C$504,MATCH(_xlfn.MAXIFS(SAISIE!$E$5:$E$504,SAISIE!$B$5:$B$504,"*Vent D/G*",SAISIE!$F$5:$F$504,$G$257),SAISIE!$E$5:$E$504,0)),"-"))</f>
        <v/>
      </c>
      <c r="C262" s="6" t="str">
        <f>IF($G$257="","",IFERROR(INDEX(SAISIE!$D$5:$D$504,MATCH(_xlfn.MAXIFS(SAISIE!$E$5:$E$504,SAISIE!$B$5:$B$504,"*Vent D/G*",SAISIE!$F$5:$F$504,$G$257),SAISIE!$E$5:$E$504,0)),"-"))</f>
        <v/>
      </c>
      <c r="D262" s="6" t="str">
        <f>IF($G$257="","",IFERROR(_xlfn.MAXIFS(SAISIE!$E$5:$E$504,SAISIE!$B$5:$B$504,"*Vent D/G*",SAISIE!$F$5:$F$504,$G$257),"-"))</f>
        <v/>
      </c>
      <c r="E262" s="6" t="s">
        <v>53</v>
      </c>
    </row>
    <row r="263" spans="1:7" x14ac:dyDescent="0.25">
      <c r="A263" s="5" t="s">
        <v>56</v>
      </c>
      <c r="B263" s="6" t="str">
        <f>IF($G$257="","",IFERROR(IF(_xlfn.MINIFS(SAISIE!$E$5:$E$504,SAISIE!$B$5:$B$504,"*Vent Av./Arr.*",SAISIE!$F$5:$F$504,$G$257)&gt;=0,_xlfn.MAXIFS(SAISIE!$C$5:$C$504,SAISIE!$B$5:$B$504,"*Vent Av./Arr.*",SAISIE!$F$5:$F$504,$G$257),INDEX(SAISIE!$C$5:$C$504,MATCH(_xlfn.MINIFS(SAISIE!$E$5:$E$504,SAISIE!$B$5:$B$504,"*Vent Av./Arr.*",SAISIE!$F$5:$F$504,$G$257),SAISIE!$E$5:$E$504,0))),"-"))</f>
        <v/>
      </c>
      <c r="C263" s="6" t="str">
        <f>IF($G$257="","",IFERROR(IF(_xlfn.MINIFS(SAISIE!$E$5:$E$504,SAISIE!$B$5:$B$504,"*Vent Av./Arr.*",SAISIE!$F$5:$F$504,$G$257)&gt;=0,INDEX(SAISIE!$D$5:$D$504,MATCH(_xlfn.MAXIFS(SAISIE!$C$5:$C$504,SAISIE!$B$5:$B$504,"*Vent Av./Arr.*",SAISIE!$F$5:$F$504,$G$257),SAISIE!$C$5:$C$504,0)),INDEX(SAISIE!$D$5:$D$504,MATCH(_xlfn.MINIFS(SAISIE!$E$5:$E$504,SAISIE!$B$5:$B$504,"*Vent Av./Arr.*",SAISIE!$F$5:$F$504,$G$257),SAISIE!$E$5:$E$504,0))),"-"))</f>
        <v/>
      </c>
      <c r="D263" s="6" t="str">
        <f>IF($G$257="","",IFERROR(IF(_xlfn.MINIFS(SAISIE!$E$5:$E$504,SAISIE!$B$5:$B$504,"*Vent Av./Arr.*",SAISIE!$F$5:$F$504,$G$257)&gt;=0,0,_xlfn.MINIFS(SAISIE!$E$5:$E$504,SAISIE!$B$5:$B$504,"*Vent Av./Arr.*",SAISIE!$F$5:$F$504,$G$257)),"-"))</f>
        <v/>
      </c>
      <c r="E263" s="6" t="s">
        <v>51</v>
      </c>
    </row>
    <row r="264" spans="1:7" x14ac:dyDescent="0.25">
      <c r="A264" s="5" t="s">
        <v>57</v>
      </c>
      <c r="B264" s="6" t="str">
        <f>IF($G$257="","",IFERROR(INDEX(SAISIE!$C$5:$C$504,MATCH(_xlfn.MAXIFS(SAISIE!$E$5:$E$504,SAISIE!$B$5:$B$504,"*Vent Av./Arr.*",SAISIE!$F$5:$F$504,$G$257),SAISIE!$E$5:$E$504,0)),"-"))</f>
        <v/>
      </c>
      <c r="C264" s="6" t="str">
        <f>IF($G$257="","",IFERROR(INDEX(SAISIE!$D$5:$D$504,MATCH(_xlfn.MAXIFS(SAISIE!$E$5:$E$504,SAISIE!$B$5:$B$504,"*Vent Av./Arr.*",SAISIE!$F$5:$F$504,$G$257),SAISIE!$E$5:$E$504,0)),"-"))</f>
        <v/>
      </c>
      <c r="D264" s="6" t="str">
        <f>IF($G$257="","",IFERROR(_xlfn.MAXIFS(SAISIE!$E$5:$E$504,SAISIE!$B$5:$B$504,"*Vent Av./Arr.*",SAISIE!$F$5:$F$504,$G$257),"-"))</f>
        <v/>
      </c>
      <c r="E264" s="6" t="s">
        <v>53</v>
      </c>
    </row>
    <row r="265" spans="1:7" x14ac:dyDescent="0.25">
      <c r="A265" s="5" t="s">
        <v>58</v>
      </c>
      <c r="B265" s="6" t="str">
        <f>IF($G$257="","",IFERROR(IF(_xlfn.MINIFS(SAISIE!$E$5:$E$504,SAISIE!$B$5:$B$504,"*Vent Arr./Av.*",SAISIE!$F$5:$F$504,$G$257)&gt;=0,_xlfn.MAXIFS(SAISIE!$C$5:$C$504,SAISIE!$B$5:$B$504,"*Vent Arr./Av.*",SAISIE!$F$5:$F$504,$G$257),INDEX(SAISIE!$C$5:$C$504,MATCH(_xlfn.MINIFS(SAISIE!$E$5:$E$504,SAISIE!$B$5:$B$504,"*Vent Arr./Av.*",SAISIE!$F$5:$F$504,$G$257),SAISIE!$E$5:$E$504,0))),"-"))</f>
        <v/>
      </c>
      <c r="C265" s="6" t="str">
        <f>IF($G$257="","",IFERROR(IF(_xlfn.MINIFS(SAISIE!$E$5:$E$504,SAISIE!$B$5:$B$504,"*Vent Arr./Av.*",SAISIE!$F$5:$F$504,$G$257)&gt;=0,INDEX(SAISIE!$D$5:$D$504,MATCH(_xlfn.MAXIFS(SAISIE!$C$5:$C$504,SAISIE!$B$5:$B$504,"*Vent Arr./Av.*",SAISIE!$F$5:$F$504,$G$257),SAISIE!$C$5:$C$504,0)),INDEX(SAISIE!$D$5:$D$504,MATCH(_xlfn.MINIFS(SAISIE!$E$5:$E$504,SAISIE!$B$5:$B$504,"*Vent Arr./Av.*",SAISIE!$F$5:$F$504,$G$257),SAISIE!$E$5:$E$504,0))),"-"))</f>
        <v/>
      </c>
      <c r="D265" s="6" t="str">
        <f>IF($G$257="","",IFERROR(IF(_xlfn.MINIFS(SAISIE!$E$5:$E$504,SAISIE!$B$5:$B$504,"*Vent Arr./Av.*",SAISIE!$F$5:$F$504,$G$257)&gt;=0,0,_xlfn.MINIFS(SAISIE!$E$5:$E$504,SAISIE!$B$5:$B$504,"*Vent Arr./Av.*",SAISIE!$F$5:$F$504,$G$257)),"-"))</f>
        <v/>
      </c>
      <c r="E265" s="6" t="s">
        <v>51</v>
      </c>
    </row>
    <row r="266" spans="1:7" x14ac:dyDescent="0.25">
      <c r="A266" s="5" t="s">
        <v>59</v>
      </c>
      <c r="B266" s="6" t="str">
        <f>IF($G$257="","",IFERROR(INDEX(SAISIE!$C$5:$C$504,MATCH(_xlfn.MAXIFS(SAISIE!$E$5:$E$504,SAISIE!$B$5:$B$504,"*Vent Arr./Av.*",SAISIE!$F$5:$F$504,$G$257),SAISIE!$E$5:$E$504,0)),"-"))</f>
        <v/>
      </c>
      <c r="C266" s="6" t="str">
        <f>IF($G$257="","",IFERROR(INDEX(SAISIE!$D$5:$D$504,MATCH(_xlfn.MAXIFS(SAISIE!$E$5:$E$504,SAISIE!$B$5:$B$504,"*Vent Arr./Av.*",SAISIE!$F$5:$F$504,$G$257),SAISIE!$E$5:$E$504,0)),"-"))</f>
        <v/>
      </c>
      <c r="D266" s="6" t="str">
        <f>IF($G$257="","",IFERROR(_xlfn.MAXIFS(SAISIE!$E$5:$E$504,SAISIE!$B$5:$B$504,"*Vent Arr./Av.*",SAISIE!$F$5:$F$504,$G$257),"-"))</f>
        <v/>
      </c>
      <c r="E266" s="6" t="s">
        <v>53</v>
      </c>
    </row>
    <row r="267" spans="1:7" x14ac:dyDescent="0.25">
      <c r="A267" s="5" t="s">
        <v>60</v>
      </c>
      <c r="B267" s="6" t="str">
        <f>IF($G$257="","",IFERROR(INDEX(SAISIE!$C$5:$C$504,MATCH(_xlfn.MINIFS(SAISIE!$E$5:$E$504,SAISIE!$B$5:$B$504,"*Neige*",SAISIE!$B$5:$B$504,"&lt;&gt;*accidentel*",SAISIE!$F$5:$F$504,$G$257),SAISIE!$E$5:$E$504,0)),"-"))</f>
        <v/>
      </c>
      <c r="C267" s="6" t="str">
        <f>IF($G$257="","",IFERROR(INDEX(SAISIE!$D$5:$D$504,MATCH(_xlfn.MINIFS(SAISIE!$E$5:$E$504,SAISIE!$B$5:$B$504,"*Neige*",SAISIE!$B$5:$B$504,"&lt;&gt;*accidentel*",SAISIE!$F$5:$F$504,$G$257),SAISIE!$E$5:$E$504,0)),"-"))</f>
        <v/>
      </c>
      <c r="D267" s="6" t="str">
        <f>IF($G$257="","",IFERROR(INDEX(SAISIE!$E$5:$E$504,MATCH(_xlfn.MINIFS(SAISIE!$E$5:$E$504,SAISIE!$B$5:$B$504,"*Neige*",SAISIE!$B$5:$B$504,"&lt;&gt;*accidentel*",SAISIE!$F$5:$F$504,$G$257),SAISIE!$E$5:$E$504,0)),"-"))</f>
        <v/>
      </c>
      <c r="E267" s="6"/>
    </row>
    <row r="268" spans="1:7" x14ac:dyDescent="0.25">
      <c r="A268" s="5" t="s">
        <v>61</v>
      </c>
      <c r="B268" s="6" t="str">
        <f>IF($G$257="","",IFERROR(LOOKUP(2,1/((SAISIE!$F$5:$F$504=$G$257)*(ISNUMBER(SEARCH("accidentel",SAISIE!$B$5:$B$504)))),SAISIE!$C$5:$C$504),"-"))</f>
        <v/>
      </c>
      <c r="C268" s="6" t="str">
        <f>IF($G$257="","",IFERROR(LOOKUP(2,1/((SAISIE!$F$5:$F$504=$G$257)*(ISNUMBER(SEARCH("accidentel",SAISIE!$B$5:$B$504)))),SAISIE!$D$5:$D$504),"-"))</f>
        <v/>
      </c>
      <c r="D268" s="6" t="str">
        <f>IF($G$257="","",IFERROR(LOOKUP(2,1/((SAISIE!$F$5:$F$504=$G$257)*(ISNUMBER(SEARCH("accidentel",SAISIE!$B$5:$B$504)))),SAISIE!$E$5:$E$504),"-"))</f>
        <v/>
      </c>
      <c r="E268" s="6"/>
    </row>
    <row r="269" spans="1:7" ht="15.75" x14ac:dyDescent="0.25">
      <c r="A269" s="9" t="str">
        <f>IF($G$269="","","Noeud "&amp;$G$269)</f>
        <v/>
      </c>
      <c r="B269" s="10"/>
      <c r="C269" s="10"/>
      <c r="D269" s="10"/>
      <c r="E269" s="10"/>
      <c r="G269" t="str">
        <f>IFERROR(INDEX(SAISIE!$F$5:$F$504,_xlfn.AGGREGATE(15,6,ROW(SAISIE!$F$5:$F$504)-ROW(SAISIE!$F$5)+1/(SAISIE!$F$5:$F$504&lt;&gt;"")/(COUNTIF($G$4:G268,SAISIE!$F$5:$F$504)=0),1)),"")</f>
        <v/>
      </c>
    </row>
    <row r="270" spans="1:7" x14ac:dyDescent="0.25">
      <c r="A270" s="5" t="s">
        <v>49</v>
      </c>
      <c r="B270" s="6" t="str">
        <f>IF($G$269="","",IFERROR(IFERROR(LOOKUP(2,1/((SAISIE!$F$5:$F$504=$G$269)*(LEFT(SAISIE!$B$5:$B$504,2)="G ")),SAISIE!$C$5:$C$504),LOOKUP(2,1/((SAISIE!$F$5:$F$504=$G$269)*(ISNUMBER(SEARCH("Couverture",SAISIE!$B$5:$B$504)))),SAISIE!$C$5:$C$504)),"-"))</f>
        <v/>
      </c>
      <c r="C270" s="6" t="str">
        <f>IF($G$269="","",IFERROR(IFERROR(LOOKUP(2,1/((SAISIE!$F$5:$F$504=$G$269)*(LEFT(SAISIE!$B$5:$B$504,2)="G ")),SAISIE!$D$5:$D$504),LOOKUP(2,1/((SAISIE!$F$5:$F$504=$G$269)*(ISNUMBER(SEARCH("Couverture",SAISIE!$B$5:$B$504)))),SAISIE!$D$5:$D$504)),"-"))</f>
        <v/>
      </c>
      <c r="D270" s="6" t="str">
        <f>IF($G$269="","",IFERROR(IFERROR(LOOKUP(2,1/((SAISIE!$F$5:$F$504=$G$269)*(LEFT(SAISIE!$B$5:$B$504,2)="G ")),SAISIE!$E$5:$E$504),LOOKUP(2,1/((SAISIE!$F$5:$F$504=$G$269)*(ISNUMBER(SEARCH("Couverture",SAISIE!$B$5:$B$504)))),SAISIE!$E$5:$E$504)),"-"))</f>
        <v/>
      </c>
      <c r="E270" s="6"/>
    </row>
    <row r="271" spans="1:7" x14ac:dyDescent="0.25">
      <c r="A271" s="5" t="s">
        <v>50</v>
      </c>
      <c r="B271" s="6" t="str">
        <f>IF($G$269="","",IFERROR(IF(_xlfn.MINIFS(SAISIE!$E$5:$E$504,SAISIE!$B$5:$B$504,"*Vent G/D*",SAISIE!$F$5:$F$504,$G$269)&gt;=0,_xlfn.MAXIFS(SAISIE!$C$5:$C$504,SAISIE!$B$5:$B$504,"*Vent G/D*",SAISIE!$F$5:$F$504,$G$269),INDEX(SAISIE!$C$5:$C$504,MATCH(_xlfn.MINIFS(SAISIE!$E$5:$E$504,SAISIE!$B$5:$B$504,"*Vent G/D*",SAISIE!$F$5:$F$504,$G$269),SAISIE!$E$5:$E$504,0))),"-"))</f>
        <v/>
      </c>
      <c r="C271" s="6" t="str">
        <f>IF($G$269="","",IFERROR(IF(_xlfn.MINIFS(SAISIE!$E$5:$E$504,SAISIE!$B$5:$B$504,"*Vent G/D*",SAISIE!$F$5:$F$504,$G$269)&gt;=0,INDEX(SAISIE!$D$5:$D$504,MATCH(_xlfn.MAXIFS(SAISIE!$C$5:$C$504,SAISIE!$B$5:$B$504,"*Vent G/D*",SAISIE!$F$5:$F$504,$G$269),SAISIE!$C$5:$C$504,0)),INDEX(SAISIE!$D$5:$D$504,MATCH(_xlfn.MINIFS(SAISIE!$E$5:$E$504,SAISIE!$B$5:$B$504,"*Vent G/D*",SAISIE!$F$5:$F$504,$G$269),SAISIE!$E$5:$E$504,0))),"-"))</f>
        <v/>
      </c>
      <c r="D271" s="6" t="str">
        <f>IF($G$269="","",IFERROR(IF(_xlfn.MINIFS(SAISIE!$E$5:$E$504,SAISIE!$B$5:$B$504,"*Vent G/D*",SAISIE!$F$5:$F$504,$G$269)&gt;=0,0,_xlfn.MINIFS(SAISIE!$E$5:$E$504,SAISIE!$B$5:$B$504,"*Vent G/D*",SAISIE!$F$5:$F$504,$G$269)),"-"))</f>
        <v/>
      </c>
      <c r="E271" s="6" t="s">
        <v>51</v>
      </c>
    </row>
    <row r="272" spans="1:7" x14ac:dyDescent="0.25">
      <c r="A272" s="5" t="s">
        <v>52</v>
      </c>
      <c r="B272" s="6" t="str">
        <f>IF($G$269="","",IFERROR(INDEX(SAISIE!$C$5:$C$504,MATCH(_xlfn.MAXIFS(SAISIE!$E$5:$E$504,SAISIE!$B$5:$B$504,"*Vent G/D*",SAISIE!$F$5:$F$504,$G$269),SAISIE!$E$5:$E$504,0)),"-"))</f>
        <v/>
      </c>
      <c r="C272" s="6" t="str">
        <f>IF($G$269="","",IFERROR(INDEX(SAISIE!$D$5:$D$504,MATCH(_xlfn.MAXIFS(SAISIE!$E$5:$E$504,SAISIE!$B$5:$B$504,"*Vent G/D*",SAISIE!$F$5:$F$504,$G$269),SAISIE!$E$5:$E$504,0)),"-"))</f>
        <v/>
      </c>
      <c r="D272" s="6" t="str">
        <f>IF($G$269="","",IFERROR(_xlfn.MAXIFS(SAISIE!$E$5:$E$504,SAISIE!$B$5:$B$504,"*Vent G/D*",SAISIE!$F$5:$F$504,$G$269),"-"))</f>
        <v/>
      </c>
      <c r="E272" s="6" t="s">
        <v>53</v>
      </c>
    </row>
    <row r="273" spans="1:7" x14ac:dyDescent="0.25">
      <c r="A273" s="5" t="s">
        <v>54</v>
      </c>
      <c r="B273" s="6" t="str">
        <f>IF($G$269="","",IFERROR(IF(_xlfn.MINIFS(SAISIE!$E$5:$E$504,SAISIE!$B$5:$B$504,"*Vent D/G*",SAISIE!$F$5:$F$504,$G$269)&gt;=0,_xlfn.MAXIFS(SAISIE!$C$5:$C$504,SAISIE!$B$5:$B$504,"*Vent D/G*",SAISIE!$F$5:$F$504,$G$269),INDEX(SAISIE!$C$5:$C$504,MATCH(_xlfn.MINIFS(SAISIE!$E$5:$E$504,SAISIE!$B$5:$B$504,"*Vent D/G*",SAISIE!$F$5:$F$504,$G$269),SAISIE!$E$5:$E$504,0))),"-"))</f>
        <v/>
      </c>
      <c r="C273" s="6" t="str">
        <f>IF($G$269="","",IFERROR(IF(_xlfn.MINIFS(SAISIE!$E$5:$E$504,SAISIE!$B$5:$B$504,"*Vent D/G*",SAISIE!$F$5:$F$504,$G$269)&gt;=0,INDEX(SAISIE!$D$5:$D$504,MATCH(_xlfn.MAXIFS(SAISIE!$C$5:$C$504,SAISIE!$B$5:$B$504,"*Vent D/G*",SAISIE!$F$5:$F$504,$G$269),SAISIE!$C$5:$C$504,0)),INDEX(SAISIE!$D$5:$D$504,MATCH(_xlfn.MINIFS(SAISIE!$E$5:$E$504,SAISIE!$B$5:$B$504,"*Vent D/G*",SAISIE!$F$5:$F$504,$G$269),SAISIE!$E$5:$E$504,0))),"-"))</f>
        <v/>
      </c>
      <c r="D273" s="6" t="str">
        <f>IF($G$269="","",IFERROR(IF(_xlfn.MINIFS(SAISIE!$E$5:$E$504,SAISIE!$B$5:$B$504,"*Vent D/G*",SAISIE!$F$5:$F$504,$G$269)&gt;=0,0,_xlfn.MINIFS(SAISIE!$E$5:$E$504,SAISIE!$B$5:$B$504,"*Vent D/G*",SAISIE!$F$5:$F$504,$G$269)),"-"))</f>
        <v/>
      </c>
      <c r="E273" s="6" t="s">
        <v>51</v>
      </c>
    </row>
    <row r="274" spans="1:7" x14ac:dyDescent="0.25">
      <c r="A274" s="5" t="s">
        <v>55</v>
      </c>
      <c r="B274" s="6" t="str">
        <f>IF($G$269="","",IFERROR(INDEX(SAISIE!$C$5:$C$504,MATCH(_xlfn.MAXIFS(SAISIE!$E$5:$E$504,SAISIE!$B$5:$B$504,"*Vent D/G*",SAISIE!$F$5:$F$504,$G$269),SAISIE!$E$5:$E$504,0)),"-"))</f>
        <v/>
      </c>
      <c r="C274" s="6" t="str">
        <f>IF($G$269="","",IFERROR(INDEX(SAISIE!$D$5:$D$504,MATCH(_xlfn.MAXIFS(SAISIE!$E$5:$E$504,SAISIE!$B$5:$B$504,"*Vent D/G*",SAISIE!$F$5:$F$504,$G$269),SAISIE!$E$5:$E$504,0)),"-"))</f>
        <v/>
      </c>
      <c r="D274" s="6" t="str">
        <f>IF($G$269="","",IFERROR(_xlfn.MAXIFS(SAISIE!$E$5:$E$504,SAISIE!$B$5:$B$504,"*Vent D/G*",SAISIE!$F$5:$F$504,$G$269),"-"))</f>
        <v/>
      </c>
      <c r="E274" s="6" t="s">
        <v>53</v>
      </c>
    </row>
    <row r="275" spans="1:7" x14ac:dyDescent="0.25">
      <c r="A275" s="5" t="s">
        <v>56</v>
      </c>
      <c r="B275" s="6" t="str">
        <f>IF($G$269="","",IFERROR(IF(_xlfn.MINIFS(SAISIE!$E$5:$E$504,SAISIE!$B$5:$B$504,"*Vent Av./Arr.*",SAISIE!$F$5:$F$504,$G$269)&gt;=0,_xlfn.MAXIFS(SAISIE!$C$5:$C$504,SAISIE!$B$5:$B$504,"*Vent Av./Arr.*",SAISIE!$F$5:$F$504,$G$269),INDEX(SAISIE!$C$5:$C$504,MATCH(_xlfn.MINIFS(SAISIE!$E$5:$E$504,SAISIE!$B$5:$B$504,"*Vent Av./Arr.*",SAISIE!$F$5:$F$504,$G$269),SAISIE!$E$5:$E$504,0))),"-"))</f>
        <v/>
      </c>
      <c r="C275" s="6" t="str">
        <f>IF($G$269="","",IFERROR(IF(_xlfn.MINIFS(SAISIE!$E$5:$E$504,SAISIE!$B$5:$B$504,"*Vent Av./Arr.*",SAISIE!$F$5:$F$504,$G$269)&gt;=0,INDEX(SAISIE!$D$5:$D$504,MATCH(_xlfn.MAXIFS(SAISIE!$C$5:$C$504,SAISIE!$B$5:$B$504,"*Vent Av./Arr.*",SAISIE!$F$5:$F$504,$G$269),SAISIE!$C$5:$C$504,0)),INDEX(SAISIE!$D$5:$D$504,MATCH(_xlfn.MINIFS(SAISIE!$E$5:$E$504,SAISIE!$B$5:$B$504,"*Vent Av./Arr.*",SAISIE!$F$5:$F$504,$G$269),SAISIE!$E$5:$E$504,0))),"-"))</f>
        <v/>
      </c>
      <c r="D275" s="6" t="str">
        <f>IF($G$269="","",IFERROR(IF(_xlfn.MINIFS(SAISIE!$E$5:$E$504,SAISIE!$B$5:$B$504,"*Vent Av./Arr.*",SAISIE!$F$5:$F$504,$G$269)&gt;=0,0,_xlfn.MINIFS(SAISIE!$E$5:$E$504,SAISIE!$B$5:$B$504,"*Vent Av./Arr.*",SAISIE!$F$5:$F$504,$G$269)),"-"))</f>
        <v/>
      </c>
      <c r="E275" s="6" t="s">
        <v>51</v>
      </c>
    </row>
    <row r="276" spans="1:7" x14ac:dyDescent="0.25">
      <c r="A276" s="5" t="s">
        <v>57</v>
      </c>
      <c r="B276" s="6" t="str">
        <f>IF($G$269="","",IFERROR(INDEX(SAISIE!$C$5:$C$504,MATCH(_xlfn.MAXIFS(SAISIE!$E$5:$E$504,SAISIE!$B$5:$B$504,"*Vent Av./Arr.*",SAISIE!$F$5:$F$504,$G$269),SAISIE!$E$5:$E$504,0)),"-"))</f>
        <v/>
      </c>
      <c r="C276" s="6" t="str">
        <f>IF($G$269="","",IFERROR(INDEX(SAISIE!$D$5:$D$504,MATCH(_xlfn.MAXIFS(SAISIE!$E$5:$E$504,SAISIE!$B$5:$B$504,"*Vent Av./Arr.*",SAISIE!$F$5:$F$504,$G$269),SAISIE!$E$5:$E$504,0)),"-"))</f>
        <v/>
      </c>
      <c r="D276" s="6" t="str">
        <f>IF($G$269="","",IFERROR(_xlfn.MAXIFS(SAISIE!$E$5:$E$504,SAISIE!$B$5:$B$504,"*Vent Av./Arr.*",SAISIE!$F$5:$F$504,$G$269),"-"))</f>
        <v/>
      </c>
      <c r="E276" s="6" t="s">
        <v>53</v>
      </c>
    </row>
    <row r="277" spans="1:7" x14ac:dyDescent="0.25">
      <c r="A277" s="5" t="s">
        <v>58</v>
      </c>
      <c r="B277" s="6" t="str">
        <f>IF($G$269="","",IFERROR(IF(_xlfn.MINIFS(SAISIE!$E$5:$E$504,SAISIE!$B$5:$B$504,"*Vent Arr./Av.*",SAISIE!$F$5:$F$504,$G$269)&gt;=0,_xlfn.MAXIFS(SAISIE!$C$5:$C$504,SAISIE!$B$5:$B$504,"*Vent Arr./Av.*",SAISIE!$F$5:$F$504,$G$269),INDEX(SAISIE!$C$5:$C$504,MATCH(_xlfn.MINIFS(SAISIE!$E$5:$E$504,SAISIE!$B$5:$B$504,"*Vent Arr./Av.*",SAISIE!$F$5:$F$504,$G$269),SAISIE!$E$5:$E$504,0))),"-"))</f>
        <v/>
      </c>
      <c r="C277" s="6" t="str">
        <f>IF($G$269="","",IFERROR(IF(_xlfn.MINIFS(SAISIE!$E$5:$E$504,SAISIE!$B$5:$B$504,"*Vent Arr./Av.*",SAISIE!$F$5:$F$504,$G$269)&gt;=0,INDEX(SAISIE!$D$5:$D$504,MATCH(_xlfn.MAXIFS(SAISIE!$C$5:$C$504,SAISIE!$B$5:$B$504,"*Vent Arr./Av.*",SAISIE!$F$5:$F$504,$G$269),SAISIE!$C$5:$C$504,0)),INDEX(SAISIE!$D$5:$D$504,MATCH(_xlfn.MINIFS(SAISIE!$E$5:$E$504,SAISIE!$B$5:$B$504,"*Vent Arr./Av.*",SAISIE!$F$5:$F$504,$G$269),SAISIE!$E$5:$E$504,0))),"-"))</f>
        <v/>
      </c>
      <c r="D277" s="6" t="str">
        <f>IF($G$269="","",IFERROR(IF(_xlfn.MINIFS(SAISIE!$E$5:$E$504,SAISIE!$B$5:$B$504,"*Vent Arr./Av.*",SAISIE!$F$5:$F$504,$G$269)&gt;=0,0,_xlfn.MINIFS(SAISIE!$E$5:$E$504,SAISIE!$B$5:$B$504,"*Vent Arr./Av.*",SAISIE!$F$5:$F$504,$G$269)),"-"))</f>
        <v/>
      </c>
      <c r="E277" s="6" t="s">
        <v>51</v>
      </c>
    </row>
    <row r="278" spans="1:7" x14ac:dyDescent="0.25">
      <c r="A278" s="5" t="s">
        <v>59</v>
      </c>
      <c r="B278" s="6" t="str">
        <f>IF($G$269="","",IFERROR(INDEX(SAISIE!$C$5:$C$504,MATCH(_xlfn.MAXIFS(SAISIE!$E$5:$E$504,SAISIE!$B$5:$B$504,"*Vent Arr./Av.*",SAISIE!$F$5:$F$504,$G$269),SAISIE!$E$5:$E$504,0)),"-"))</f>
        <v/>
      </c>
      <c r="C278" s="6" t="str">
        <f>IF($G$269="","",IFERROR(INDEX(SAISIE!$D$5:$D$504,MATCH(_xlfn.MAXIFS(SAISIE!$E$5:$E$504,SAISIE!$B$5:$B$504,"*Vent Arr./Av.*",SAISIE!$F$5:$F$504,$G$269),SAISIE!$E$5:$E$504,0)),"-"))</f>
        <v/>
      </c>
      <c r="D278" s="6" t="str">
        <f>IF($G$269="","",IFERROR(_xlfn.MAXIFS(SAISIE!$E$5:$E$504,SAISIE!$B$5:$B$504,"*Vent Arr./Av.*",SAISIE!$F$5:$F$504,$G$269),"-"))</f>
        <v/>
      </c>
      <c r="E278" s="6" t="s">
        <v>53</v>
      </c>
    </row>
    <row r="279" spans="1:7" x14ac:dyDescent="0.25">
      <c r="A279" s="5" t="s">
        <v>60</v>
      </c>
      <c r="B279" s="6" t="str">
        <f>IF($G$269="","",IFERROR(INDEX(SAISIE!$C$5:$C$504,MATCH(_xlfn.MINIFS(SAISIE!$E$5:$E$504,SAISIE!$B$5:$B$504,"*Neige*",SAISIE!$B$5:$B$504,"&lt;&gt;*accidentel*",SAISIE!$F$5:$F$504,$G$269),SAISIE!$E$5:$E$504,0)),"-"))</f>
        <v/>
      </c>
      <c r="C279" s="6" t="str">
        <f>IF($G$269="","",IFERROR(INDEX(SAISIE!$D$5:$D$504,MATCH(_xlfn.MINIFS(SAISIE!$E$5:$E$504,SAISIE!$B$5:$B$504,"*Neige*",SAISIE!$B$5:$B$504,"&lt;&gt;*accidentel*",SAISIE!$F$5:$F$504,$G$269),SAISIE!$E$5:$E$504,0)),"-"))</f>
        <v/>
      </c>
      <c r="D279" s="6" t="str">
        <f>IF($G$269="","",IFERROR(INDEX(SAISIE!$E$5:$E$504,MATCH(_xlfn.MINIFS(SAISIE!$E$5:$E$504,SAISIE!$B$5:$B$504,"*Neige*",SAISIE!$B$5:$B$504,"&lt;&gt;*accidentel*",SAISIE!$F$5:$F$504,$G$269),SAISIE!$E$5:$E$504,0)),"-"))</f>
        <v/>
      </c>
      <c r="E279" s="6"/>
    </row>
    <row r="280" spans="1:7" x14ac:dyDescent="0.25">
      <c r="A280" s="5" t="s">
        <v>61</v>
      </c>
      <c r="B280" s="6" t="str">
        <f>IF($G$269="","",IFERROR(LOOKUP(2,1/((SAISIE!$F$5:$F$504=$G$269)*(ISNUMBER(SEARCH("accidentel",SAISIE!$B$5:$B$504)))),SAISIE!$C$5:$C$504),"-"))</f>
        <v/>
      </c>
      <c r="C280" s="6" t="str">
        <f>IF($G$269="","",IFERROR(LOOKUP(2,1/((SAISIE!$F$5:$F$504=$G$269)*(ISNUMBER(SEARCH("accidentel",SAISIE!$B$5:$B$504)))),SAISIE!$D$5:$D$504),"-"))</f>
        <v/>
      </c>
      <c r="D280" s="6" t="str">
        <f>IF($G$269="","",IFERROR(LOOKUP(2,1/((SAISIE!$F$5:$F$504=$G$269)*(ISNUMBER(SEARCH("accidentel",SAISIE!$B$5:$B$504)))),SAISIE!$E$5:$E$504),"-"))</f>
        <v/>
      </c>
      <c r="E280" s="6"/>
    </row>
    <row r="281" spans="1:7" ht="15.75" x14ac:dyDescent="0.25">
      <c r="A281" s="9" t="str">
        <f>IF($G$281="","","Noeud "&amp;$G$281)</f>
        <v/>
      </c>
      <c r="B281" s="10"/>
      <c r="C281" s="10"/>
      <c r="D281" s="10"/>
      <c r="E281" s="10"/>
      <c r="G281" t="str">
        <f>IFERROR(INDEX(SAISIE!$F$5:$F$504,_xlfn.AGGREGATE(15,6,ROW(SAISIE!$F$5:$F$504)-ROW(SAISIE!$F$5)+1/(SAISIE!$F$5:$F$504&lt;&gt;"")/(COUNTIF($G$4:G280,SAISIE!$F$5:$F$504)=0),1)),"")</f>
        <v/>
      </c>
    </row>
    <row r="282" spans="1:7" x14ac:dyDescent="0.25">
      <c r="A282" s="5" t="s">
        <v>49</v>
      </c>
      <c r="B282" s="6" t="str">
        <f>IF($G$281="","",IFERROR(IFERROR(LOOKUP(2,1/((SAISIE!$F$5:$F$504=$G$281)*(LEFT(SAISIE!$B$5:$B$504,2)="G ")),SAISIE!$C$5:$C$504),LOOKUP(2,1/((SAISIE!$F$5:$F$504=$G$281)*(ISNUMBER(SEARCH("Couverture",SAISIE!$B$5:$B$504)))),SAISIE!$C$5:$C$504)),"-"))</f>
        <v/>
      </c>
      <c r="C282" s="6" t="str">
        <f>IF($G$281="","",IFERROR(IFERROR(LOOKUP(2,1/((SAISIE!$F$5:$F$504=$G$281)*(LEFT(SAISIE!$B$5:$B$504,2)="G ")),SAISIE!$D$5:$D$504),LOOKUP(2,1/((SAISIE!$F$5:$F$504=$G$281)*(ISNUMBER(SEARCH("Couverture",SAISIE!$B$5:$B$504)))),SAISIE!$D$5:$D$504)),"-"))</f>
        <v/>
      </c>
      <c r="D282" s="6" t="str">
        <f>IF($G$281="","",IFERROR(IFERROR(LOOKUP(2,1/((SAISIE!$F$5:$F$504=$G$281)*(LEFT(SAISIE!$B$5:$B$504,2)="G ")),SAISIE!$E$5:$E$504),LOOKUP(2,1/((SAISIE!$F$5:$F$504=$G$281)*(ISNUMBER(SEARCH("Couverture",SAISIE!$B$5:$B$504)))),SAISIE!$E$5:$E$504)),"-"))</f>
        <v/>
      </c>
      <c r="E282" s="6"/>
    </row>
    <row r="283" spans="1:7" x14ac:dyDescent="0.25">
      <c r="A283" s="5" t="s">
        <v>50</v>
      </c>
      <c r="B283" s="6" t="str">
        <f>IF($G$281="","",IFERROR(IF(_xlfn.MINIFS(SAISIE!$E$5:$E$504,SAISIE!$B$5:$B$504,"*Vent G/D*",SAISIE!$F$5:$F$504,$G$281)&gt;=0,_xlfn.MAXIFS(SAISIE!$C$5:$C$504,SAISIE!$B$5:$B$504,"*Vent G/D*",SAISIE!$F$5:$F$504,$G$281),INDEX(SAISIE!$C$5:$C$504,MATCH(_xlfn.MINIFS(SAISIE!$E$5:$E$504,SAISIE!$B$5:$B$504,"*Vent G/D*",SAISIE!$F$5:$F$504,$G$281),SAISIE!$E$5:$E$504,0))),"-"))</f>
        <v/>
      </c>
      <c r="C283" s="6" t="str">
        <f>IF($G$281="","",IFERROR(IF(_xlfn.MINIFS(SAISIE!$E$5:$E$504,SAISIE!$B$5:$B$504,"*Vent G/D*",SAISIE!$F$5:$F$504,$G$281)&gt;=0,INDEX(SAISIE!$D$5:$D$504,MATCH(_xlfn.MAXIFS(SAISIE!$C$5:$C$504,SAISIE!$B$5:$B$504,"*Vent G/D*",SAISIE!$F$5:$F$504,$G$281),SAISIE!$C$5:$C$504,0)),INDEX(SAISIE!$D$5:$D$504,MATCH(_xlfn.MINIFS(SAISIE!$E$5:$E$504,SAISIE!$B$5:$B$504,"*Vent G/D*",SAISIE!$F$5:$F$504,$G$281),SAISIE!$E$5:$E$504,0))),"-"))</f>
        <v/>
      </c>
      <c r="D283" s="6" t="str">
        <f>IF($G$281="","",IFERROR(IF(_xlfn.MINIFS(SAISIE!$E$5:$E$504,SAISIE!$B$5:$B$504,"*Vent G/D*",SAISIE!$F$5:$F$504,$G$281)&gt;=0,0,_xlfn.MINIFS(SAISIE!$E$5:$E$504,SAISIE!$B$5:$B$504,"*Vent G/D*",SAISIE!$F$5:$F$504,$G$281)),"-"))</f>
        <v/>
      </c>
      <c r="E283" s="6" t="s">
        <v>51</v>
      </c>
    </row>
    <row r="284" spans="1:7" x14ac:dyDescent="0.25">
      <c r="A284" s="5" t="s">
        <v>52</v>
      </c>
      <c r="B284" s="6" t="str">
        <f>IF($G$281="","",IFERROR(INDEX(SAISIE!$C$5:$C$504,MATCH(_xlfn.MAXIFS(SAISIE!$E$5:$E$504,SAISIE!$B$5:$B$504,"*Vent G/D*",SAISIE!$F$5:$F$504,$G$281),SAISIE!$E$5:$E$504,0)),"-"))</f>
        <v/>
      </c>
      <c r="C284" s="6" t="str">
        <f>IF($G$281="","",IFERROR(INDEX(SAISIE!$D$5:$D$504,MATCH(_xlfn.MAXIFS(SAISIE!$E$5:$E$504,SAISIE!$B$5:$B$504,"*Vent G/D*",SAISIE!$F$5:$F$504,$G$281),SAISIE!$E$5:$E$504,0)),"-"))</f>
        <v/>
      </c>
      <c r="D284" s="6" t="str">
        <f>IF($G$281="","",IFERROR(_xlfn.MAXIFS(SAISIE!$E$5:$E$504,SAISIE!$B$5:$B$504,"*Vent G/D*",SAISIE!$F$5:$F$504,$G$281),"-"))</f>
        <v/>
      </c>
      <c r="E284" s="6" t="s">
        <v>53</v>
      </c>
    </row>
    <row r="285" spans="1:7" x14ac:dyDescent="0.25">
      <c r="A285" s="5" t="s">
        <v>54</v>
      </c>
      <c r="B285" s="6" t="str">
        <f>IF($G$281="","",IFERROR(IF(_xlfn.MINIFS(SAISIE!$E$5:$E$504,SAISIE!$B$5:$B$504,"*Vent D/G*",SAISIE!$F$5:$F$504,$G$281)&gt;=0,_xlfn.MAXIFS(SAISIE!$C$5:$C$504,SAISIE!$B$5:$B$504,"*Vent D/G*",SAISIE!$F$5:$F$504,$G$281),INDEX(SAISIE!$C$5:$C$504,MATCH(_xlfn.MINIFS(SAISIE!$E$5:$E$504,SAISIE!$B$5:$B$504,"*Vent D/G*",SAISIE!$F$5:$F$504,$G$281),SAISIE!$E$5:$E$504,0))),"-"))</f>
        <v/>
      </c>
      <c r="C285" s="6" t="str">
        <f>IF($G$281="","",IFERROR(IF(_xlfn.MINIFS(SAISIE!$E$5:$E$504,SAISIE!$B$5:$B$504,"*Vent D/G*",SAISIE!$F$5:$F$504,$G$281)&gt;=0,INDEX(SAISIE!$D$5:$D$504,MATCH(_xlfn.MAXIFS(SAISIE!$C$5:$C$504,SAISIE!$B$5:$B$504,"*Vent D/G*",SAISIE!$F$5:$F$504,$G$281),SAISIE!$C$5:$C$504,0)),INDEX(SAISIE!$D$5:$D$504,MATCH(_xlfn.MINIFS(SAISIE!$E$5:$E$504,SAISIE!$B$5:$B$504,"*Vent D/G*",SAISIE!$F$5:$F$504,$G$281),SAISIE!$E$5:$E$504,0))),"-"))</f>
        <v/>
      </c>
      <c r="D285" s="6" t="str">
        <f>IF($G$281="","",IFERROR(IF(_xlfn.MINIFS(SAISIE!$E$5:$E$504,SAISIE!$B$5:$B$504,"*Vent D/G*",SAISIE!$F$5:$F$504,$G$281)&gt;=0,0,_xlfn.MINIFS(SAISIE!$E$5:$E$504,SAISIE!$B$5:$B$504,"*Vent D/G*",SAISIE!$F$5:$F$504,$G$281)),"-"))</f>
        <v/>
      </c>
      <c r="E285" s="6" t="s">
        <v>51</v>
      </c>
    </row>
    <row r="286" spans="1:7" x14ac:dyDescent="0.25">
      <c r="A286" s="5" t="s">
        <v>55</v>
      </c>
      <c r="B286" s="6" t="str">
        <f>IF($G$281="","",IFERROR(INDEX(SAISIE!$C$5:$C$504,MATCH(_xlfn.MAXIFS(SAISIE!$E$5:$E$504,SAISIE!$B$5:$B$504,"*Vent D/G*",SAISIE!$F$5:$F$504,$G$281),SAISIE!$E$5:$E$504,0)),"-"))</f>
        <v/>
      </c>
      <c r="C286" s="6" t="str">
        <f>IF($G$281="","",IFERROR(INDEX(SAISIE!$D$5:$D$504,MATCH(_xlfn.MAXIFS(SAISIE!$E$5:$E$504,SAISIE!$B$5:$B$504,"*Vent D/G*",SAISIE!$F$5:$F$504,$G$281),SAISIE!$E$5:$E$504,0)),"-"))</f>
        <v/>
      </c>
      <c r="D286" s="6" t="str">
        <f>IF($G$281="","",IFERROR(_xlfn.MAXIFS(SAISIE!$E$5:$E$504,SAISIE!$B$5:$B$504,"*Vent D/G*",SAISIE!$F$5:$F$504,$G$281),"-"))</f>
        <v/>
      </c>
      <c r="E286" s="6" t="s">
        <v>53</v>
      </c>
    </row>
    <row r="287" spans="1:7" x14ac:dyDescent="0.25">
      <c r="A287" s="5" t="s">
        <v>56</v>
      </c>
      <c r="B287" s="6" t="str">
        <f>IF($G$281="","",IFERROR(IF(_xlfn.MINIFS(SAISIE!$E$5:$E$504,SAISIE!$B$5:$B$504,"*Vent Av./Arr.*",SAISIE!$F$5:$F$504,$G$281)&gt;=0,_xlfn.MAXIFS(SAISIE!$C$5:$C$504,SAISIE!$B$5:$B$504,"*Vent Av./Arr.*",SAISIE!$F$5:$F$504,$G$281),INDEX(SAISIE!$C$5:$C$504,MATCH(_xlfn.MINIFS(SAISIE!$E$5:$E$504,SAISIE!$B$5:$B$504,"*Vent Av./Arr.*",SAISIE!$F$5:$F$504,$G$281),SAISIE!$E$5:$E$504,0))),"-"))</f>
        <v/>
      </c>
      <c r="C287" s="6" t="str">
        <f>IF($G$281="","",IFERROR(IF(_xlfn.MINIFS(SAISIE!$E$5:$E$504,SAISIE!$B$5:$B$504,"*Vent Av./Arr.*",SAISIE!$F$5:$F$504,$G$281)&gt;=0,INDEX(SAISIE!$D$5:$D$504,MATCH(_xlfn.MAXIFS(SAISIE!$C$5:$C$504,SAISIE!$B$5:$B$504,"*Vent Av./Arr.*",SAISIE!$F$5:$F$504,$G$281),SAISIE!$C$5:$C$504,0)),INDEX(SAISIE!$D$5:$D$504,MATCH(_xlfn.MINIFS(SAISIE!$E$5:$E$504,SAISIE!$B$5:$B$504,"*Vent Av./Arr.*",SAISIE!$F$5:$F$504,$G$281),SAISIE!$E$5:$E$504,0))),"-"))</f>
        <v/>
      </c>
      <c r="D287" s="6" t="str">
        <f>IF($G$281="","",IFERROR(IF(_xlfn.MINIFS(SAISIE!$E$5:$E$504,SAISIE!$B$5:$B$504,"*Vent Av./Arr.*",SAISIE!$F$5:$F$504,$G$281)&gt;=0,0,_xlfn.MINIFS(SAISIE!$E$5:$E$504,SAISIE!$B$5:$B$504,"*Vent Av./Arr.*",SAISIE!$F$5:$F$504,$G$281)),"-"))</f>
        <v/>
      </c>
      <c r="E287" s="6" t="s">
        <v>51</v>
      </c>
    </row>
    <row r="288" spans="1:7" x14ac:dyDescent="0.25">
      <c r="A288" s="5" t="s">
        <v>57</v>
      </c>
      <c r="B288" s="6" t="str">
        <f>IF($G$281="","",IFERROR(INDEX(SAISIE!$C$5:$C$504,MATCH(_xlfn.MAXIFS(SAISIE!$E$5:$E$504,SAISIE!$B$5:$B$504,"*Vent Av./Arr.*",SAISIE!$F$5:$F$504,$G$281),SAISIE!$E$5:$E$504,0)),"-"))</f>
        <v/>
      </c>
      <c r="C288" s="6" t="str">
        <f>IF($G$281="","",IFERROR(INDEX(SAISIE!$D$5:$D$504,MATCH(_xlfn.MAXIFS(SAISIE!$E$5:$E$504,SAISIE!$B$5:$B$504,"*Vent Av./Arr.*",SAISIE!$F$5:$F$504,$G$281),SAISIE!$E$5:$E$504,0)),"-"))</f>
        <v/>
      </c>
      <c r="D288" s="6" t="str">
        <f>IF($G$281="","",IFERROR(_xlfn.MAXIFS(SAISIE!$E$5:$E$504,SAISIE!$B$5:$B$504,"*Vent Av./Arr.*",SAISIE!$F$5:$F$504,$G$281),"-"))</f>
        <v/>
      </c>
      <c r="E288" s="6" t="s">
        <v>53</v>
      </c>
    </row>
    <row r="289" spans="1:7" x14ac:dyDescent="0.25">
      <c r="A289" s="5" t="s">
        <v>58</v>
      </c>
      <c r="B289" s="6" t="str">
        <f>IF($G$281="","",IFERROR(IF(_xlfn.MINIFS(SAISIE!$E$5:$E$504,SAISIE!$B$5:$B$504,"*Vent Arr./Av.*",SAISIE!$F$5:$F$504,$G$281)&gt;=0,_xlfn.MAXIFS(SAISIE!$C$5:$C$504,SAISIE!$B$5:$B$504,"*Vent Arr./Av.*",SAISIE!$F$5:$F$504,$G$281),INDEX(SAISIE!$C$5:$C$504,MATCH(_xlfn.MINIFS(SAISIE!$E$5:$E$504,SAISIE!$B$5:$B$504,"*Vent Arr./Av.*",SAISIE!$F$5:$F$504,$G$281),SAISIE!$E$5:$E$504,0))),"-"))</f>
        <v/>
      </c>
      <c r="C289" s="6" t="str">
        <f>IF($G$281="","",IFERROR(IF(_xlfn.MINIFS(SAISIE!$E$5:$E$504,SAISIE!$B$5:$B$504,"*Vent Arr./Av.*",SAISIE!$F$5:$F$504,$G$281)&gt;=0,INDEX(SAISIE!$D$5:$D$504,MATCH(_xlfn.MAXIFS(SAISIE!$C$5:$C$504,SAISIE!$B$5:$B$504,"*Vent Arr./Av.*",SAISIE!$F$5:$F$504,$G$281),SAISIE!$C$5:$C$504,0)),INDEX(SAISIE!$D$5:$D$504,MATCH(_xlfn.MINIFS(SAISIE!$E$5:$E$504,SAISIE!$B$5:$B$504,"*Vent Arr./Av.*",SAISIE!$F$5:$F$504,$G$281),SAISIE!$E$5:$E$504,0))),"-"))</f>
        <v/>
      </c>
      <c r="D289" s="6" t="str">
        <f>IF($G$281="","",IFERROR(IF(_xlfn.MINIFS(SAISIE!$E$5:$E$504,SAISIE!$B$5:$B$504,"*Vent Arr./Av.*",SAISIE!$F$5:$F$504,$G$281)&gt;=0,0,_xlfn.MINIFS(SAISIE!$E$5:$E$504,SAISIE!$B$5:$B$504,"*Vent Arr./Av.*",SAISIE!$F$5:$F$504,$G$281)),"-"))</f>
        <v/>
      </c>
      <c r="E289" s="6" t="s">
        <v>51</v>
      </c>
    </row>
    <row r="290" spans="1:7" x14ac:dyDescent="0.25">
      <c r="A290" s="5" t="s">
        <v>59</v>
      </c>
      <c r="B290" s="6" t="str">
        <f>IF($G$281="","",IFERROR(INDEX(SAISIE!$C$5:$C$504,MATCH(_xlfn.MAXIFS(SAISIE!$E$5:$E$504,SAISIE!$B$5:$B$504,"*Vent Arr./Av.*",SAISIE!$F$5:$F$504,$G$281),SAISIE!$E$5:$E$504,0)),"-"))</f>
        <v/>
      </c>
      <c r="C290" s="6" t="str">
        <f>IF($G$281="","",IFERROR(INDEX(SAISIE!$D$5:$D$504,MATCH(_xlfn.MAXIFS(SAISIE!$E$5:$E$504,SAISIE!$B$5:$B$504,"*Vent Arr./Av.*",SAISIE!$F$5:$F$504,$G$281),SAISIE!$E$5:$E$504,0)),"-"))</f>
        <v/>
      </c>
      <c r="D290" s="6" t="str">
        <f>IF($G$281="","",IFERROR(_xlfn.MAXIFS(SAISIE!$E$5:$E$504,SAISIE!$B$5:$B$504,"*Vent Arr./Av.*",SAISIE!$F$5:$F$504,$G$281),"-"))</f>
        <v/>
      </c>
      <c r="E290" s="6" t="s">
        <v>53</v>
      </c>
    </row>
    <row r="291" spans="1:7" x14ac:dyDescent="0.25">
      <c r="A291" s="5" t="s">
        <v>60</v>
      </c>
      <c r="B291" s="6" t="str">
        <f>IF($G$281="","",IFERROR(INDEX(SAISIE!$C$5:$C$504,MATCH(_xlfn.MINIFS(SAISIE!$E$5:$E$504,SAISIE!$B$5:$B$504,"*Neige*",SAISIE!$B$5:$B$504,"&lt;&gt;*accidentel*",SAISIE!$F$5:$F$504,$G$281),SAISIE!$E$5:$E$504,0)),"-"))</f>
        <v/>
      </c>
      <c r="C291" s="6" t="str">
        <f>IF($G$281="","",IFERROR(INDEX(SAISIE!$D$5:$D$504,MATCH(_xlfn.MINIFS(SAISIE!$E$5:$E$504,SAISIE!$B$5:$B$504,"*Neige*",SAISIE!$B$5:$B$504,"&lt;&gt;*accidentel*",SAISIE!$F$5:$F$504,$G$281),SAISIE!$E$5:$E$504,0)),"-"))</f>
        <v/>
      </c>
      <c r="D291" s="6" t="str">
        <f>IF($G$281="","",IFERROR(INDEX(SAISIE!$E$5:$E$504,MATCH(_xlfn.MINIFS(SAISIE!$E$5:$E$504,SAISIE!$B$5:$B$504,"*Neige*",SAISIE!$B$5:$B$504,"&lt;&gt;*accidentel*",SAISIE!$F$5:$F$504,$G$281),SAISIE!$E$5:$E$504,0)),"-"))</f>
        <v/>
      </c>
      <c r="E291" s="6"/>
    </row>
    <row r="292" spans="1:7" x14ac:dyDescent="0.25">
      <c r="A292" s="5" t="s">
        <v>61</v>
      </c>
      <c r="B292" s="6" t="str">
        <f>IF($G$281="","",IFERROR(LOOKUP(2,1/((SAISIE!$F$5:$F$504=$G$281)*(ISNUMBER(SEARCH("accidentel",SAISIE!$B$5:$B$504)))),SAISIE!$C$5:$C$504),"-"))</f>
        <v/>
      </c>
      <c r="C292" s="6" t="str">
        <f>IF($G$281="","",IFERROR(LOOKUP(2,1/((SAISIE!$F$5:$F$504=$G$281)*(ISNUMBER(SEARCH("accidentel",SAISIE!$B$5:$B$504)))),SAISIE!$D$5:$D$504),"-"))</f>
        <v/>
      </c>
      <c r="D292" s="6" t="str">
        <f>IF($G$281="","",IFERROR(LOOKUP(2,1/((SAISIE!$F$5:$F$504=$G$281)*(ISNUMBER(SEARCH("accidentel",SAISIE!$B$5:$B$504)))),SAISIE!$E$5:$E$504),"-"))</f>
        <v/>
      </c>
      <c r="E292" s="6"/>
    </row>
    <row r="293" spans="1:7" ht="15.75" x14ac:dyDescent="0.25">
      <c r="A293" s="9" t="str">
        <f>IF($G$293="","","Noeud "&amp;$G$293)</f>
        <v/>
      </c>
      <c r="B293" s="10"/>
      <c r="C293" s="10"/>
      <c r="D293" s="10"/>
      <c r="E293" s="10"/>
      <c r="G293" t="str">
        <f>IFERROR(INDEX(SAISIE!$F$5:$F$504,_xlfn.AGGREGATE(15,6,ROW(SAISIE!$F$5:$F$504)-ROW(SAISIE!$F$5)+1/(SAISIE!$F$5:$F$504&lt;&gt;"")/(COUNTIF($G$4:G292,SAISIE!$F$5:$F$504)=0),1)),"")</f>
        <v/>
      </c>
    </row>
    <row r="294" spans="1:7" x14ac:dyDescent="0.25">
      <c r="A294" s="5" t="s">
        <v>49</v>
      </c>
      <c r="B294" s="6" t="str">
        <f>IF($G$293="","",IFERROR(IFERROR(LOOKUP(2,1/((SAISIE!$F$5:$F$504=$G$293)*(LEFT(SAISIE!$B$5:$B$504,2)="G ")),SAISIE!$C$5:$C$504),LOOKUP(2,1/((SAISIE!$F$5:$F$504=$G$293)*(ISNUMBER(SEARCH("Couverture",SAISIE!$B$5:$B$504)))),SAISIE!$C$5:$C$504)),"-"))</f>
        <v/>
      </c>
      <c r="C294" s="6" t="str">
        <f>IF($G$293="","",IFERROR(IFERROR(LOOKUP(2,1/((SAISIE!$F$5:$F$504=$G$293)*(LEFT(SAISIE!$B$5:$B$504,2)="G ")),SAISIE!$D$5:$D$504),LOOKUP(2,1/((SAISIE!$F$5:$F$504=$G$293)*(ISNUMBER(SEARCH("Couverture",SAISIE!$B$5:$B$504)))),SAISIE!$D$5:$D$504)),"-"))</f>
        <v/>
      </c>
      <c r="D294" s="6" t="str">
        <f>IF($G$293="","",IFERROR(IFERROR(LOOKUP(2,1/((SAISIE!$F$5:$F$504=$G$293)*(LEFT(SAISIE!$B$5:$B$504,2)="G ")),SAISIE!$E$5:$E$504),LOOKUP(2,1/((SAISIE!$F$5:$F$504=$G$293)*(ISNUMBER(SEARCH("Couverture",SAISIE!$B$5:$B$504)))),SAISIE!$E$5:$E$504)),"-"))</f>
        <v/>
      </c>
      <c r="E294" s="6"/>
    </row>
    <row r="295" spans="1:7" x14ac:dyDescent="0.25">
      <c r="A295" s="5" t="s">
        <v>50</v>
      </c>
      <c r="B295" s="6" t="str">
        <f>IF($G$293="","",IFERROR(IF(_xlfn.MINIFS(SAISIE!$E$5:$E$504,SAISIE!$B$5:$B$504,"*Vent G/D*",SAISIE!$F$5:$F$504,$G$293)&gt;=0,_xlfn.MAXIFS(SAISIE!$C$5:$C$504,SAISIE!$B$5:$B$504,"*Vent G/D*",SAISIE!$F$5:$F$504,$G$293),INDEX(SAISIE!$C$5:$C$504,MATCH(_xlfn.MINIFS(SAISIE!$E$5:$E$504,SAISIE!$B$5:$B$504,"*Vent G/D*",SAISIE!$F$5:$F$504,$G$293),SAISIE!$E$5:$E$504,0))),"-"))</f>
        <v/>
      </c>
      <c r="C295" s="6" t="str">
        <f>IF($G$293="","",IFERROR(IF(_xlfn.MINIFS(SAISIE!$E$5:$E$504,SAISIE!$B$5:$B$504,"*Vent G/D*",SAISIE!$F$5:$F$504,$G$293)&gt;=0,INDEX(SAISIE!$D$5:$D$504,MATCH(_xlfn.MAXIFS(SAISIE!$C$5:$C$504,SAISIE!$B$5:$B$504,"*Vent G/D*",SAISIE!$F$5:$F$504,$G$293),SAISIE!$C$5:$C$504,0)),INDEX(SAISIE!$D$5:$D$504,MATCH(_xlfn.MINIFS(SAISIE!$E$5:$E$504,SAISIE!$B$5:$B$504,"*Vent G/D*",SAISIE!$F$5:$F$504,$G$293),SAISIE!$E$5:$E$504,0))),"-"))</f>
        <v/>
      </c>
      <c r="D295" s="6" t="str">
        <f>IF($G$293="","",IFERROR(IF(_xlfn.MINIFS(SAISIE!$E$5:$E$504,SAISIE!$B$5:$B$504,"*Vent G/D*",SAISIE!$F$5:$F$504,$G$293)&gt;=0,0,_xlfn.MINIFS(SAISIE!$E$5:$E$504,SAISIE!$B$5:$B$504,"*Vent G/D*",SAISIE!$F$5:$F$504,$G$293)),"-"))</f>
        <v/>
      </c>
      <c r="E295" s="6" t="s">
        <v>51</v>
      </c>
    </row>
    <row r="296" spans="1:7" x14ac:dyDescent="0.25">
      <c r="A296" s="5" t="s">
        <v>52</v>
      </c>
      <c r="B296" s="6" t="str">
        <f>IF($G$293="","",IFERROR(INDEX(SAISIE!$C$5:$C$504,MATCH(_xlfn.MAXIFS(SAISIE!$E$5:$E$504,SAISIE!$B$5:$B$504,"*Vent G/D*",SAISIE!$F$5:$F$504,$G$293),SAISIE!$E$5:$E$504,0)),"-"))</f>
        <v/>
      </c>
      <c r="C296" s="6" t="str">
        <f>IF($G$293="","",IFERROR(INDEX(SAISIE!$D$5:$D$504,MATCH(_xlfn.MAXIFS(SAISIE!$E$5:$E$504,SAISIE!$B$5:$B$504,"*Vent G/D*",SAISIE!$F$5:$F$504,$G$293),SAISIE!$E$5:$E$504,0)),"-"))</f>
        <v/>
      </c>
      <c r="D296" s="6" t="str">
        <f>IF($G$293="","",IFERROR(_xlfn.MAXIFS(SAISIE!$E$5:$E$504,SAISIE!$B$5:$B$504,"*Vent G/D*",SAISIE!$F$5:$F$504,$G$293),"-"))</f>
        <v/>
      </c>
      <c r="E296" s="6" t="s">
        <v>53</v>
      </c>
    </row>
    <row r="297" spans="1:7" x14ac:dyDescent="0.25">
      <c r="A297" s="5" t="s">
        <v>54</v>
      </c>
      <c r="B297" s="6" t="str">
        <f>IF($G$293="","",IFERROR(IF(_xlfn.MINIFS(SAISIE!$E$5:$E$504,SAISIE!$B$5:$B$504,"*Vent D/G*",SAISIE!$F$5:$F$504,$G$293)&gt;=0,_xlfn.MAXIFS(SAISIE!$C$5:$C$504,SAISIE!$B$5:$B$504,"*Vent D/G*",SAISIE!$F$5:$F$504,$G$293),INDEX(SAISIE!$C$5:$C$504,MATCH(_xlfn.MINIFS(SAISIE!$E$5:$E$504,SAISIE!$B$5:$B$504,"*Vent D/G*",SAISIE!$F$5:$F$504,$G$293),SAISIE!$E$5:$E$504,0))),"-"))</f>
        <v/>
      </c>
      <c r="C297" s="6" t="str">
        <f>IF($G$293="","",IFERROR(IF(_xlfn.MINIFS(SAISIE!$E$5:$E$504,SAISIE!$B$5:$B$504,"*Vent D/G*",SAISIE!$F$5:$F$504,$G$293)&gt;=0,INDEX(SAISIE!$D$5:$D$504,MATCH(_xlfn.MAXIFS(SAISIE!$C$5:$C$504,SAISIE!$B$5:$B$504,"*Vent D/G*",SAISIE!$F$5:$F$504,$G$293),SAISIE!$C$5:$C$504,0)),INDEX(SAISIE!$D$5:$D$504,MATCH(_xlfn.MINIFS(SAISIE!$E$5:$E$504,SAISIE!$B$5:$B$504,"*Vent D/G*",SAISIE!$F$5:$F$504,$G$293),SAISIE!$E$5:$E$504,0))),"-"))</f>
        <v/>
      </c>
      <c r="D297" s="6" t="str">
        <f>IF($G$293="","",IFERROR(IF(_xlfn.MINIFS(SAISIE!$E$5:$E$504,SAISIE!$B$5:$B$504,"*Vent D/G*",SAISIE!$F$5:$F$504,$G$293)&gt;=0,0,_xlfn.MINIFS(SAISIE!$E$5:$E$504,SAISIE!$B$5:$B$504,"*Vent D/G*",SAISIE!$F$5:$F$504,$G$293)),"-"))</f>
        <v/>
      </c>
      <c r="E297" s="6" t="s">
        <v>51</v>
      </c>
    </row>
    <row r="298" spans="1:7" x14ac:dyDescent="0.25">
      <c r="A298" s="5" t="s">
        <v>55</v>
      </c>
      <c r="B298" s="6" t="str">
        <f>IF($G$293="","",IFERROR(INDEX(SAISIE!$C$5:$C$504,MATCH(_xlfn.MAXIFS(SAISIE!$E$5:$E$504,SAISIE!$B$5:$B$504,"*Vent D/G*",SAISIE!$F$5:$F$504,$G$293),SAISIE!$E$5:$E$504,0)),"-"))</f>
        <v/>
      </c>
      <c r="C298" s="6" t="str">
        <f>IF($G$293="","",IFERROR(INDEX(SAISIE!$D$5:$D$504,MATCH(_xlfn.MAXIFS(SAISIE!$E$5:$E$504,SAISIE!$B$5:$B$504,"*Vent D/G*",SAISIE!$F$5:$F$504,$G$293),SAISIE!$E$5:$E$504,0)),"-"))</f>
        <v/>
      </c>
      <c r="D298" s="6" t="str">
        <f>IF($G$293="","",IFERROR(_xlfn.MAXIFS(SAISIE!$E$5:$E$504,SAISIE!$B$5:$B$504,"*Vent D/G*",SAISIE!$F$5:$F$504,$G$293),"-"))</f>
        <v/>
      </c>
      <c r="E298" s="6" t="s">
        <v>53</v>
      </c>
    </row>
    <row r="299" spans="1:7" x14ac:dyDescent="0.25">
      <c r="A299" s="5" t="s">
        <v>56</v>
      </c>
      <c r="B299" s="6" t="str">
        <f>IF($G$293="","",IFERROR(IF(_xlfn.MINIFS(SAISIE!$E$5:$E$504,SAISIE!$B$5:$B$504,"*Vent Av./Arr.*",SAISIE!$F$5:$F$504,$G$293)&gt;=0,_xlfn.MAXIFS(SAISIE!$C$5:$C$504,SAISIE!$B$5:$B$504,"*Vent Av./Arr.*",SAISIE!$F$5:$F$504,$G$293),INDEX(SAISIE!$C$5:$C$504,MATCH(_xlfn.MINIFS(SAISIE!$E$5:$E$504,SAISIE!$B$5:$B$504,"*Vent Av./Arr.*",SAISIE!$F$5:$F$504,$G$293),SAISIE!$E$5:$E$504,0))),"-"))</f>
        <v/>
      </c>
      <c r="C299" s="6" t="str">
        <f>IF($G$293="","",IFERROR(IF(_xlfn.MINIFS(SAISIE!$E$5:$E$504,SAISIE!$B$5:$B$504,"*Vent Av./Arr.*",SAISIE!$F$5:$F$504,$G$293)&gt;=0,INDEX(SAISIE!$D$5:$D$504,MATCH(_xlfn.MAXIFS(SAISIE!$C$5:$C$504,SAISIE!$B$5:$B$504,"*Vent Av./Arr.*",SAISIE!$F$5:$F$504,$G$293),SAISIE!$C$5:$C$504,0)),INDEX(SAISIE!$D$5:$D$504,MATCH(_xlfn.MINIFS(SAISIE!$E$5:$E$504,SAISIE!$B$5:$B$504,"*Vent Av./Arr.*",SAISIE!$F$5:$F$504,$G$293),SAISIE!$E$5:$E$504,0))),"-"))</f>
        <v/>
      </c>
      <c r="D299" s="6" t="str">
        <f>IF($G$293="","",IFERROR(IF(_xlfn.MINIFS(SAISIE!$E$5:$E$504,SAISIE!$B$5:$B$504,"*Vent Av./Arr.*",SAISIE!$F$5:$F$504,$G$293)&gt;=0,0,_xlfn.MINIFS(SAISIE!$E$5:$E$504,SAISIE!$B$5:$B$504,"*Vent Av./Arr.*",SAISIE!$F$5:$F$504,$G$293)),"-"))</f>
        <v/>
      </c>
      <c r="E299" s="6" t="s">
        <v>51</v>
      </c>
    </row>
    <row r="300" spans="1:7" x14ac:dyDescent="0.25">
      <c r="A300" s="5" t="s">
        <v>57</v>
      </c>
      <c r="B300" s="6" t="str">
        <f>IF($G$293="","",IFERROR(INDEX(SAISIE!$C$5:$C$504,MATCH(_xlfn.MAXIFS(SAISIE!$E$5:$E$504,SAISIE!$B$5:$B$504,"*Vent Av./Arr.*",SAISIE!$F$5:$F$504,$G$293),SAISIE!$E$5:$E$504,0)),"-"))</f>
        <v/>
      </c>
      <c r="C300" s="6" t="str">
        <f>IF($G$293="","",IFERROR(INDEX(SAISIE!$D$5:$D$504,MATCH(_xlfn.MAXIFS(SAISIE!$E$5:$E$504,SAISIE!$B$5:$B$504,"*Vent Av./Arr.*",SAISIE!$F$5:$F$504,$G$293),SAISIE!$E$5:$E$504,0)),"-"))</f>
        <v/>
      </c>
      <c r="D300" s="6" t="str">
        <f>IF($G$293="","",IFERROR(_xlfn.MAXIFS(SAISIE!$E$5:$E$504,SAISIE!$B$5:$B$504,"*Vent Av./Arr.*",SAISIE!$F$5:$F$504,$G$293),"-"))</f>
        <v/>
      </c>
      <c r="E300" s="6" t="s">
        <v>53</v>
      </c>
    </row>
    <row r="301" spans="1:7" x14ac:dyDescent="0.25">
      <c r="A301" s="5" t="s">
        <v>58</v>
      </c>
      <c r="B301" s="6" t="str">
        <f>IF($G$293="","",IFERROR(IF(_xlfn.MINIFS(SAISIE!$E$5:$E$504,SAISIE!$B$5:$B$504,"*Vent Arr./Av.*",SAISIE!$F$5:$F$504,$G$293)&gt;=0,_xlfn.MAXIFS(SAISIE!$C$5:$C$504,SAISIE!$B$5:$B$504,"*Vent Arr./Av.*",SAISIE!$F$5:$F$504,$G$293),INDEX(SAISIE!$C$5:$C$504,MATCH(_xlfn.MINIFS(SAISIE!$E$5:$E$504,SAISIE!$B$5:$B$504,"*Vent Arr./Av.*",SAISIE!$F$5:$F$504,$G$293),SAISIE!$E$5:$E$504,0))),"-"))</f>
        <v/>
      </c>
      <c r="C301" s="6" t="str">
        <f>IF($G$293="","",IFERROR(IF(_xlfn.MINIFS(SAISIE!$E$5:$E$504,SAISIE!$B$5:$B$504,"*Vent Arr./Av.*",SAISIE!$F$5:$F$504,$G$293)&gt;=0,INDEX(SAISIE!$D$5:$D$504,MATCH(_xlfn.MAXIFS(SAISIE!$C$5:$C$504,SAISIE!$B$5:$B$504,"*Vent Arr./Av.*",SAISIE!$F$5:$F$504,$G$293),SAISIE!$C$5:$C$504,0)),INDEX(SAISIE!$D$5:$D$504,MATCH(_xlfn.MINIFS(SAISIE!$E$5:$E$504,SAISIE!$B$5:$B$504,"*Vent Arr./Av.*",SAISIE!$F$5:$F$504,$G$293),SAISIE!$E$5:$E$504,0))),"-"))</f>
        <v/>
      </c>
      <c r="D301" s="6" t="str">
        <f>IF($G$293="","",IFERROR(IF(_xlfn.MINIFS(SAISIE!$E$5:$E$504,SAISIE!$B$5:$B$504,"*Vent Arr./Av.*",SAISIE!$F$5:$F$504,$G$293)&gt;=0,0,_xlfn.MINIFS(SAISIE!$E$5:$E$504,SAISIE!$B$5:$B$504,"*Vent Arr./Av.*",SAISIE!$F$5:$F$504,$G$293)),"-"))</f>
        <v/>
      </c>
      <c r="E301" s="6" t="s">
        <v>51</v>
      </c>
    </row>
    <row r="302" spans="1:7" x14ac:dyDescent="0.25">
      <c r="A302" s="5" t="s">
        <v>59</v>
      </c>
      <c r="B302" s="6" t="str">
        <f>IF($G$293="","",IFERROR(INDEX(SAISIE!$C$5:$C$504,MATCH(_xlfn.MAXIFS(SAISIE!$E$5:$E$504,SAISIE!$B$5:$B$504,"*Vent Arr./Av.*",SAISIE!$F$5:$F$504,$G$293),SAISIE!$E$5:$E$504,0)),"-"))</f>
        <v/>
      </c>
      <c r="C302" s="6" t="str">
        <f>IF($G$293="","",IFERROR(INDEX(SAISIE!$D$5:$D$504,MATCH(_xlfn.MAXIFS(SAISIE!$E$5:$E$504,SAISIE!$B$5:$B$504,"*Vent Arr./Av.*",SAISIE!$F$5:$F$504,$G$293),SAISIE!$E$5:$E$504,0)),"-"))</f>
        <v/>
      </c>
      <c r="D302" s="6" t="str">
        <f>IF($G$293="","",IFERROR(_xlfn.MAXIFS(SAISIE!$E$5:$E$504,SAISIE!$B$5:$B$504,"*Vent Arr./Av.*",SAISIE!$F$5:$F$504,$G$293),"-"))</f>
        <v/>
      </c>
      <c r="E302" s="6" t="s">
        <v>53</v>
      </c>
    </row>
    <row r="303" spans="1:7" x14ac:dyDescent="0.25">
      <c r="A303" s="5" t="s">
        <v>60</v>
      </c>
      <c r="B303" s="6" t="str">
        <f>IF($G$293="","",IFERROR(INDEX(SAISIE!$C$5:$C$504,MATCH(_xlfn.MINIFS(SAISIE!$E$5:$E$504,SAISIE!$B$5:$B$504,"*Neige*",SAISIE!$B$5:$B$504,"&lt;&gt;*accidentel*",SAISIE!$F$5:$F$504,$G$293),SAISIE!$E$5:$E$504,0)),"-"))</f>
        <v/>
      </c>
      <c r="C303" s="6" t="str">
        <f>IF($G$293="","",IFERROR(INDEX(SAISIE!$D$5:$D$504,MATCH(_xlfn.MINIFS(SAISIE!$E$5:$E$504,SAISIE!$B$5:$B$504,"*Neige*",SAISIE!$B$5:$B$504,"&lt;&gt;*accidentel*",SAISIE!$F$5:$F$504,$G$293),SAISIE!$E$5:$E$504,0)),"-"))</f>
        <v/>
      </c>
      <c r="D303" s="6" t="str">
        <f>IF($G$293="","",IFERROR(INDEX(SAISIE!$E$5:$E$504,MATCH(_xlfn.MINIFS(SAISIE!$E$5:$E$504,SAISIE!$B$5:$B$504,"*Neige*",SAISIE!$B$5:$B$504,"&lt;&gt;*accidentel*",SAISIE!$F$5:$F$504,$G$293),SAISIE!$E$5:$E$504,0)),"-"))</f>
        <v/>
      </c>
      <c r="E303" s="6"/>
    </row>
    <row r="304" spans="1:7" x14ac:dyDescent="0.25">
      <c r="A304" s="5" t="s">
        <v>61</v>
      </c>
      <c r="B304" s="6" t="str">
        <f>IF($G$293="","",IFERROR(LOOKUP(2,1/((SAISIE!$F$5:$F$504=$G$293)*(ISNUMBER(SEARCH("accidentel",SAISIE!$B$5:$B$504)))),SAISIE!$C$5:$C$504),"-"))</f>
        <v/>
      </c>
      <c r="C304" s="6" t="str">
        <f>IF($G$293="","",IFERROR(LOOKUP(2,1/((SAISIE!$F$5:$F$504=$G$293)*(ISNUMBER(SEARCH("accidentel",SAISIE!$B$5:$B$504)))),SAISIE!$D$5:$D$504),"-"))</f>
        <v/>
      </c>
      <c r="D304" s="6" t="str">
        <f>IF($G$293="","",IFERROR(LOOKUP(2,1/((SAISIE!$F$5:$F$504=$G$293)*(ISNUMBER(SEARCH("accidentel",SAISIE!$B$5:$B$504)))),SAISIE!$E$5:$E$504),"-"))</f>
        <v/>
      </c>
      <c r="E304" s="6"/>
    </row>
    <row r="305" spans="1:7" ht="15.75" x14ac:dyDescent="0.25">
      <c r="A305" s="9" t="str">
        <f>IF($G$305="","","Noeud "&amp;$G$305)</f>
        <v/>
      </c>
      <c r="B305" s="10"/>
      <c r="C305" s="10"/>
      <c r="D305" s="10"/>
      <c r="E305" s="10"/>
      <c r="G305" t="str">
        <f>IFERROR(INDEX(SAISIE!$F$5:$F$504,_xlfn.AGGREGATE(15,6,ROW(SAISIE!$F$5:$F$504)-ROW(SAISIE!$F$5)+1/(SAISIE!$F$5:$F$504&lt;&gt;"")/(COUNTIF($G$4:G304,SAISIE!$F$5:$F$504)=0),1)),"")</f>
        <v/>
      </c>
    </row>
    <row r="306" spans="1:7" x14ac:dyDescent="0.25">
      <c r="A306" s="5" t="s">
        <v>49</v>
      </c>
      <c r="B306" s="6" t="str">
        <f>IF($G$305="","",IFERROR(IFERROR(LOOKUP(2,1/((SAISIE!$F$5:$F$504=$G$305)*(LEFT(SAISIE!$B$5:$B$504,2)="G ")),SAISIE!$C$5:$C$504),LOOKUP(2,1/((SAISIE!$F$5:$F$504=$G$305)*(ISNUMBER(SEARCH("Couverture",SAISIE!$B$5:$B$504)))),SAISIE!$C$5:$C$504)),"-"))</f>
        <v/>
      </c>
      <c r="C306" s="6" t="str">
        <f>IF($G$305="","",IFERROR(IFERROR(LOOKUP(2,1/((SAISIE!$F$5:$F$504=$G$305)*(LEFT(SAISIE!$B$5:$B$504,2)="G ")),SAISIE!$D$5:$D$504),LOOKUP(2,1/((SAISIE!$F$5:$F$504=$G$305)*(ISNUMBER(SEARCH("Couverture",SAISIE!$B$5:$B$504)))),SAISIE!$D$5:$D$504)),"-"))</f>
        <v/>
      </c>
      <c r="D306" s="6" t="str">
        <f>IF($G$305="","",IFERROR(IFERROR(LOOKUP(2,1/((SAISIE!$F$5:$F$504=$G$305)*(LEFT(SAISIE!$B$5:$B$504,2)="G ")),SAISIE!$E$5:$E$504),LOOKUP(2,1/((SAISIE!$F$5:$F$504=$G$305)*(ISNUMBER(SEARCH("Couverture",SAISIE!$B$5:$B$504)))),SAISIE!$E$5:$E$504)),"-"))</f>
        <v/>
      </c>
      <c r="E306" s="6"/>
    </row>
    <row r="307" spans="1:7" x14ac:dyDescent="0.25">
      <c r="A307" s="5" t="s">
        <v>50</v>
      </c>
      <c r="B307" s="6" t="str">
        <f>IF($G$305="","",IFERROR(IF(_xlfn.MINIFS(SAISIE!$E$5:$E$504,SAISIE!$B$5:$B$504,"*Vent G/D*",SAISIE!$F$5:$F$504,$G$305)&gt;=0,_xlfn.MAXIFS(SAISIE!$C$5:$C$504,SAISIE!$B$5:$B$504,"*Vent G/D*",SAISIE!$F$5:$F$504,$G$305),INDEX(SAISIE!$C$5:$C$504,MATCH(_xlfn.MINIFS(SAISIE!$E$5:$E$504,SAISIE!$B$5:$B$504,"*Vent G/D*",SAISIE!$F$5:$F$504,$G$305),SAISIE!$E$5:$E$504,0))),"-"))</f>
        <v/>
      </c>
      <c r="C307" s="6" t="str">
        <f>IF($G$305="","",IFERROR(IF(_xlfn.MINIFS(SAISIE!$E$5:$E$504,SAISIE!$B$5:$B$504,"*Vent G/D*",SAISIE!$F$5:$F$504,$G$305)&gt;=0,INDEX(SAISIE!$D$5:$D$504,MATCH(_xlfn.MAXIFS(SAISIE!$C$5:$C$504,SAISIE!$B$5:$B$504,"*Vent G/D*",SAISIE!$F$5:$F$504,$G$305),SAISIE!$C$5:$C$504,0)),INDEX(SAISIE!$D$5:$D$504,MATCH(_xlfn.MINIFS(SAISIE!$E$5:$E$504,SAISIE!$B$5:$B$504,"*Vent G/D*",SAISIE!$F$5:$F$504,$G$305),SAISIE!$E$5:$E$504,0))),"-"))</f>
        <v/>
      </c>
      <c r="D307" s="6" t="str">
        <f>IF($G$305="","",IFERROR(IF(_xlfn.MINIFS(SAISIE!$E$5:$E$504,SAISIE!$B$5:$B$504,"*Vent G/D*",SAISIE!$F$5:$F$504,$G$305)&gt;=0,0,_xlfn.MINIFS(SAISIE!$E$5:$E$504,SAISIE!$B$5:$B$504,"*Vent G/D*",SAISIE!$F$5:$F$504,$G$305)),"-"))</f>
        <v/>
      </c>
      <c r="E307" s="6" t="s">
        <v>51</v>
      </c>
    </row>
    <row r="308" spans="1:7" x14ac:dyDescent="0.25">
      <c r="A308" s="5" t="s">
        <v>52</v>
      </c>
      <c r="B308" s="6" t="str">
        <f>IF($G$305="","",IFERROR(INDEX(SAISIE!$C$5:$C$504,MATCH(_xlfn.MAXIFS(SAISIE!$E$5:$E$504,SAISIE!$B$5:$B$504,"*Vent G/D*",SAISIE!$F$5:$F$504,$G$305),SAISIE!$E$5:$E$504,0)),"-"))</f>
        <v/>
      </c>
      <c r="C308" s="6" t="str">
        <f>IF($G$305="","",IFERROR(INDEX(SAISIE!$D$5:$D$504,MATCH(_xlfn.MAXIFS(SAISIE!$E$5:$E$504,SAISIE!$B$5:$B$504,"*Vent G/D*",SAISIE!$F$5:$F$504,$G$305),SAISIE!$E$5:$E$504,0)),"-"))</f>
        <v/>
      </c>
      <c r="D308" s="6" t="str">
        <f>IF($G$305="","",IFERROR(_xlfn.MAXIFS(SAISIE!$E$5:$E$504,SAISIE!$B$5:$B$504,"*Vent G/D*",SAISIE!$F$5:$F$504,$G$305),"-"))</f>
        <v/>
      </c>
      <c r="E308" s="6" t="s">
        <v>53</v>
      </c>
    </row>
    <row r="309" spans="1:7" x14ac:dyDescent="0.25">
      <c r="A309" s="5" t="s">
        <v>54</v>
      </c>
      <c r="B309" s="6" t="str">
        <f>IF($G$305="","",IFERROR(IF(_xlfn.MINIFS(SAISIE!$E$5:$E$504,SAISIE!$B$5:$B$504,"*Vent D/G*",SAISIE!$F$5:$F$504,$G$305)&gt;=0,_xlfn.MAXIFS(SAISIE!$C$5:$C$504,SAISIE!$B$5:$B$504,"*Vent D/G*",SAISIE!$F$5:$F$504,$G$305),INDEX(SAISIE!$C$5:$C$504,MATCH(_xlfn.MINIFS(SAISIE!$E$5:$E$504,SAISIE!$B$5:$B$504,"*Vent D/G*",SAISIE!$F$5:$F$504,$G$305),SAISIE!$E$5:$E$504,0))),"-"))</f>
        <v/>
      </c>
      <c r="C309" s="6" t="str">
        <f>IF($G$305="","",IFERROR(IF(_xlfn.MINIFS(SAISIE!$E$5:$E$504,SAISIE!$B$5:$B$504,"*Vent D/G*",SAISIE!$F$5:$F$504,$G$305)&gt;=0,INDEX(SAISIE!$D$5:$D$504,MATCH(_xlfn.MAXIFS(SAISIE!$C$5:$C$504,SAISIE!$B$5:$B$504,"*Vent D/G*",SAISIE!$F$5:$F$504,$G$305),SAISIE!$C$5:$C$504,0)),INDEX(SAISIE!$D$5:$D$504,MATCH(_xlfn.MINIFS(SAISIE!$E$5:$E$504,SAISIE!$B$5:$B$504,"*Vent D/G*",SAISIE!$F$5:$F$504,$G$305),SAISIE!$E$5:$E$504,0))),"-"))</f>
        <v/>
      </c>
      <c r="D309" s="6" t="str">
        <f>IF($G$305="","",IFERROR(IF(_xlfn.MINIFS(SAISIE!$E$5:$E$504,SAISIE!$B$5:$B$504,"*Vent D/G*",SAISIE!$F$5:$F$504,$G$305)&gt;=0,0,_xlfn.MINIFS(SAISIE!$E$5:$E$504,SAISIE!$B$5:$B$504,"*Vent D/G*",SAISIE!$F$5:$F$504,$G$305)),"-"))</f>
        <v/>
      </c>
      <c r="E309" s="6" t="s">
        <v>51</v>
      </c>
    </row>
    <row r="310" spans="1:7" x14ac:dyDescent="0.25">
      <c r="A310" s="5" t="s">
        <v>55</v>
      </c>
      <c r="B310" s="6" t="str">
        <f>IF($G$305="","",IFERROR(INDEX(SAISIE!$C$5:$C$504,MATCH(_xlfn.MAXIFS(SAISIE!$E$5:$E$504,SAISIE!$B$5:$B$504,"*Vent D/G*",SAISIE!$F$5:$F$504,$G$305),SAISIE!$E$5:$E$504,0)),"-"))</f>
        <v/>
      </c>
      <c r="C310" s="6" t="str">
        <f>IF($G$305="","",IFERROR(INDEX(SAISIE!$D$5:$D$504,MATCH(_xlfn.MAXIFS(SAISIE!$E$5:$E$504,SAISIE!$B$5:$B$504,"*Vent D/G*",SAISIE!$F$5:$F$504,$G$305),SAISIE!$E$5:$E$504,0)),"-"))</f>
        <v/>
      </c>
      <c r="D310" s="6" t="str">
        <f>IF($G$305="","",IFERROR(_xlfn.MAXIFS(SAISIE!$E$5:$E$504,SAISIE!$B$5:$B$504,"*Vent D/G*",SAISIE!$F$5:$F$504,$G$305),"-"))</f>
        <v/>
      </c>
      <c r="E310" s="6" t="s">
        <v>53</v>
      </c>
    </row>
    <row r="311" spans="1:7" x14ac:dyDescent="0.25">
      <c r="A311" s="5" t="s">
        <v>56</v>
      </c>
      <c r="B311" s="6" t="str">
        <f>IF($G$305="","",IFERROR(IF(_xlfn.MINIFS(SAISIE!$E$5:$E$504,SAISIE!$B$5:$B$504,"*Vent Av./Arr.*",SAISIE!$F$5:$F$504,$G$305)&gt;=0,_xlfn.MAXIFS(SAISIE!$C$5:$C$504,SAISIE!$B$5:$B$504,"*Vent Av./Arr.*",SAISIE!$F$5:$F$504,$G$305),INDEX(SAISIE!$C$5:$C$504,MATCH(_xlfn.MINIFS(SAISIE!$E$5:$E$504,SAISIE!$B$5:$B$504,"*Vent Av./Arr.*",SAISIE!$F$5:$F$504,$G$305),SAISIE!$E$5:$E$504,0))),"-"))</f>
        <v/>
      </c>
      <c r="C311" s="6" t="str">
        <f>IF($G$305="","",IFERROR(IF(_xlfn.MINIFS(SAISIE!$E$5:$E$504,SAISIE!$B$5:$B$504,"*Vent Av./Arr.*",SAISIE!$F$5:$F$504,$G$305)&gt;=0,INDEX(SAISIE!$D$5:$D$504,MATCH(_xlfn.MAXIFS(SAISIE!$C$5:$C$504,SAISIE!$B$5:$B$504,"*Vent Av./Arr.*",SAISIE!$F$5:$F$504,$G$305),SAISIE!$C$5:$C$504,0)),INDEX(SAISIE!$D$5:$D$504,MATCH(_xlfn.MINIFS(SAISIE!$E$5:$E$504,SAISIE!$B$5:$B$504,"*Vent Av./Arr.*",SAISIE!$F$5:$F$504,$G$305),SAISIE!$E$5:$E$504,0))),"-"))</f>
        <v/>
      </c>
      <c r="D311" s="6" t="str">
        <f>IF($G$305="","",IFERROR(IF(_xlfn.MINIFS(SAISIE!$E$5:$E$504,SAISIE!$B$5:$B$504,"*Vent Av./Arr.*",SAISIE!$F$5:$F$504,$G$305)&gt;=0,0,_xlfn.MINIFS(SAISIE!$E$5:$E$504,SAISIE!$B$5:$B$504,"*Vent Av./Arr.*",SAISIE!$F$5:$F$504,$G$305)),"-"))</f>
        <v/>
      </c>
      <c r="E311" s="6" t="s">
        <v>51</v>
      </c>
    </row>
    <row r="312" spans="1:7" x14ac:dyDescent="0.25">
      <c r="A312" s="5" t="s">
        <v>57</v>
      </c>
      <c r="B312" s="6" t="str">
        <f>IF($G$305="","",IFERROR(INDEX(SAISIE!$C$5:$C$504,MATCH(_xlfn.MAXIFS(SAISIE!$E$5:$E$504,SAISIE!$B$5:$B$504,"*Vent Av./Arr.*",SAISIE!$F$5:$F$504,$G$305),SAISIE!$E$5:$E$504,0)),"-"))</f>
        <v/>
      </c>
      <c r="C312" s="6" t="str">
        <f>IF($G$305="","",IFERROR(INDEX(SAISIE!$D$5:$D$504,MATCH(_xlfn.MAXIFS(SAISIE!$E$5:$E$504,SAISIE!$B$5:$B$504,"*Vent Av./Arr.*",SAISIE!$F$5:$F$504,$G$305),SAISIE!$E$5:$E$504,0)),"-"))</f>
        <v/>
      </c>
      <c r="D312" s="6" t="str">
        <f>IF($G$305="","",IFERROR(_xlfn.MAXIFS(SAISIE!$E$5:$E$504,SAISIE!$B$5:$B$504,"*Vent Av./Arr.*",SAISIE!$F$5:$F$504,$G$305),"-"))</f>
        <v/>
      </c>
      <c r="E312" s="6" t="s">
        <v>53</v>
      </c>
    </row>
    <row r="313" spans="1:7" x14ac:dyDescent="0.25">
      <c r="A313" s="5" t="s">
        <v>58</v>
      </c>
      <c r="B313" s="6" t="str">
        <f>IF($G$305="","",IFERROR(IF(_xlfn.MINIFS(SAISIE!$E$5:$E$504,SAISIE!$B$5:$B$504,"*Vent Arr./Av.*",SAISIE!$F$5:$F$504,$G$305)&gt;=0,_xlfn.MAXIFS(SAISIE!$C$5:$C$504,SAISIE!$B$5:$B$504,"*Vent Arr./Av.*",SAISIE!$F$5:$F$504,$G$305),INDEX(SAISIE!$C$5:$C$504,MATCH(_xlfn.MINIFS(SAISIE!$E$5:$E$504,SAISIE!$B$5:$B$504,"*Vent Arr./Av.*",SAISIE!$F$5:$F$504,$G$305),SAISIE!$E$5:$E$504,0))),"-"))</f>
        <v/>
      </c>
      <c r="C313" s="6" t="str">
        <f>IF($G$305="","",IFERROR(IF(_xlfn.MINIFS(SAISIE!$E$5:$E$504,SAISIE!$B$5:$B$504,"*Vent Arr./Av.*",SAISIE!$F$5:$F$504,$G$305)&gt;=0,INDEX(SAISIE!$D$5:$D$504,MATCH(_xlfn.MAXIFS(SAISIE!$C$5:$C$504,SAISIE!$B$5:$B$504,"*Vent Arr./Av.*",SAISIE!$F$5:$F$504,$G$305),SAISIE!$C$5:$C$504,0)),INDEX(SAISIE!$D$5:$D$504,MATCH(_xlfn.MINIFS(SAISIE!$E$5:$E$504,SAISIE!$B$5:$B$504,"*Vent Arr./Av.*",SAISIE!$F$5:$F$504,$G$305),SAISIE!$E$5:$E$504,0))),"-"))</f>
        <v/>
      </c>
      <c r="D313" s="6" t="str">
        <f>IF($G$305="","",IFERROR(IF(_xlfn.MINIFS(SAISIE!$E$5:$E$504,SAISIE!$B$5:$B$504,"*Vent Arr./Av.*",SAISIE!$F$5:$F$504,$G$305)&gt;=0,0,_xlfn.MINIFS(SAISIE!$E$5:$E$504,SAISIE!$B$5:$B$504,"*Vent Arr./Av.*",SAISIE!$F$5:$F$504,$G$305)),"-"))</f>
        <v/>
      </c>
      <c r="E313" s="6" t="s">
        <v>51</v>
      </c>
    </row>
    <row r="314" spans="1:7" x14ac:dyDescent="0.25">
      <c r="A314" s="5" t="s">
        <v>59</v>
      </c>
      <c r="B314" s="6" t="str">
        <f>IF($G$305="","",IFERROR(INDEX(SAISIE!$C$5:$C$504,MATCH(_xlfn.MAXIFS(SAISIE!$E$5:$E$504,SAISIE!$B$5:$B$504,"*Vent Arr./Av.*",SAISIE!$F$5:$F$504,$G$305),SAISIE!$E$5:$E$504,0)),"-"))</f>
        <v/>
      </c>
      <c r="C314" s="6" t="str">
        <f>IF($G$305="","",IFERROR(INDEX(SAISIE!$D$5:$D$504,MATCH(_xlfn.MAXIFS(SAISIE!$E$5:$E$504,SAISIE!$B$5:$B$504,"*Vent Arr./Av.*",SAISIE!$F$5:$F$504,$G$305),SAISIE!$E$5:$E$504,0)),"-"))</f>
        <v/>
      </c>
      <c r="D314" s="6" t="str">
        <f>IF($G$305="","",IFERROR(_xlfn.MAXIFS(SAISIE!$E$5:$E$504,SAISIE!$B$5:$B$504,"*Vent Arr./Av.*",SAISIE!$F$5:$F$504,$G$305),"-"))</f>
        <v/>
      </c>
      <c r="E314" s="6" t="s">
        <v>53</v>
      </c>
    </row>
    <row r="315" spans="1:7" x14ac:dyDescent="0.25">
      <c r="A315" s="5" t="s">
        <v>60</v>
      </c>
      <c r="B315" s="6" t="str">
        <f>IF($G$305="","",IFERROR(INDEX(SAISIE!$C$5:$C$504,MATCH(_xlfn.MINIFS(SAISIE!$E$5:$E$504,SAISIE!$B$5:$B$504,"*Neige*",SAISIE!$B$5:$B$504,"&lt;&gt;*accidentel*",SAISIE!$F$5:$F$504,$G$305),SAISIE!$E$5:$E$504,0)),"-"))</f>
        <v/>
      </c>
      <c r="C315" s="6" t="str">
        <f>IF($G$305="","",IFERROR(INDEX(SAISIE!$D$5:$D$504,MATCH(_xlfn.MINIFS(SAISIE!$E$5:$E$504,SAISIE!$B$5:$B$504,"*Neige*",SAISIE!$B$5:$B$504,"&lt;&gt;*accidentel*",SAISIE!$F$5:$F$504,$G$305),SAISIE!$E$5:$E$504,0)),"-"))</f>
        <v/>
      </c>
      <c r="D315" s="6" t="str">
        <f>IF($G$305="","",IFERROR(INDEX(SAISIE!$E$5:$E$504,MATCH(_xlfn.MINIFS(SAISIE!$E$5:$E$504,SAISIE!$B$5:$B$504,"*Neige*",SAISIE!$B$5:$B$504,"&lt;&gt;*accidentel*",SAISIE!$F$5:$F$504,$G$305),SAISIE!$E$5:$E$504,0)),"-"))</f>
        <v/>
      </c>
      <c r="E315" s="6"/>
    </row>
    <row r="316" spans="1:7" x14ac:dyDescent="0.25">
      <c r="A316" s="5" t="s">
        <v>61</v>
      </c>
      <c r="B316" s="6" t="str">
        <f>IF($G$305="","",IFERROR(LOOKUP(2,1/((SAISIE!$F$5:$F$504=$G$305)*(ISNUMBER(SEARCH("accidentel",SAISIE!$B$5:$B$504)))),SAISIE!$C$5:$C$504),"-"))</f>
        <v/>
      </c>
      <c r="C316" s="6" t="str">
        <f>IF($G$305="","",IFERROR(LOOKUP(2,1/((SAISIE!$F$5:$F$504=$G$305)*(ISNUMBER(SEARCH("accidentel",SAISIE!$B$5:$B$504)))),SAISIE!$D$5:$D$504),"-"))</f>
        <v/>
      </c>
      <c r="D316" s="6" t="str">
        <f>IF($G$305="","",IFERROR(LOOKUP(2,1/((SAISIE!$F$5:$F$504=$G$305)*(ISNUMBER(SEARCH("accidentel",SAISIE!$B$5:$B$504)))),SAISIE!$E$5:$E$504),"-"))</f>
        <v/>
      </c>
      <c r="E316" s="6"/>
    </row>
    <row r="317" spans="1:7" ht="15.75" x14ac:dyDescent="0.25">
      <c r="A317" s="9" t="str">
        <f>IF($G$317="","","Noeud "&amp;$G$317)</f>
        <v/>
      </c>
      <c r="B317" s="10"/>
      <c r="C317" s="10"/>
      <c r="D317" s="10"/>
      <c r="E317" s="10"/>
      <c r="G317" t="str">
        <f>IFERROR(INDEX(SAISIE!$F$5:$F$504,_xlfn.AGGREGATE(15,6,ROW(SAISIE!$F$5:$F$504)-ROW(SAISIE!$F$5)+1/(SAISIE!$F$5:$F$504&lt;&gt;"")/(COUNTIF($G$4:G316,SAISIE!$F$5:$F$504)=0),1)),"")</f>
        <v/>
      </c>
    </row>
    <row r="318" spans="1:7" x14ac:dyDescent="0.25">
      <c r="A318" s="5" t="s">
        <v>49</v>
      </c>
      <c r="B318" s="6" t="str">
        <f>IF($G$317="","",IFERROR(IFERROR(LOOKUP(2,1/((SAISIE!$F$5:$F$504=$G$317)*(LEFT(SAISIE!$B$5:$B$504,2)="G ")),SAISIE!$C$5:$C$504),LOOKUP(2,1/((SAISIE!$F$5:$F$504=$G$317)*(ISNUMBER(SEARCH("Couverture",SAISIE!$B$5:$B$504)))),SAISIE!$C$5:$C$504)),"-"))</f>
        <v/>
      </c>
      <c r="C318" s="6" t="str">
        <f>IF($G$317="","",IFERROR(IFERROR(LOOKUP(2,1/((SAISIE!$F$5:$F$504=$G$317)*(LEFT(SAISIE!$B$5:$B$504,2)="G ")),SAISIE!$D$5:$D$504),LOOKUP(2,1/((SAISIE!$F$5:$F$504=$G$317)*(ISNUMBER(SEARCH("Couverture",SAISIE!$B$5:$B$504)))),SAISIE!$D$5:$D$504)),"-"))</f>
        <v/>
      </c>
      <c r="D318" s="6" t="str">
        <f>IF($G$317="","",IFERROR(IFERROR(LOOKUP(2,1/((SAISIE!$F$5:$F$504=$G$317)*(LEFT(SAISIE!$B$5:$B$504,2)="G ")),SAISIE!$E$5:$E$504),LOOKUP(2,1/((SAISIE!$F$5:$F$504=$G$317)*(ISNUMBER(SEARCH("Couverture",SAISIE!$B$5:$B$504)))),SAISIE!$E$5:$E$504)),"-"))</f>
        <v/>
      </c>
      <c r="E318" s="6"/>
    </row>
    <row r="319" spans="1:7" x14ac:dyDescent="0.25">
      <c r="A319" s="5" t="s">
        <v>50</v>
      </c>
      <c r="B319" s="6" t="str">
        <f>IF($G$317="","",IFERROR(IF(_xlfn.MINIFS(SAISIE!$E$5:$E$504,SAISIE!$B$5:$B$504,"*Vent G/D*",SAISIE!$F$5:$F$504,$G$317)&gt;=0,_xlfn.MAXIFS(SAISIE!$C$5:$C$504,SAISIE!$B$5:$B$504,"*Vent G/D*",SAISIE!$F$5:$F$504,$G$317),INDEX(SAISIE!$C$5:$C$504,MATCH(_xlfn.MINIFS(SAISIE!$E$5:$E$504,SAISIE!$B$5:$B$504,"*Vent G/D*",SAISIE!$F$5:$F$504,$G$317),SAISIE!$E$5:$E$504,0))),"-"))</f>
        <v/>
      </c>
      <c r="C319" s="6" t="str">
        <f>IF($G$317="","",IFERROR(IF(_xlfn.MINIFS(SAISIE!$E$5:$E$504,SAISIE!$B$5:$B$504,"*Vent G/D*",SAISIE!$F$5:$F$504,$G$317)&gt;=0,INDEX(SAISIE!$D$5:$D$504,MATCH(_xlfn.MAXIFS(SAISIE!$C$5:$C$504,SAISIE!$B$5:$B$504,"*Vent G/D*",SAISIE!$F$5:$F$504,$G$317),SAISIE!$C$5:$C$504,0)),INDEX(SAISIE!$D$5:$D$504,MATCH(_xlfn.MINIFS(SAISIE!$E$5:$E$504,SAISIE!$B$5:$B$504,"*Vent G/D*",SAISIE!$F$5:$F$504,$G$317),SAISIE!$E$5:$E$504,0))),"-"))</f>
        <v/>
      </c>
      <c r="D319" s="6" t="str">
        <f>IF($G$317="","",IFERROR(IF(_xlfn.MINIFS(SAISIE!$E$5:$E$504,SAISIE!$B$5:$B$504,"*Vent G/D*",SAISIE!$F$5:$F$504,$G$317)&gt;=0,0,_xlfn.MINIFS(SAISIE!$E$5:$E$504,SAISIE!$B$5:$B$504,"*Vent G/D*",SAISIE!$F$5:$F$504,$G$317)),"-"))</f>
        <v/>
      </c>
      <c r="E319" s="6" t="s">
        <v>51</v>
      </c>
    </row>
    <row r="320" spans="1:7" x14ac:dyDescent="0.25">
      <c r="A320" s="5" t="s">
        <v>52</v>
      </c>
      <c r="B320" s="6" t="str">
        <f>IF($G$317="","",IFERROR(INDEX(SAISIE!$C$5:$C$504,MATCH(_xlfn.MAXIFS(SAISIE!$E$5:$E$504,SAISIE!$B$5:$B$504,"*Vent G/D*",SAISIE!$F$5:$F$504,$G$317),SAISIE!$E$5:$E$504,0)),"-"))</f>
        <v/>
      </c>
      <c r="C320" s="6" t="str">
        <f>IF($G$317="","",IFERROR(INDEX(SAISIE!$D$5:$D$504,MATCH(_xlfn.MAXIFS(SAISIE!$E$5:$E$504,SAISIE!$B$5:$B$504,"*Vent G/D*",SAISIE!$F$5:$F$504,$G$317),SAISIE!$E$5:$E$504,0)),"-"))</f>
        <v/>
      </c>
      <c r="D320" s="6" t="str">
        <f>IF($G$317="","",IFERROR(_xlfn.MAXIFS(SAISIE!$E$5:$E$504,SAISIE!$B$5:$B$504,"*Vent G/D*",SAISIE!$F$5:$F$504,$G$317),"-"))</f>
        <v/>
      </c>
      <c r="E320" s="6" t="s">
        <v>53</v>
      </c>
    </row>
    <row r="321" spans="1:7" x14ac:dyDescent="0.25">
      <c r="A321" s="5" t="s">
        <v>54</v>
      </c>
      <c r="B321" s="6" t="str">
        <f>IF($G$317="","",IFERROR(IF(_xlfn.MINIFS(SAISIE!$E$5:$E$504,SAISIE!$B$5:$B$504,"*Vent D/G*",SAISIE!$F$5:$F$504,$G$317)&gt;=0,_xlfn.MAXIFS(SAISIE!$C$5:$C$504,SAISIE!$B$5:$B$504,"*Vent D/G*",SAISIE!$F$5:$F$504,$G$317),INDEX(SAISIE!$C$5:$C$504,MATCH(_xlfn.MINIFS(SAISIE!$E$5:$E$504,SAISIE!$B$5:$B$504,"*Vent D/G*",SAISIE!$F$5:$F$504,$G$317),SAISIE!$E$5:$E$504,0))),"-"))</f>
        <v/>
      </c>
      <c r="C321" s="6" t="str">
        <f>IF($G$317="","",IFERROR(IF(_xlfn.MINIFS(SAISIE!$E$5:$E$504,SAISIE!$B$5:$B$504,"*Vent D/G*",SAISIE!$F$5:$F$504,$G$317)&gt;=0,INDEX(SAISIE!$D$5:$D$504,MATCH(_xlfn.MAXIFS(SAISIE!$C$5:$C$504,SAISIE!$B$5:$B$504,"*Vent D/G*",SAISIE!$F$5:$F$504,$G$317),SAISIE!$C$5:$C$504,0)),INDEX(SAISIE!$D$5:$D$504,MATCH(_xlfn.MINIFS(SAISIE!$E$5:$E$504,SAISIE!$B$5:$B$504,"*Vent D/G*",SAISIE!$F$5:$F$504,$G$317),SAISIE!$E$5:$E$504,0))),"-"))</f>
        <v/>
      </c>
      <c r="D321" s="6" t="str">
        <f>IF($G$317="","",IFERROR(IF(_xlfn.MINIFS(SAISIE!$E$5:$E$504,SAISIE!$B$5:$B$504,"*Vent D/G*",SAISIE!$F$5:$F$504,$G$317)&gt;=0,0,_xlfn.MINIFS(SAISIE!$E$5:$E$504,SAISIE!$B$5:$B$504,"*Vent D/G*",SAISIE!$F$5:$F$504,$G$317)),"-"))</f>
        <v/>
      </c>
      <c r="E321" s="6" t="s">
        <v>51</v>
      </c>
    </row>
    <row r="322" spans="1:7" x14ac:dyDescent="0.25">
      <c r="A322" s="5" t="s">
        <v>55</v>
      </c>
      <c r="B322" s="6" t="str">
        <f>IF($G$317="","",IFERROR(INDEX(SAISIE!$C$5:$C$504,MATCH(_xlfn.MAXIFS(SAISIE!$E$5:$E$504,SAISIE!$B$5:$B$504,"*Vent D/G*",SAISIE!$F$5:$F$504,$G$317),SAISIE!$E$5:$E$504,0)),"-"))</f>
        <v/>
      </c>
      <c r="C322" s="6" t="str">
        <f>IF($G$317="","",IFERROR(INDEX(SAISIE!$D$5:$D$504,MATCH(_xlfn.MAXIFS(SAISIE!$E$5:$E$504,SAISIE!$B$5:$B$504,"*Vent D/G*",SAISIE!$F$5:$F$504,$G$317),SAISIE!$E$5:$E$504,0)),"-"))</f>
        <v/>
      </c>
      <c r="D322" s="6" t="str">
        <f>IF($G$317="","",IFERROR(_xlfn.MAXIFS(SAISIE!$E$5:$E$504,SAISIE!$B$5:$B$504,"*Vent D/G*",SAISIE!$F$5:$F$504,$G$317),"-"))</f>
        <v/>
      </c>
      <c r="E322" s="6" t="s">
        <v>53</v>
      </c>
    </row>
    <row r="323" spans="1:7" x14ac:dyDescent="0.25">
      <c r="A323" s="5" t="s">
        <v>56</v>
      </c>
      <c r="B323" s="6" t="str">
        <f>IF($G$317="","",IFERROR(IF(_xlfn.MINIFS(SAISIE!$E$5:$E$504,SAISIE!$B$5:$B$504,"*Vent Av./Arr.*",SAISIE!$F$5:$F$504,$G$317)&gt;=0,_xlfn.MAXIFS(SAISIE!$C$5:$C$504,SAISIE!$B$5:$B$504,"*Vent Av./Arr.*",SAISIE!$F$5:$F$504,$G$317),INDEX(SAISIE!$C$5:$C$504,MATCH(_xlfn.MINIFS(SAISIE!$E$5:$E$504,SAISIE!$B$5:$B$504,"*Vent Av./Arr.*",SAISIE!$F$5:$F$504,$G$317),SAISIE!$E$5:$E$504,0))),"-"))</f>
        <v/>
      </c>
      <c r="C323" s="6" t="str">
        <f>IF($G$317="","",IFERROR(IF(_xlfn.MINIFS(SAISIE!$E$5:$E$504,SAISIE!$B$5:$B$504,"*Vent Av./Arr.*",SAISIE!$F$5:$F$504,$G$317)&gt;=0,INDEX(SAISIE!$D$5:$D$504,MATCH(_xlfn.MAXIFS(SAISIE!$C$5:$C$504,SAISIE!$B$5:$B$504,"*Vent Av./Arr.*",SAISIE!$F$5:$F$504,$G$317),SAISIE!$C$5:$C$504,0)),INDEX(SAISIE!$D$5:$D$504,MATCH(_xlfn.MINIFS(SAISIE!$E$5:$E$504,SAISIE!$B$5:$B$504,"*Vent Av./Arr.*",SAISIE!$F$5:$F$504,$G$317),SAISIE!$E$5:$E$504,0))),"-"))</f>
        <v/>
      </c>
      <c r="D323" s="6" t="str">
        <f>IF($G$317="","",IFERROR(IF(_xlfn.MINIFS(SAISIE!$E$5:$E$504,SAISIE!$B$5:$B$504,"*Vent Av./Arr.*",SAISIE!$F$5:$F$504,$G$317)&gt;=0,0,_xlfn.MINIFS(SAISIE!$E$5:$E$504,SAISIE!$B$5:$B$504,"*Vent Av./Arr.*",SAISIE!$F$5:$F$504,$G$317)),"-"))</f>
        <v/>
      </c>
      <c r="E323" s="6" t="s">
        <v>51</v>
      </c>
    </row>
    <row r="324" spans="1:7" x14ac:dyDescent="0.25">
      <c r="A324" s="5" t="s">
        <v>57</v>
      </c>
      <c r="B324" s="6" t="str">
        <f>IF($G$317="","",IFERROR(INDEX(SAISIE!$C$5:$C$504,MATCH(_xlfn.MAXIFS(SAISIE!$E$5:$E$504,SAISIE!$B$5:$B$504,"*Vent Av./Arr.*",SAISIE!$F$5:$F$504,$G$317),SAISIE!$E$5:$E$504,0)),"-"))</f>
        <v/>
      </c>
      <c r="C324" s="6" t="str">
        <f>IF($G$317="","",IFERROR(INDEX(SAISIE!$D$5:$D$504,MATCH(_xlfn.MAXIFS(SAISIE!$E$5:$E$504,SAISIE!$B$5:$B$504,"*Vent Av./Arr.*",SAISIE!$F$5:$F$504,$G$317),SAISIE!$E$5:$E$504,0)),"-"))</f>
        <v/>
      </c>
      <c r="D324" s="6" t="str">
        <f>IF($G$317="","",IFERROR(_xlfn.MAXIFS(SAISIE!$E$5:$E$504,SAISIE!$B$5:$B$504,"*Vent Av./Arr.*",SAISIE!$F$5:$F$504,$G$317),"-"))</f>
        <v/>
      </c>
      <c r="E324" s="6" t="s">
        <v>53</v>
      </c>
    </row>
    <row r="325" spans="1:7" x14ac:dyDescent="0.25">
      <c r="A325" s="5" t="s">
        <v>58</v>
      </c>
      <c r="B325" s="6" t="str">
        <f>IF($G$317="","",IFERROR(IF(_xlfn.MINIFS(SAISIE!$E$5:$E$504,SAISIE!$B$5:$B$504,"*Vent Arr./Av.*",SAISIE!$F$5:$F$504,$G$317)&gt;=0,_xlfn.MAXIFS(SAISIE!$C$5:$C$504,SAISIE!$B$5:$B$504,"*Vent Arr./Av.*",SAISIE!$F$5:$F$504,$G$317),INDEX(SAISIE!$C$5:$C$504,MATCH(_xlfn.MINIFS(SAISIE!$E$5:$E$504,SAISIE!$B$5:$B$504,"*Vent Arr./Av.*",SAISIE!$F$5:$F$504,$G$317),SAISIE!$E$5:$E$504,0))),"-"))</f>
        <v/>
      </c>
      <c r="C325" s="6" t="str">
        <f>IF($G$317="","",IFERROR(IF(_xlfn.MINIFS(SAISIE!$E$5:$E$504,SAISIE!$B$5:$B$504,"*Vent Arr./Av.*",SAISIE!$F$5:$F$504,$G$317)&gt;=0,INDEX(SAISIE!$D$5:$D$504,MATCH(_xlfn.MAXIFS(SAISIE!$C$5:$C$504,SAISIE!$B$5:$B$504,"*Vent Arr./Av.*",SAISIE!$F$5:$F$504,$G$317),SAISIE!$C$5:$C$504,0)),INDEX(SAISIE!$D$5:$D$504,MATCH(_xlfn.MINIFS(SAISIE!$E$5:$E$504,SAISIE!$B$5:$B$504,"*Vent Arr./Av.*",SAISIE!$F$5:$F$504,$G$317),SAISIE!$E$5:$E$504,0))),"-"))</f>
        <v/>
      </c>
      <c r="D325" s="6" t="str">
        <f>IF($G$317="","",IFERROR(IF(_xlfn.MINIFS(SAISIE!$E$5:$E$504,SAISIE!$B$5:$B$504,"*Vent Arr./Av.*",SAISIE!$F$5:$F$504,$G$317)&gt;=0,0,_xlfn.MINIFS(SAISIE!$E$5:$E$504,SAISIE!$B$5:$B$504,"*Vent Arr./Av.*",SAISIE!$F$5:$F$504,$G$317)),"-"))</f>
        <v/>
      </c>
      <c r="E325" s="6" t="s">
        <v>51</v>
      </c>
    </row>
    <row r="326" spans="1:7" x14ac:dyDescent="0.25">
      <c r="A326" s="5" t="s">
        <v>59</v>
      </c>
      <c r="B326" s="6" t="str">
        <f>IF($G$317="","",IFERROR(INDEX(SAISIE!$C$5:$C$504,MATCH(_xlfn.MAXIFS(SAISIE!$E$5:$E$504,SAISIE!$B$5:$B$504,"*Vent Arr./Av.*",SAISIE!$F$5:$F$504,$G$317),SAISIE!$E$5:$E$504,0)),"-"))</f>
        <v/>
      </c>
      <c r="C326" s="6" t="str">
        <f>IF($G$317="","",IFERROR(INDEX(SAISIE!$D$5:$D$504,MATCH(_xlfn.MAXIFS(SAISIE!$E$5:$E$504,SAISIE!$B$5:$B$504,"*Vent Arr./Av.*",SAISIE!$F$5:$F$504,$G$317),SAISIE!$E$5:$E$504,0)),"-"))</f>
        <v/>
      </c>
      <c r="D326" s="6" t="str">
        <f>IF($G$317="","",IFERROR(_xlfn.MAXIFS(SAISIE!$E$5:$E$504,SAISIE!$B$5:$B$504,"*Vent Arr./Av.*",SAISIE!$F$5:$F$504,$G$317),"-"))</f>
        <v/>
      </c>
      <c r="E326" s="6" t="s">
        <v>53</v>
      </c>
    </row>
    <row r="327" spans="1:7" x14ac:dyDescent="0.25">
      <c r="A327" s="5" t="s">
        <v>60</v>
      </c>
      <c r="B327" s="6" t="str">
        <f>IF($G$317="","",IFERROR(INDEX(SAISIE!$C$5:$C$504,MATCH(_xlfn.MINIFS(SAISIE!$E$5:$E$504,SAISIE!$B$5:$B$504,"*Neige*",SAISIE!$B$5:$B$504,"&lt;&gt;*accidentel*",SAISIE!$F$5:$F$504,$G$317),SAISIE!$E$5:$E$504,0)),"-"))</f>
        <v/>
      </c>
      <c r="C327" s="6" t="str">
        <f>IF($G$317="","",IFERROR(INDEX(SAISIE!$D$5:$D$504,MATCH(_xlfn.MINIFS(SAISIE!$E$5:$E$504,SAISIE!$B$5:$B$504,"*Neige*",SAISIE!$B$5:$B$504,"&lt;&gt;*accidentel*",SAISIE!$F$5:$F$504,$G$317),SAISIE!$E$5:$E$504,0)),"-"))</f>
        <v/>
      </c>
      <c r="D327" s="6" t="str">
        <f>IF($G$317="","",IFERROR(INDEX(SAISIE!$E$5:$E$504,MATCH(_xlfn.MINIFS(SAISIE!$E$5:$E$504,SAISIE!$B$5:$B$504,"*Neige*",SAISIE!$B$5:$B$504,"&lt;&gt;*accidentel*",SAISIE!$F$5:$F$504,$G$317),SAISIE!$E$5:$E$504,0)),"-"))</f>
        <v/>
      </c>
      <c r="E327" s="6"/>
    </row>
    <row r="328" spans="1:7" x14ac:dyDescent="0.25">
      <c r="A328" s="5" t="s">
        <v>61</v>
      </c>
      <c r="B328" s="6" t="str">
        <f>IF($G$317="","",IFERROR(LOOKUP(2,1/((SAISIE!$F$5:$F$504=$G$317)*(ISNUMBER(SEARCH("accidentel",SAISIE!$B$5:$B$504)))),SAISIE!$C$5:$C$504),"-"))</f>
        <v/>
      </c>
      <c r="C328" s="6" t="str">
        <f>IF($G$317="","",IFERROR(LOOKUP(2,1/((SAISIE!$F$5:$F$504=$G$317)*(ISNUMBER(SEARCH("accidentel",SAISIE!$B$5:$B$504)))),SAISIE!$D$5:$D$504),"-"))</f>
        <v/>
      </c>
      <c r="D328" s="6" t="str">
        <f>IF($G$317="","",IFERROR(LOOKUP(2,1/((SAISIE!$F$5:$F$504=$G$317)*(ISNUMBER(SEARCH("accidentel",SAISIE!$B$5:$B$504)))),SAISIE!$E$5:$E$504),"-"))</f>
        <v/>
      </c>
      <c r="E328" s="6"/>
    </row>
    <row r="329" spans="1:7" ht="15.75" x14ac:dyDescent="0.25">
      <c r="A329" s="9" t="str">
        <f>IF($G$329="","","Noeud "&amp;$G$329)</f>
        <v/>
      </c>
      <c r="B329" s="10"/>
      <c r="C329" s="10"/>
      <c r="D329" s="10"/>
      <c r="E329" s="10"/>
      <c r="G329" t="str">
        <f>IFERROR(INDEX(SAISIE!$F$5:$F$504,_xlfn.AGGREGATE(15,6,ROW(SAISIE!$F$5:$F$504)-ROW(SAISIE!$F$5)+1/(SAISIE!$F$5:$F$504&lt;&gt;"")/(COUNTIF($G$4:G328,SAISIE!$F$5:$F$504)=0),1)),"")</f>
        <v/>
      </c>
    </row>
    <row r="330" spans="1:7" x14ac:dyDescent="0.25">
      <c r="A330" s="5" t="s">
        <v>49</v>
      </c>
      <c r="B330" s="6" t="str">
        <f>IF($G$329="","",IFERROR(IFERROR(LOOKUP(2,1/((SAISIE!$F$5:$F$504=$G$329)*(LEFT(SAISIE!$B$5:$B$504,2)="G ")),SAISIE!$C$5:$C$504),LOOKUP(2,1/((SAISIE!$F$5:$F$504=$G$329)*(ISNUMBER(SEARCH("Couverture",SAISIE!$B$5:$B$504)))),SAISIE!$C$5:$C$504)),"-"))</f>
        <v/>
      </c>
      <c r="C330" s="6" t="str">
        <f>IF($G$329="","",IFERROR(IFERROR(LOOKUP(2,1/((SAISIE!$F$5:$F$504=$G$329)*(LEFT(SAISIE!$B$5:$B$504,2)="G ")),SAISIE!$D$5:$D$504),LOOKUP(2,1/((SAISIE!$F$5:$F$504=$G$329)*(ISNUMBER(SEARCH("Couverture",SAISIE!$B$5:$B$504)))),SAISIE!$D$5:$D$504)),"-"))</f>
        <v/>
      </c>
      <c r="D330" s="6" t="str">
        <f>IF($G$329="","",IFERROR(IFERROR(LOOKUP(2,1/((SAISIE!$F$5:$F$504=$G$329)*(LEFT(SAISIE!$B$5:$B$504,2)="G ")),SAISIE!$E$5:$E$504),LOOKUP(2,1/((SAISIE!$F$5:$F$504=$G$329)*(ISNUMBER(SEARCH("Couverture",SAISIE!$B$5:$B$504)))),SAISIE!$E$5:$E$504)),"-"))</f>
        <v/>
      </c>
      <c r="E330" s="6"/>
    </row>
    <row r="331" spans="1:7" x14ac:dyDescent="0.25">
      <c r="A331" s="5" t="s">
        <v>50</v>
      </c>
      <c r="B331" s="6" t="str">
        <f>IF($G$329="","",IFERROR(IF(_xlfn.MINIFS(SAISIE!$E$5:$E$504,SAISIE!$B$5:$B$504,"*Vent G/D*",SAISIE!$F$5:$F$504,$G$329)&gt;=0,_xlfn.MAXIFS(SAISIE!$C$5:$C$504,SAISIE!$B$5:$B$504,"*Vent G/D*",SAISIE!$F$5:$F$504,$G$329),INDEX(SAISIE!$C$5:$C$504,MATCH(_xlfn.MINIFS(SAISIE!$E$5:$E$504,SAISIE!$B$5:$B$504,"*Vent G/D*",SAISIE!$F$5:$F$504,$G$329),SAISIE!$E$5:$E$504,0))),"-"))</f>
        <v/>
      </c>
      <c r="C331" s="6" t="str">
        <f>IF($G$329="","",IFERROR(IF(_xlfn.MINIFS(SAISIE!$E$5:$E$504,SAISIE!$B$5:$B$504,"*Vent G/D*",SAISIE!$F$5:$F$504,$G$329)&gt;=0,INDEX(SAISIE!$D$5:$D$504,MATCH(_xlfn.MAXIFS(SAISIE!$C$5:$C$504,SAISIE!$B$5:$B$504,"*Vent G/D*",SAISIE!$F$5:$F$504,$G$329),SAISIE!$C$5:$C$504,0)),INDEX(SAISIE!$D$5:$D$504,MATCH(_xlfn.MINIFS(SAISIE!$E$5:$E$504,SAISIE!$B$5:$B$504,"*Vent G/D*",SAISIE!$F$5:$F$504,$G$329),SAISIE!$E$5:$E$504,0))),"-"))</f>
        <v/>
      </c>
      <c r="D331" s="6" t="str">
        <f>IF($G$329="","",IFERROR(IF(_xlfn.MINIFS(SAISIE!$E$5:$E$504,SAISIE!$B$5:$B$504,"*Vent G/D*",SAISIE!$F$5:$F$504,$G$329)&gt;=0,0,_xlfn.MINIFS(SAISIE!$E$5:$E$504,SAISIE!$B$5:$B$504,"*Vent G/D*",SAISIE!$F$5:$F$504,$G$329)),"-"))</f>
        <v/>
      </c>
      <c r="E331" s="6" t="s">
        <v>51</v>
      </c>
    </row>
    <row r="332" spans="1:7" x14ac:dyDescent="0.25">
      <c r="A332" s="5" t="s">
        <v>52</v>
      </c>
      <c r="B332" s="6" t="str">
        <f>IF($G$329="","",IFERROR(INDEX(SAISIE!$C$5:$C$504,MATCH(_xlfn.MAXIFS(SAISIE!$E$5:$E$504,SAISIE!$B$5:$B$504,"*Vent G/D*",SAISIE!$F$5:$F$504,$G$329),SAISIE!$E$5:$E$504,0)),"-"))</f>
        <v/>
      </c>
      <c r="C332" s="6" t="str">
        <f>IF($G$329="","",IFERROR(INDEX(SAISIE!$D$5:$D$504,MATCH(_xlfn.MAXIFS(SAISIE!$E$5:$E$504,SAISIE!$B$5:$B$504,"*Vent G/D*",SAISIE!$F$5:$F$504,$G$329),SAISIE!$E$5:$E$504,0)),"-"))</f>
        <v/>
      </c>
      <c r="D332" s="6" t="str">
        <f>IF($G$329="","",IFERROR(_xlfn.MAXIFS(SAISIE!$E$5:$E$504,SAISIE!$B$5:$B$504,"*Vent G/D*",SAISIE!$F$5:$F$504,$G$329),"-"))</f>
        <v/>
      </c>
      <c r="E332" s="6" t="s">
        <v>53</v>
      </c>
    </row>
    <row r="333" spans="1:7" x14ac:dyDescent="0.25">
      <c r="A333" s="5" t="s">
        <v>54</v>
      </c>
      <c r="B333" s="6" t="str">
        <f>IF($G$329="","",IFERROR(IF(_xlfn.MINIFS(SAISIE!$E$5:$E$504,SAISIE!$B$5:$B$504,"*Vent D/G*",SAISIE!$F$5:$F$504,$G$329)&gt;=0,_xlfn.MAXIFS(SAISIE!$C$5:$C$504,SAISIE!$B$5:$B$504,"*Vent D/G*",SAISIE!$F$5:$F$504,$G$329),INDEX(SAISIE!$C$5:$C$504,MATCH(_xlfn.MINIFS(SAISIE!$E$5:$E$504,SAISIE!$B$5:$B$504,"*Vent D/G*",SAISIE!$F$5:$F$504,$G$329),SAISIE!$E$5:$E$504,0))),"-"))</f>
        <v/>
      </c>
      <c r="C333" s="6" t="str">
        <f>IF($G$329="","",IFERROR(IF(_xlfn.MINIFS(SAISIE!$E$5:$E$504,SAISIE!$B$5:$B$504,"*Vent D/G*",SAISIE!$F$5:$F$504,$G$329)&gt;=0,INDEX(SAISIE!$D$5:$D$504,MATCH(_xlfn.MAXIFS(SAISIE!$C$5:$C$504,SAISIE!$B$5:$B$504,"*Vent D/G*",SAISIE!$F$5:$F$504,$G$329),SAISIE!$C$5:$C$504,0)),INDEX(SAISIE!$D$5:$D$504,MATCH(_xlfn.MINIFS(SAISIE!$E$5:$E$504,SAISIE!$B$5:$B$504,"*Vent D/G*",SAISIE!$F$5:$F$504,$G$329),SAISIE!$E$5:$E$504,0))),"-"))</f>
        <v/>
      </c>
      <c r="D333" s="6" t="str">
        <f>IF($G$329="","",IFERROR(IF(_xlfn.MINIFS(SAISIE!$E$5:$E$504,SAISIE!$B$5:$B$504,"*Vent D/G*",SAISIE!$F$5:$F$504,$G$329)&gt;=0,0,_xlfn.MINIFS(SAISIE!$E$5:$E$504,SAISIE!$B$5:$B$504,"*Vent D/G*",SAISIE!$F$5:$F$504,$G$329)),"-"))</f>
        <v/>
      </c>
      <c r="E333" s="6" t="s">
        <v>51</v>
      </c>
    </row>
    <row r="334" spans="1:7" x14ac:dyDescent="0.25">
      <c r="A334" s="5" t="s">
        <v>55</v>
      </c>
      <c r="B334" s="6" t="str">
        <f>IF($G$329="","",IFERROR(INDEX(SAISIE!$C$5:$C$504,MATCH(_xlfn.MAXIFS(SAISIE!$E$5:$E$504,SAISIE!$B$5:$B$504,"*Vent D/G*",SAISIE!$F$5:$F$504,$G$329),SAISIE!$E$5:$E$504,0)),"-"))</f>
        <v/>
      </c>
      <c r="C334" s="6" t="str">
        <f>IF($G$329="","",IFERROR(INDEX(SAISIE!$D$5:$D$504,MATCH(_xlfn.MAXIFS(SAISIE!$E$5:$E$504,SAISIE!$B$5:$B$504,"*Vent D/G*",SAISIE!$F$5:$F$504,$G$329),SAISIE!$E$5:$E$504,0)),"-"))</f>
        <v/>
      </c>
      <c r="D334" s="6" t="str">
        <f>IF($G$329="","",IFERROR(_xlfn.MAXIFS(SAISIE!$E$5:$E$504,SAISIE!$B$5:$B$504,"*Vent D/G*",SAISIE!$F$5:$F$504,$G$329),"-"))</f>
        <v/>
      </c>
      <c r="E334" s="6" t="s">
        <v>53</v>
      </c>
    </row>
    <row r="335" spans="1:7" x14ac:dyDescent="0.25">
      <c r="A335" s="5" t="s">
        <v>56</v>
      </c>
      <c r="B335" s="6" t="str">
        <f>IF($G$329="","",IFERROR(IF(_xlfn.MINIFS(SAISIE!$E$5:$E$504,SAISIE!$B$5:$B$504,"*Vent Av./Arr.*",SAISIE!$F$5:$F$504,$G$329)&gt;=0,_xlfn.MAXIFS(SAISIE!$C$5:$C$504,SAISIE!$B$5:$B$504,"*Vent Av./Arr.*",SAISIE!$F$5:$F$504,$G$329),INDEX(SAISIE!$C$5:$C$504,MATCH(_xlfn.MINIFS(SAISIE!$E$5:$E$504,SAISIE!$B$5:$B$504,"*Vent Av./Arr.*",SAISIE!$F$5:$F$504,$G$329),SAISIE!$E$5:$E$504,0))),"-"))</f>
        <v/>
      </c>
      <c r="C335" s="6" t="str">
        <f>IF($G$329="","",IFERROR(IF(_xlfn.MINIFS(SAISIE!$E$5:$E$504,SAISIE!$B$5:$B$504,"*Vent Av./Arr.*",SAISIE!$F$5:$F$504,$G$329)&gt;=0,INDEX(SAISIE!$D$5:$D$504,MATCH(_xlfn.MAXIFS(SAISIE!$C$5:$C$504,SAISIE!$B$5:$B$504,"*Vent Av./Arr.*",SAISIE!$F$5:$F$504,$G$329),SAISIE!$C$5:$C$504,0)),INDEX(SAISIE!$D$5:$D$504,MATCH(_xlfn.MINIFS(SAISIE!$E$5:$E$504,SAISIE!$B$5:$B$504,"*Vent Av./Arr.*",SAISIE!$F$5:$F$504,$G$329),SAISIE!$E$5:$E$504,0))),"-"))</f>
        <v/>
      </c>
      <c r="D335" s="6" t="str">
        <f>IF($G$329="","",IFERROR(IF(_xlfn.MINIFS(SAISIE!$E$5:$E$504,SAISIE!$B$5:$B$504,"*Vent Av./Arr.*",SAISIE!$F$5:$F$504,$G$329)&gt;=0,0,_xlfn.MINIFS(SAISIE!$E$5:$E$504,SAISIE!$B$5:$B$504,"*Vent Av./Arr.*",SAISIE!$F$5:$F$504,$G$329)),"-"))</f>
        <v/>
      </c>
      <c r="E335" s="6" t="s">
        <v>51</v>
      </c>
    </row>
    <row r="336" spans="1:7" x14ac:dyDescent="0.25">
      <c r="A336" s="5" t="s">
        <v>57</v>
      </c>
      <c r="B336" s="6" t="str">
        <f>IF($G$329="","",IFERROR(INDEX(SAISIE!$C$5:$C$504,MATCH(_xlfn.MAXIFS(SAISIE!$E$5:$E$504,SAISIE!$B$5:$B$504,"*Vent Av./Arr.*",SAISIE!$F$5:$F$504,$G$329),SAISIE!$E$5:$E$504,0)),"-"))</f>
        <v/>
      </c>
      <c r="C336" s="6" t="str">
        <f>IF($G$329="","",IFERROR(INDEX(SAISIE!$D$5:$D$504,MATCH(_xlfn.MAXIFS(SAISIE!$E$5:$E$504,SAISIE!$B$5:$B$504,"*Vent Av./Arr.*",SAISIE!$F$5:$F$504,$G$329),SAISIE!$E$5:$E$504,0)),"-"))</f>
        <v/>
      </c>
      <c r="D336" s="6" t="str">
        <f>IF($G$329="","",IFERROR(_xlfn.MAXIFS(SAISIE!$E$5:$E$504,SAISIE!$B$5:$B$504,"*Vent Av./Arr.*",SAISIE!$F$5:$F$504,$G$329),"-"))</f>
        <v/>
      </c>
      <c r="E336" s="6" t="s">
        <v>53</v>
      </c>
    </row>
    <row r="337" spans="1:7" x14ac:dyDescent="0.25">
      <c r="A337" s="5" t="s">
        <v>58</v>
      </c>
      <c r="B337" s="6" t="str">
        <f>IF($G$329="","",IFERROR(IF(_xlfn.MINIFS(SAISIE!$E$5:$E$504,SAISIE!$B$5:$B$504,"*Vent Arr./Av.*",SAISIE!$F$5:$F$504,$G$329)&gt;=0,_xlfn.MAXIFS(SAISIE!$C$5:$C$504,SAISIE!$B$5:$B$504,"*Vent Arr./Av.*",SAISIE!$F$5:$F$504,$G$329),INDEX(SAISIE!$C$5:$C$504,MATCH(_xlfn.MINIFS(SAISIE!$E$5:$E$504,SAISIE!$B$5:$B$504,"*Vent Arr./Av.*",SAISIE!$F$5:$F$504,$G$329),SAISIE!$E$5:$E$504,0))),"-"))</f>
        <v/>
      </c>
      <c r="C337" s="6" t="str">
        <f>IF($G$329="","",IFERROR(IF(_xlfn.MINIFS(SAISIE!$E$5:$E$504,SAISIE!$B$5:$B$504,"*Vent Arr./Av.*",SAISIE!$F$5:$F$504,$G$329)&gt;=0,INDEX(SAISIE!$D$5:$D$504,MATCH(_xlfn.MAXIFS(SAISIE!$C$5:$C$504,SAISIE!$B$5:$B$504,"*Vent Arr./Av.*",SAISIE!$F$5:$F$504,$G$329),SAISIE!$C$5:$C$504,0)),INDEX(SAISIE!$D$5:$D$504,MATCH(_xlfn.MINIFS(SAISIE!$E$5:$E$504,SAISIE!$B$5:$B$504,"*Vent Arr./Av.*",SAISIE!$F$5:$F$504,$G$329),SAISIE!$E$5:$E$504,0))),"-"))</f>
        <v/>
      </c>
      <c r="D337" s="6" t="str">
        <f>IF($G$329="","",IFERROR(IF(_xlfn.MINIFS(SAISIE!$E$5:$E$504,SAISIE!$B$5:$B$504,"*Vent Arr./Av.*",SAISIE!$F$5:$F$504,$G$329)&gt;=0,0,_xlfn.MINIFS(SAISIE!$E$5:$E$504,SAISIE!$B$5:$B$504,"*Vent Arr./Av.*",SAISIE!$F$5:$F$504,$G$329)),"-"))</f>
        <v/>
      </c>
      <c r="E337" s="6" t="s">
        <v>51</v>
      </c>
    </row>
    <row r="338" spans="1:7" x14ac:dyDescent="0.25">
      <c r="A338" s="5" t="s">
        <v>59</v>
      </c>
      <c r="B338" s="6" t="str">
        <f>IF($G$329="","",IFERROR(INDEX(SAISIE!$C$5:$C$504,MATCH(_xlfn.MAXIFS(SAISIE!$E$5:$E$504,SAISIE!$B$5:$B$504,"*Vent Arr./Av.*",SAISIE!$F$5:$F$504,$G$329),SAISIE!$E$5:$E$504,0)),"-"))</f>
        <v/>
      </c>
      <c r="C338" s="6" t="str">
        <f>IF($G$329="","",IFERROR(INDEX(SAISIE!$D$5:$D$504,MATCH(_xlfn.MAXIFS(SAISIE!$E$5:$E$504,SAISIE!$B$5:$B$504,"*Vent Arr./Av.*",SAISIE!$F$5:$F$504,$G$329),SAISIE!$E$5:$E$504,0)),"-"))</f>
        <v/>
      </c>
      <c r="D338" s="6" t="str">
        <f>IF($G$329="","",IFERROR(_xlfn.MAXIFS(SAISIE!$E$5:$E$504,SAISIE!$B$5:$B$504,"*Vent Arr./Av.*",SAISIE!$F$5:$F$504,$G$329),"-"))</f>
        <v/>
      </c>
      <c r="E338" s="6" t="s">
        <v>53</v>
      </c>
    </row>
    <row r="339" spans="1:7" x14ac:dyDescent="0.25">
      <c r="A339" s="5" t="s">
        <v>60</v>
      </c>
      <c r="B339" s="6" t="str">
        <f>IF($G$329="","",IFERROR(INDEX(SAISIE!$C$5:$C$504,MATCH(_xlfn.MINIFS(SAISIE!$E$5:$E$504,SAISIE!$B$5:$B$504,"*Neige*",SAISIE!$B$5:$B$504,"&lt;&gt;*accidentel*",SAISIE!$F$5:$F$504,$G$329),SAISIE!$E$5:$E$504,0)),"-"))</f>
        <v/>
      </c>
      <c r="C339" s="6" t="str">
        <f>IF($G$329="","",IFERROR(INDEX(SAISIE!$D$5:$D$504,MATCH(_xlfn.MINIFS(SAISIE!$E$5:$E$504,SAISIE!$B$5:$B$504,"*Neige*",SAISIE!$B$5:$B$504,"&lt;&gt;*accidentel*",SAISIE!$F$5:$F$504,$G$329),SAISIE!$E$5:$E$504,0)),"-"))</f>
        <v/>
      </c>
      <c r="D339" s="6" t="str">
        <f>IF($G$329="","",IFERROR(INDEX(SAISIE!$E$5:$E$504,MATCH(_xlfn.MINIFS(SAISIE!$E$5:$E$504,SAISIE!$B$5:$B$504,"*Neige*",SAISIE!$B$5:$B$504,"&lt;&gt;*accidentel*",SAISIE!$F$5:$F$504,$G$329),SAISIE!$E$5:$E$504,0)),"-"))</f>
        <v/>
      </c>
      <c r="E339" s="6"/>
    </row>
    <row r="340" spans="1:7" x14ac:dyDescent="0.25">
      <c r="A340" s="5" t="s">
        <v>61</v>
      </c>
      <c r="B340" s="6" t="str">
        <f>IF($G$329="","",IFERROR(LOOKUP(2,1/((SAISIE!$F$5:$F$504=$G$329)*(ISNUMBER(SEARCH("accidentel",SAISIE!$B$5:$B$504)))),SAISIE!$C$5:$C$504),"-"))</f>
        <v/>
      </c>
      <c r="C340" s="6" t="str">
        <f>IF($G$329="","",IFERROR(LOOKUP(2,1/((SAISIE!$F$5:$F$504=$G$329)*(ISNUMBER(SEARCH("accidentel",SAISIE!$B$5:$B$504)))),SAISIE!$D$5:$D$504),"-"))</f>
        <v/>
      </c>
      <c r="D340" s="6" t="str">
        <f>IF($G$329="","",IFERROR(LOOKUP(2,1/((SAISIE!$F$5:$F$504=$G$329)*(ISNUMBER(SEARCH("accidentel",SAISIE!$B$5:$B$504)))),SAISIE!$E$5:$E$504),"-"))</f>
        <v/>
      </c>
      <c r="E340" s="6"/>
    </row>
    <row r="341" spans="1:7" ht="15.75" x14ac:dyDescent="0.25">
      <c r="A341" s="9" t="str">
        <f>IF($G$341="","","Noeud "&amp;$G$341)</f>
        <v/>
      </c>
      <c r="B341" s="10"/>
      <c r="C341" s="10"/>
      <c r="D341" s="10"/>
      <c r="E341" s="10"/>
      <c r="G341" t="str">
        <f>IFERROR(INDEX(SAISIE!$F$5:$F$504,_xlfn.AGGREGATE(15,6,ROW(SAISIE!$F$5:$F$504)-ROW(SAISIE!$F$5)+1/(SAISIE!$F$5:$F$504&lt;&gt;"")/(COUNTIF($G$4:G340,SAISIE!$F$5:$F$504)=0),1)),"")</f>
        <v/>
      </c>
    </row>
    <row r="342" spans="1:7" x14ac:dyDescent="0.25">
      <c r="A342" s="5" t="s">
        <v>49</v>
      </c>
      <c r="B342" s="6" t="str">
        <f>IF($G$341="","",IFERROR(IFERROR(LOOKUP(2,1/((SAISIE!$F$5:$F$504=$G$341)*(LEFT(SAISIE!$B$5:$B$504,2)="G ")),SAISIE!$C$5:$C$504),LOOKUP(2,1/((SAISIE!$F$5:$F$504=$G$341)*(ISNUMBER(SEARCH("Couverture",SAISIE!$B$5:$B$504)))),SAISIE!$C$5:$C$504)),"-"))</f>
        <v/>
      </c>
      <c r="C342" s="6" t="str">
        <f>IF($G$341="","",IFERROR(IFERROR(LOOKUP(2,1/((SAISIE!$F$5:$F$504=$G$341)*(LEFT(SAISIE!$B$5:$B$504,2)="G ")),SAISIE!$D$5:$D$504),LOOKUP(2,1/((SAISIE!$F$5:$F$504=$G$341)*(ISNUMBER(SEARCH("Couverture",SAISIE!$B$5:$B$504)))),SAISIE!$D$5:$D$504)),"-"))</f>
        <v/>
      </c>
      <c r="D342" s="6" t="str">
        <f>IF($G$341="","",IFERROR(IFERROR(LOOKUP(2,1/((SAISIE!$F$5:$F$504=$G$341)*(LEFT(SAISIE!$B$5:$B$504,2)="G ")),SAISIE!$E$5:$E$504),LOOKUP(2,1/((SAISIE!$F$5:$F$504=$G$341)*(ISNUMBER(SEARCH("Couverture",SAISIE!$B$5:$B$504)))),SAISIE!$E$5:$E$504)),"-"))</f>
        <v/>
      </c>
      <c r="E342" s="6"/>
    </row>
    <row r="343" spans="1:7" x14ac:dyDescent="0.25">
      <c r="A343" s="5" t="s">
        <v>50</v>
      </c>
      <c r="B343" s="6" t="str">
        <f>IF($G$341="","",IFERROR(IF(_xlfn.MINIFS(SAISIE!$E$5:$E$504,SAISIE!$B$5:$B$504,"*Vent G/D*",SAISIE!$F$5:$F$504,$G$341)&gt;=0,_xlfn.MAXIFS(SAISIE!$C$5:$C$504,SAISIE!$B$5:$B$504,"*Vent G/D*",SAISIE!$F$5:$F$504,$G$341),INDEX(SAISIE!$C$5:$C$504,MATCH(_xlfn.MINIFS(SAISIE!$E$5:$E$504,SAISIE!$B$5:$B$504,"*Vent G/D*",SAISIE!$F$5:$F$504,$G$341),SAISIE!$E$5:$E$504,0))),"-"))</f>
        <v/>
      </c>
      <c r="C343" s="6" t="str">
        <f>IF($G$341="","",IFERROR(IF(_xlfn.MINIFS(SAISIE!$E$5:$E$504,SAISIE!$B$5:$B$504,"*Vent G/D*",SAISIE!$F$5:$F$504,$G$341)&gt;=0,INDEX(SAISIE!$D$5:$D$504,MATCH(_xlfn.MAXIFS(SAISIE!$C$5:$C$504,SAISIE!$B$5:$B$504,"*Vent G/D*",SAISIE!$F$5:$F$504,$G$341),SAISIE!$C$5:$C$504,0)),INDEX(SAISIE!$D$5:$D$504,MATCH(_xlfn.MINIFS(SAISIE!$E$5:$E$504,SAISIE!$B$5:$B$504,"*Vent G/D*",SAISIE!$F$5:$F$504,$G$341),SAISIE!$E$5:$E$504,0))),"-"))</f>
        <v/>
      </c>
      <c r="D343" s="6" t="str">
        <f>IF($G$341="","",IFERROR(IF(_xlfn.MINIFS(SAISIE!$E$5:$E$504,SAISIE!$B$5:$B$504,"*Vent G/D*",SAISIE!$F$5:$F$504,$G$341)&gt;=0,0,_xlfn.MINIFS(SAISIE!$E$5:$E$504,SAISIE!$B$5:$B$504,"*Vent G/D*",SAISIE!$F$5:$F$504,$G$341)),"-"))</f>
        <v/>
      </c>
      <c r="E343" s="6" t="s">
        <v>51</v>
      </c>
    </row>
    <row r="344" spans="1:7" x14ac:dyDescent="0.25">
      <c r="A344" s="5" t="s">
        <v>52</v>
      </c>
      <c r="B344" s="6" t="str">
        <f>IF($G$341="","",IFERROR(INDEX(SAISIE!$C$5:$C$504,MATCH(_xlfn.MAXIFS(SAISIE!$E$5:$E$504,SAISIE!$B$5:$B$504,"*Vent G/D*",SAISIE!$F$5:$F$504,$G$341),SAISIE!$E$5:$E$504,0)),"-"))</f>
        <v/>
      </c>
      <c r="C344" s="6" t="str">
        <f>IF($G$341="","",IFERROR(INDEX(SAISIE!$D$5:$D$504,MATCH(_xlfn.MAXIFS(SAISIE!$E$5:$E$504,SAISIE!$B$5:$B$504,"*Vent G/D*",SAISIE!$F$5:$F$504,$G$341),SAISIE!$E$5:$E$504,0)),"-"))</f>
        <v/>
      </c>
      <c r="D344" s="6" t="str">
        <f>IF($G$341="","",IFERROR(_xlfn.MAXIFS(SAISIE!$E$5:$E$504,SAISIE!$B$5:$B$504,"*Vent G/D*",SAISIE!$F$5:$F$504,$G$341),"-"))</f>
        <v/>
      </c>
      <c r="E344" s="6" t="s">
        <v>53</v>
      </c>
    </row>
    <row r="345" spans="1:7" x14ac:dyDescent="0.25">
      <c r="A345" s="5" t="s">
        <v>54</v>
      </c>
      <c r="B345" s="6" t="str">
        <f>IF($G$341="","",IFERROR(IF(_xlfn.MINIFS(SAISIE!$E$5:$E$504,SAISIE!$B$5:$B$504,"*Vent D/G*",SAISIE!$F$5:$F$504,$G$341)&gt;=0,_xlfn.MAXIFS(SAISIE!$C$5:$C$504,SAISIE!$B$5:$B$504,"*Vent D/G*",SAISIE!$F$5:$F$504,$G$341),INDEX(SAISIE!$C$5:$C$504,MATCH(_xlfn.MINIFS(SAISIE!$E$5:$E$504,SAISIE!$B$5:$B$504,"*Vent D/G*",SAISIE!$F$5:$F$504,$G$341),SAISIE!$E$5:$E$504,0))),"-"))</f>
        <v/>
      </c>
      <c r="C345" s="6" t="str">
        <f>IF($G$341="","",IFERROR(IF(_xlfn.MINIFS(SAISIE!$E$5:$E$504,SAISIE!$B$5:$B$504,"*Vent D/G*",SAISIE!$F$5:$F$504,$G$341)&gt;=0,INDEX(SAISIE!$D$5:$D$504,MATCH(_xlfn.MAXIFS(SAISIE!$C$5:$C$504,SAISIE!$B$5:$B$504,"*Vent D/G*",SAISIE!$F$5:$F$504,$G$341),SAISIE!$C$5:$C$504,0)),INDEX(SAISIE!$D$5:$D$504,MATCH(_xlfn.MINIFS(SAISIE!$E$5:$E$504,SAISIE!$B$5:$B$504,"*Vent D/G*",SAISIE!$F$5:$F$504,$G$341),SAISIE!$E$5:$E$504,0))),"-"))</f>
        <v/>
      </c>
      <c r="D345" s="6" t="str">
        <f>IF($G$341="","",IFERROR(IF(_xlfn.MINIFS(SAISIE!$E$5:$E$504,SAISIE!$B$5:$B$504,"*Vent D/G*",SAISIE!$F$5:$F$504,$G$341)&gt;=0,0,_xlfn.MINIFS(SAISIE!$E$5:$E$504,SAISIE!$B$5:$B$504,"*Vent D/G*",SAISIE!$F$5:$F$504,$G$341)),"-"))</f>
        <v/>
      </c>
      <c r="E345" s="6" t="s">
        <v>51</v>
      </c>
    </row>
    <row r="346" spans="1:7" x14ac:dyDescent="0.25">
      <c r="A346" s="5" t="s">
        <v>55</v>
      </c>
      <c r="B346" s="6" t="str">
        <f>IF($G$341="","",IFERROR(INDEX(SAISIE!$C$5:$C$504,MATCH(_xlfn.MAXIFS(SAISIE!$E$5:$E$504,SAISIE!$B$5:$B$504,"*Vent D/G*",SAISIE!$F$5:$F$504,$G$341),SAISIE!$E$5:$E$504,0)),"-"))</f>
        <v/>
      </c>
      <c r="C346" s="6" t="str">
        <f>IF($G$341="","",IFERROR(INDEX(SAISIE!$D$5:$D$504,MATCH(_xlfn.MAXIFS(SAISIE!$E$5:$E$504,SAISIE!$B$5:$B$504,"*Vent D/G*",SAISIE!$F$5:$F$504,$G$341),SAISIE!$E$5:$E$504,0)),"-"))</f>
        <v/>
      </c>
      <c r="D346" s="6" t="str">
        <f>IF($G$341="","",IFERROR(_xlfn.MAXIFS(SAISIE!$E$5:$E$504,SAISIE!$B$5:$B$504,"*Vent D/G*",SAISIE!$F$5:$F$504,$G$341),"-"))</f>
        <v/>
      </c>
      <c r="E346" s="6" t="s">
        <v>53</v>
      </c>
    </row>
    <row r="347" spans="1:7" x14ac:dyDescent="0.25">
      <c r="A347" s="5" t="s">
        <v>56</v>
      </c>
      <c r="B347" s="6" t="str">
        <f>IF($G$341="","",IFERROR(IF(_xlfn.MINIFS(SAISIE!$E$5:$E$504,SAISIE!$B$5:$B$504,"*Vent Av./Arr.*",SAISIE!$F$5:$F$504,$G$341)&gt;=0,_xlfn.MAXIFS(SAISIE!$C$5:$C$504,SAISIE!$B$5:$B$504,"*Vent Av./Arr.*",SAISIE!$F$5:$F$504,$G$341),INDEX(SAISIE!$C$5:$C$504,MATCH(_xlfn.MINIFS(SAISIE!$E$5:$E$504,SAISIE!$B$5:$B$504,"*Vent Av./Arr.*",SAISIE!$F$5:$F$504,$G$341),SAISIE!$E$5:$E$504,0))),"-"))</f>
        <v/>
      </c>
      <c r="C347" s="6" t="str">
        <f>IF($G$341="","",IFERROR(IF(_xlfn.MINIFS(SAISIE!$E$5:$E$504,SAISIE!$B$5:$B$504,"*Vent Av./Arr.*",SAISIE!$F$5:$F$504,$G$341)&gt;=0,INDEX(SAISIE!$D$5:$D$504,MATCH(_xlfn.MAXIFS(SAISIE!$C$5:$C$504,SAISIE!$B$5:$B$504,"*Vent Av./Arr.*",SAISIE!$F$5:$F$504,$G$341),SAISIE!$C$5:$C$504,0)),INDEX(SAISIE!$D$5:$D$504,MATCH(_xlfn.MINIFS(SAISIE!$E$5:$E$504,SAISIE!$B$5:$B$504,"*Vent Av./Arr.*",SAISIE!$F$5:$F$504,$G$341),SAISIE!$E$5:$E$504,0))),"-"))</f>
        <v/>
      </c>
      <c r="D347" s="6" t="str">
        <f>IF($G$341="","",IFERROR(IF(_xlfn.MINIFS(SAISIE!$E$5:$E$504,SAISIE!$B$5:$B$504,"*Vent Av./Arr.*",SAISIE!$F$5:$F$504,$G$341)&gt;=0,0,_xlfn.MINIFS(SAISIE!$E$5:$E$504,SAISIE!$B$5:$B$504,"*Vent Av./Arr.*",SAISIE!$F$5:$F$504,$G$341)),"-"))</f>
        <v/>
      </c>
      <c r="E347" s="6" t="s">
        <v>51</v>
      </c>
    </row>
    <row r="348" spans="1:7" x14ac:dyDescent="0.25">
      <c r="A348" s="5" t="s">
        <v>57</v>
      </c>
      <c r="B348" s="6" t="str">
        <f>IF($G$341="","",IFERROR(INDEX(SAISIE!$C$5:$C$504,MATCH(_xlfn.MAXIFS(SAISIE!$E$5:$E$504,SAISIE!$B$5:$B$504,"*Vent Av./Arr.*",SAISIE!$F$5:$F$504,$G$341),SAISIE!$E$5:$E$504,0)),"-"))</f>
        <v/>
      </c>
      <c r="C348" s="6" t="str">
        <f>IF($G$341="","",IFERROR(INDEX(SAISIE!$D$5:$D$504,MATCH(_xlfn.MAXIFS(SAISIE!$E$5:$E$504,SAISIE!$B$5:$B$504,"*Vent Av./Arr.*",SAISIE!$F$5:$F$504,$G$341),SAISIE!$E$5:$E$504,0)),"-"))</f>
        <v/>
      </c>
      <c r="D348" s="6" t="str">
        <f>IF($G$341="","",IFERROR(_xlfn.MAXIFS(SAISIE!$E$5:$E$504,SAISIE!$B$5:$B$504,"*Vent Av./Arr.*",SAISIE!$F$5:$F$504,$G$341),"-"))</f>
        <v/>
      </c>
      <c r="E348" s="6" t="s">
        <v>53</v>
      </c>
    </row>
    <row r="349" spans="1:7" x14ac:dyDescent="0.25">
      <c r="A349" s="5" t="s">
        <v>58</v>
      </c>
      <c r="B349" s="6" t="str">
        <f>IF($G$341="","",IFERROR(IF(_xlfn.MINIFS(SAISIE!$E$5:$E$504,SAISIE!$B$5:$B$504,"*Vent Arr./Av.*",SAISIE!$F$5:$F$504,$G$341)&gt;=0,_xlfn.MAXIFS(SAISIE!$C$5:$C$504,SAISIE!$B$5:$B$504,"*Vent Arr./Av.*",SAISIE!$F$5:$F$504,$G$341),INDEX(SAISIE!$C$5:$C$504,MATCH(_xlfn.MINIFS(SAISIE!$E$5:$E$504,SAISIE!$B$5:$B$504,"*Vent Arr./Av.*",SAISIE!$F$5:$F$504,$G$341),SAISIE!$E$5:$E$504,0))),"-"))</f>
        <v/>
      </c>
      <c r="C349" s="6" t="str">
        <f>IF($G$341="","",IFERROR(IF(_xlfn.MINIFS(SAISIE!$E$5:$E$504,SAISIE!$B$5:$B$504,"*Vent Arr./Av.*",SAISIE!$F$5:$F$504,$G$341)&gt;=0,INDEX(SAISIE!$D$5:$D$504,MATCH(_xlfn.MAXIFS(SAISIE!$C$5:$C$504,SAISIE!$B$5:$B$504,"*Vent Arr./Av.*",SAISIE!$F$5:$F$504,$G$341),SAISIE!$C$5:$C$504,0)),INDEX(SAISIE!$D$5:$D$504,MATCH(_xlfn.MINIFS(SAISIE!$E$5:$E$504,SAISIE!$B$5:$B$504,"*Vent Arr./Av.*",SAISIE!$F$5:$F$504,$G$341),SAISIE!$E$5:$E$504,0))),"-"))</f>
        <v/>
      </c>
      <c r="D349" s="6" t="str">
        <f>IF($G$341="","",IFERROR(IF(_xlfn.MINIFS(SAISIE!$E$5:$E$504,SAISIE!$B$5:$B$504,"*Vent Arr./Av.*",SAISIE!$F$5:$F$504,$G$341)&gt;=0,0,_xlfn.MINIFS(SAISIE!$E$5:$E$504,SAISIE!$B$5:$B$504,"*Vent Arr./Av.*",SAISIE!$F$5:$F$504,$G$341)),"-"))</f>
        <v/>
      </c>
      <c r="E349" s="6" t="s">
        <v>51</v>
      </c>
    </row>
    <row r="350" spans="1:7" x14ac:dyDescent="0.25">
      <c r="A350" s="5" t="s">
        <v>59</v>
      </c>
      <c r="B350" s="6" t="str">
        <f>IF($G$341="","",IFERROR(INDEX(SAISIE!$C$5:$C$504,MATCH(_xlfn.MAXIFS(SAISIE!$E$5:$E$504,SAISIE!$B$5:$B$504,"*Vent Arr./Av.*",SAISIE!$F$5:$F$504,$G$341),SAISIE!$E$5:$E$504,0)),"-"))</f>
        <v/>
      </c>
      <c r="C350" s="6" t="str">
        <f>IF($G$341="","",IFERROR(INDEX(SAISIE!$D$5:$D$504,MATCH(_xlfn.MAXIFS(SAISIE!$E$5:$E$504,SAISIE!$B$5:$B$504,"*Vent Arr./Av.*",SAISIE!$F$5:$F$504,$G$341),SAISIE!$E$5:$E$504,0)),"-"))</f>
        <v/>
      </c>
      <c r="D350" s="6" t="str">
        <f>IF($G$341="","",IFERROR(_xlfn.MAXIFS(SAISIE!$E$5:$E$504,SAISIE!$B$5:$B$504,"*Vent Arr./Av.*",SAISIE!$F$5:$F$504,$G$341),"-"))</f>
        <v/>
      </c>
      <c r="E350" s="6" t="s">
        <v>53</v>
      </c>
    </row>
    <row r="351" spans="1:7" x14ac:dyDescent="0.25">
      <c r="A351" s="5" t="s">
        <v>60</v>
      </c>
      <c r="B351" s="6" t="str">
        <f>IF($G$341="","",IFERROR(INDEX(SAISIE!$C$5:$C$504,MATCH(_xlfn.MINIFS(SAISIE!$E$5:$E$504,SAISIE!$B$5:$B$504,"*Neige*",SAISIE!$B$5:$B$504,"&lt;&gt;*accidentel*",SAISIE!$F$5:$F$504,$G$341),SAISIE!$E$5:$E$504,0)),"-"))</f>
        <v/>
      </c>
      <c r="C351" s="6" t="str">
        <f>IF($G$341="","",IFERROR(INDEX(SAISIE!$D$5:$D$504,MATCH(_xlfn.MINIFS(SAISIE!$E$5:$E$504,SAISIE!$B$5:$B$504,"*Neige*",SAISIE!$B$5:$B$504,"&lt;&gt;*accidentel*",SAISIE!$F$5:$F$504,$G$341),SAISIE!$E$5:$E$504,0)),"-"))</f>
        <v/>
      </c>
      <c r="D351" s="6" t="str">
        <f>IF($G$341="","",IFERROR(INDEX(SAISIE!$E$5:$E$504,MATCH(_xlfn.MINIFS(SAISIE!$E$5:$E$504,SAISIE!$B$5:$B$504,"*Neige*",SAISIE!$B$5:$B$504,"&lt;&gt;*accidentel*",SAISIE!$F$5:$F$504,$G$341),SAISIE!$E$5:$E$504,0)),"-"))</f>
        <v/>
      </c>
      <c r="E351" s="6"/>
    </row>
    <row r="352" spans="1:7" x14ac:dyDescent="0.25">
      <c r="A352" s="5" t="s">
        <v>61</v>
      </c>
      <c r="B352" s="6" t="str">
        <f>IF($G$341="","",IFERROR(LOOKUP(2,1/((SAISIE!$F$5:$F$504=$G$341)*(ISNUMBER(SEARCH("accidentel",SAISIE!$B$5:$B$504)))),SAISIE!$C$5:$C$504),"-"))</f>
        <v/>
      </c>
      <c r="C352" s="6" t="str">
        <f>IF($G$341="","",IFERROR(LOOKUP(2,1/((SAISIE!$F$5:$F$504=$G$341)*(ISNUMBER(SEARCH("accidentel",SAISIE!$B$5:$B$504)))),SAISIE!$D$5:$D$504),"-"))</f>
        <v/>
      </c>
      <c r="D352" s="6" t="str">
        <f>IF($G$341="","",IFERROR(LOOKUP(2,1/((SAISIE!$F$5:$F$504=$G$341)*(ISNUMBER(SEARCH("accidentel",SAISIE!$B$5:$B$504)))),SAISIE!$E$5:$E$504),"-"))</f>
        <v/>
      </c>
      <c r="E352" s="6"/>
    </row>
    <row r="353" spans="1:7" ht="15.75" x14ac:dyDescent="0.25">
      <c r="A353" s="9" t="str">
        <f>IF($G$353="","","Noeud "&amp;$G$353)</f>
        <v/>
      </c>
      <c r="B353" s="10"/>
      <c r="C353" s="10"/>
      <c r="D353" s="10"/>
      <c r="E353" s="10"/>
      <c r="G353" t="str">
        <f>IFERROR(INDEX(SAISIE!$F$5:$F$504,_xlfn.AGGREGATE(15,6,ROW(SAISIE!$F$5:$F$504)-ROW(SAISIE!$F$5)+1/(SAISIE!$F$5:$F$504&lt;&gt;"")/(COUNTIF($G$4:G352,SAISIE!$F$5:$F$504)=0),1)),"")</f>
        <v/>
      </c>
    </row>
    <row r="354" spans="1:7" x14ac:dyDescent="0.25">
      <c r="A354" s="5" t="s">
        <v>49</v>
      </c>
      <c r="B354" s="6" t="str">
        <f>IF($G$353="","",IFERROR(IFERROR(LOOKUP(2,1/((SAISIE!$F$5:$F$504=$G$353)*(LEFT(SAISIE!$B$5:$B$504,2)="G ")),SAISIE!$C$5:$C$504),LOOKUP(2,1/((SAISIE!$F$5:$F$504=$G$353)*(ISNUMBER(SEARCH("Couverture",SAISIE!$B$5:$B$504)))),SAISIE!$C$5:$C$504)),"-"))</f>
        <v/>
      </c>
      <c r="C354" s="6" t="str">
        <f>IF($G$353="","",IFERROR(IFERROR(LOOKUP(2,1/((SAISIE!$F$5:$F$504=$G$353)*(LEFT(SAISIE!$B$5:$B$504,2)="G ")),SAISIE!$D$5:$D$504),LOOKUP(2,1/((SAISIE!$F$5:$F$504=$G$353)*(ISNUMBER(SEARCH("Couverture",SAISIE!$B$5:$B$504)))),SAISIE!$D$5:$D$504)),"-"))</f>
        <v/>
      </c>
      <c r="D354" s="6" t="str">
        <f>IF($G$353="","",IFERROR(IFERROR(LOOKUP(2,1/((SAISIE!$F$5:$F$504=$G$353)*(LEFT(SAISIE!$B$5:$B$504,2)="G ")),SAISIE!$E$5:$E$504),LOOKUP(2,1/((SAISIE!$F$5:$F$504=$G$353)*(ISNUMBER(SEARCH("Couverture",SAISIE!$B$5:$B$504)))),SAISIE!$E$5:$E$504)),"-"))</f>
        <v/>
      </c>
      <c r="E354" s="6"/>
    </row>
    <row r="355" spans="1:7" x14ac:dyDescent="0.25">
      <c r="A355" s="5" t="s">
        <v>50</v>
      </c>
      <c r="B355" s="6" t="str">
        <f>IF($G$353="","",IFERROR(IF(_xlfn.MINIFS(SAISIE!$E$5:$E$504,SAISIE!$B$5:$B$504,"*Vent G/D*",SAISIE!$F$5:$F$504,$G$353)&gt;=0,_xlfn.MAXIFS(SAISIE!$C$5:$C$504,SAISIE!$B$5:$B$504,"*Vent G/D*",SAISIE!$F$5:$F$504,$G$353),INDEX(SAISIE!$C$5:$C$504,MATCH(_xlfn.MINIFS(SAISIE!$E$5:$E$504,SAISIE!$B$5:$B$504,"*Vent G/D*",SAISIE!$F$5:$F$504,$G$353),SAISIE!$E$5:$E$504,0))),"-"))</f>
        <v/>
      </c>
      <c r="C355" s="6" t="str">
        <f>IF($G$353="","",IFERROR(IF(_xlfn.MINIFS(SAISIE!$E$5:$E$504,SAISIE!$B$5:$B$504,"*Vent G/D*",SAISIE!$F$5:$F$504,$G$353)&gt;=0,INDEX(SAISIE!$D$5:$D$504,MATCH(_xlfn.MAXIFS(SAISIE!$C$5:$C$504,SAISIE!$B$5:$B$504,"*Vent G/D*",SAISIE!$F$5:$F$504,$G$353),SAISIE!$C$5:$C$504,0)),INDEX(SAISIE!$D$5:$D$504,MATCH(_xlfn.MINIFS(SAISIE!$E$5:$E$504,SAISIE!$B$5:$B$504,"*Vent G/D*",SAISIE!$F$5:$F$504,$G$353),SAISIE!$E$5:$E$504,0))),"-"))</f>
        <v/>
      </c>
      <c r="D355" s="6" t="str">
        <f>IF($G$353="","",IFERROR(IF(_xlfn.MINIFS(SAISIE!$E$5:$E$504,SAISIE!$B$5:$B$504,"*Vent G/D*",SAISIE!$F$5:$F$504,$G$353)&gt;=0,0,_xlfn.MINIFS(SAISIE!$E$5:$E$504,SAISIE!$B$5:$B$504,"*Vent G/D*",SAISIE!$F$5:$F$504,$G$353)),"-"))</f>
        <v/>
      </c>
      <c r="E355" s="6" t="s">
        <v>51</v>
      </c>
    </row>
    <row r="356" spans="1:7" x14ac:dyDescent="0.25">
      <c r="A356" s="5" t="s">
        <v>52</v>
      </c>
      <c r="B356" s="6" t="str">
        <f>IF($G$353="","",IFERROR(INDEX(SAISIE!$C$5:$C$504,MATCH(_xlfn.MAXIFS(SAISIE!$E$5:$E$504,SAISIE!$B$5:$B$504,"*Vent G/D*",SAISIE!$F$5:$F$504,$G$353),SAISIE!$E$5:$E$504,0)),"-"))</f>
        <v/>
      </c>
      <c r="C356" s="6" t="str">
        <f>IF($G$353="","",IFERROR(INDEX(SAISIE!$D$5:$D$504,MATCH(_xlfn.MAXIFS(SAISIE!$E$5:$E$504,SAISIE!$B$5:$B$504,"*Vent G/D*",SAISIE!$F$5:$F$504,$G$353),SAISIE!$E$5:$E$504,0)),"-"))</f>
        <v/>
      </c>
      <c r="D356" s="6" t="str">
        <f>IF($G$353="","",IFERROR(_xlfn.MAXIFS(SAISIE!$E$5:$E$504,SAISIE!$B$5:$B$504,"*Vent G/D*",SAISIE!$F$5:$F$504,$G$353),"-"))</f>
        <v/>
      </c>
      <c r="E356" s="6" t="s">
        <v>53</v>
      </c>
    </row>
    <row r="357" spans="1:7" x14ac:dyDescent="0.25">
      <c r="A357" s="5" t="s">
        <v>54</v>
      </c>
      <c r="B357" s="6" t="str">
        <f>IF($G$353="","",IFERROR(IF(_xlfn.MINIFS(SAISIE!$E$5:$E$504,SAISIE!$B$5:$B$504,"*Vent D/G*",SAISIE!$F$5:$F$504,$G$353)&gt;=0,_xlfn.MAXIFS(SAISIE!$C$5:$C$504,SAISIE!$B$5:$B$504,"*Vent D/G*",SAISIE!$F$5:$F$504,$G$353),INDEX(SAISIE!$C$5:$C$504,MATCH(_xlfn.MINIFS(SAISIE!$E$5:$E$504,SAISIE!$B$5:$B$504,"*Vent D/G*",SAISIE!$F$5:$F$504,$G$353),SAISIE!$E$5:$E$504,0))),"-"))</f>
        <v/>
      </c>
      <c r="C357" s="6" t="str">
        <f>IF($G$353="","",IFERROR(IF(_xlfn.MINIFS(SAISIE!$E$5:$E$504,SAISIE!$B$5:$B$504,"*Vent D/G*",SAISIE!$F$5:$F$504,$G$353)&gt;=0,INDEX(SAISIE!$D$5:$D$504,MATCH(_xlfn.MAXIFS(SAISIE!$C$5:$C$504,SAISIE!$B$5:$B$504,"*Vent D/G*",SAISIE!$F$5:$F$504,$G$353),SAISIE!$C$5:$C$504,0)),INDEX(SAISIE!$D$5:$D$504,MATCH(_xlfn.MINIFS(SAISIE!$E$5:$E$504,SAISIE!$B$5:$B$504,"*Vent D/G*",SAISIE!$F$5:$F$504,$G$353),SAISIE!$E$5:$E$504,0))),"-"))</f>
        <v/>
      </c>
      <c r="D357" s="6" t="str">
        <f>IF($G$353="","",IFERROR(IF(_xlfn.MINIFS(SAISIE!$E$5:$E$504,SAISIE!$B$5:$B$504,"*Vent D/G*",SAISIE!$F$5:$F$504,$G$353)&gt;=0,0,_xlfn.MINIFS(SAISIE!$E$5:$E$504,SAISIE!$B$5:$B$504,"*Vent D/G*",SAISIE!$F$5:$F$504,$G$353)),"-"))</f>
        <v/>
      </c>
      <c r="E357" s="6" t="s">
        <v>51</v>
      </c>
    </row>
    <row r="358" spans="1:7" x14ac:dyDescent="0.25">
      <c r="A358" s="5" t="s">
        <v>55</v>
      </c>
      <c r="B358" s="6" t="str">
        <f>IF($G$353="","",IFERROR(INDEX(SAISIE!$C$5:$C$504,MATCH(_xlfn.MAXIFS(SAISIE!$E$5:$E$504,SAISIE!$B$5:$B$504,"*Vent D/G*",SAISIE!$F$5:$F$504,$G$353),SAISIE!$E$5:$E$504,0)),"-"))</f>
        <v/>
      </c>
      <c r="C358" s="6" t="str">
        <f>IF($G$353="","",IFERROR(INDEX(SAISIE!$D$5:$D$504,MATCH(_xlfn.MAXIFS(SAISIE!$E$5:$E$504,SAISIE!$B$5:$B$504,"*Vent D/G*",SAISIE!$F$5:$F$504,$G$353),SAISIE!$E$5:$E$504,0)),"-"))</f>
        <v/>
      </c>
      <c r="D358" s="6" t="str">
        <f>IF($G$353="","",IFERROR(_xlfn.MAXIFS(SAISIE!$E$5:$E$504,SAISIE!$B$5:$B$504,"*Vent D/G*",SAISIE!$F$5:$F$504,$G$353),"-"))</f>
        <v/>
      </c>
      <c r="E358" s="6" t="s">
        <v>53</v>
      </c>
    </row>
    <row r="359" spans="1:7" x14ac:dyDescent="0.25">
      <c r="A359" s="5" t="s">
        <v>56</v>
      </c>
      <c r="B359" s="6" t="str">
        <f>IF($G$353="","",IFERROR(IF(_xlfn.MINIFS(SAISIE!$E$5:$E$504,SAISIE!$B$5:$B$504,"*Vent Av./Arr.*",SAISIE!$F$5:$F$504,$G$353)&gt;=0,_xlfn.MAXIFS(SAISIE!$C$5:$C$504,SAISIE!$B$5:$B$504,"*Vent Av./Arr.*",SAISIE!$F$5:$F$504,$G$353),INDEX(SAISIE!$C$5:$C$504,MATCH(_xlfn.MINIFS(SAISIE!$E$5:$E$504,SAISIE!$B$5:$B$504,"*Vent Av./Arr.*",SAISIE!$F$5:$F$504,$G$353),SAISIE!$E$5:$E$504,0))),"-"))</f>
        <v/>
      </c>
      <c r="C359" s="6" t="str">
        <f>IF($G$353="","",IFERROR(IF(_xlfn.MINIFS(SAISIE!$E$5:$E$504,SAISIE!$B$5:$B$504,"*Vent Av./Arr.*",SAISIE!$F$5:$F$504,$G$353)&gt;=0,INDEX(SAISIE!$D$5:$D$504,MATCH(_xlfn.MAXIFS(SAISIE!$C$5:$C$504,SAISIE!$B$5:$B$504,"*Vent Av./Arr.*",SAISIE!$F$5:$F$504,$G$353),SAISIE!$C$5:$C$504,0)),INDEX(SAISIE!$D$5:$D$504,MATCH(_xlfn.MINIFS(SAISIE!$E$5:$E$504,SAISIE!$B$5:$B$504,"*Vent Av./Arr.*",SAISIE!$F$5:$F$504,$G$353),SAISIE!$E$5:$E$504,0))),"-"))</f>
        <v/>
      </c>
      <c r="D359" s="6" t="str">
        <f>IF($G$353="","",IFERROR(IF(_xlfn.MINIFS(SAISIE!$E$5:$E$504,SAISIE!$B$5:$B$504,"*Vent Av./Arr.*",SAISIE!$F$5:$F$504,$G$353)&gt;=0,0,_xlfn.MINIFS(SAISIE!$E$5:$E$504,SAISIE!$B$5:$B$504,"*Vent Av./Arr.*",SAISIE!$F$5:$F$504,$G$353)),"-"))</f>
        <v/>
      </c>
      <c r="E359" s="6" t="s">
        <v>51</v>
      </c>
    </row>
    <row r="360" spans="1:7" x14ac:dyDescent="0.25">
      <c r="A360" s="5" t="s">
        <v>57</v>
      </c>
      <c r="B360" s="6" t="str">
        <f>IF($G$353="","",IFERROR(INDEX(SAISIE!$C$5:$C$504,MATCH(_xlfn.MAXIFS(SAISIE!$E$5:$E$504,SAISIE!$B$5:$B$504,"*Vent Av./Arr.*",SAISIE!$F$5:$F$504,$G$353),SAISIE!$E$5:$E$504,0)),"-"))</f>
        <v/>
      </c>
      <c r="C360" s="6" t="str">
        <f>IF($G$353="","",IFERROR(INDEX(SAISIE!$D$5:$D$504,MATCH(_xlfn.MAXIFS(SAISIE!$E$5:$E$504,SAISIE!$B$5:$B$504,"*Vent Av./Arr.*",SAISIE!$F$5:$F$504,$G$353),SAISIE!$E$5:$E$504,0)),"-"))</f>
        <v/>
      </c>
      <c r="D360" s="6" t="str">
        <f>IF($G$353="","",IFERROR(_xlfn.MAXIFS(SAISIE!$E$5:$E$504,SAISIE!$B$5:$B$504,"*Vent Av./Arr.*",SAISIE!$F$5:$F$504,$G$353),"-"))</f>
        <v/>
      </c>
      <c r="E360" s="6" t="s">
        <v>53</v>
      </c>
    </row>
    <row r="361" spans="1:7" x14ac:dyDescent="0.25">
      <c r="A361" s="5" t="s">
        <v>58</v>
      </c>
      <c r="B361" s="6" t="str">
        <f>IF($G$353="","",IFERROR(IF(_xlfn.MINIFS(SAISIE!$E$5:$E$504,SAISIE!$B$5:$B$504,"*Vent Arr./Av.*",SAISIE!$F$5:$F$504,$G$353)&gt;=0,_xlfn.MAXIFS(SAISIE!$C$5:$C$504,SAISIE!$B$5:$B$504,"*Vent Arr./Av.*",SAISIE!$F$5:$F$504,$G$353),INDEX(SAISIE!$C$5:$C$504,MATCH(_xlfn.MINIFS(SAISIE!$E$5:$E$504,SAISIE!$B$5:$B$504,"*Vent Arr./Av.*",SAISIE!$F$5:$F$504,$G$353),SAISIE!$E$5:$E$504,0))),"-"))</f>
        <v/>
      </c>
      <c r="C361" s="6" t="str">
        <f>IF($G$353="","",IFERROR(IF(_xlfn.MINIFS(SAISIE!$E$5:$E$504,SAISIE!$B$5:$B$504,"*Vent Arr./Av.*",SAISIE!$F$5:$F$504,$G$353)&gt;=0,INDEX(SAISIE!$D$5:$D$504,MATCH(_xlfn.MAXIFS(SAISIE!$C$5:$C$504,SAISIE!$B$5:$B$504,"*Vent Arr./Av.*",SAISIE!$F$5:$F$504,$G$353),SAISIE!$C$5:$C$504,0)),INDEX(SAISIE!$D$5:$D$504,MATCH(_xlfn.MINIFS(SAISIE!$E$5:$E$504,SAISIE!$B$5:$B$504,"*Vent Arr./Av.*",SAISIE!$F$5:$F$504,$G$353),SAISIE!$E$5:$E$504,0))),"-"))</f>
        <v/>
      </c>
      <c r="D361" s="6" t="str">
        <f>IF($G$353="","",IFERROR(IF(_xlfn.MINIFS(SAISIE!$E$5:$E$504,SAISIE!$B$5:$B$504,"*Vent Arr./Av.*",SAISIE!$F$5:$F$504,$G$353)&gt;=0,0,_xlfn.MINIFS(SAISIE!$E$5:$E$504,SAISIE!$B$5:$B$504,"*Vent Arr./Av.*",SAISIE!$F$5:$F$504,$G$353)),"-"))</f>
        <v/>
      </c>
      <c r="E361" s="6" t="s">
        <v>51</v>
      </c>
    </row>
    <row r="362" spans="1:7" x14ac:dyDescent="0.25">
      <c r="A362" s="5" t="s">
        <v>59</v>
      </c>
      <c r="B362" s="6" t="str">
        <f>IF($G$353="","",IFERROR(INDEX(SAISIE!$C$5:$C$504,MATCH(_xlfn.MAXIFS(SAISIE!$E$5:$E$504,SAISIE!$B$5:$B$504,"*Vent Arr./Av.*",SAISIE!$F$5:$F$504,$G$353),SAISIE!$E$5:$E$504,0)),"-"))</f>
        <v/>
      </c>
      <c r="C362" s="6" t="str">
        <f>IF($G$353="","",IFERROR(INDEX(SAISIE!$D$5:$D$504,MATCH(_xlfn.MAXIFS(SAISIE!$E$5:$E$504,SAISIE!$B$5:$B$504,"*Vent Arr./Av.*",SAISIE!$F$5:$F$504,$G$353),SAISIE!$E$5:$E$504,0)),"-"))</f>
        <v/>
      </c>
      <c r="D362" s="6" t="str">
        <f>IF($G$353="","",IFERROR(_xlfn.MAXIFS(SAISIE!$E$5:$E$504,SAISIE!$B$5:$B$504,"*Vent Arr./Av.*",SAISIE!$F$5:$F$504,$G$353),"-"))</f>
        <v/>
      </c>
      <c r="E362" s="6" t="s">
        <v>53</v>
      </c>
    </row>
    <row r="363" spans="1:7" x14ac:dyDescent="0.25">
      <c r="A363" s="5" t="s">
        <v>60</v>
      </c>
      <c r="B363" s="6" t="str">
        <f>IF($G$353="","",IFERROR(INDEX(SAISIE!$C$5:$C$504,MATCH(_xlfn.MINIFS(SAISIE!$E$5:$E$504,SAISIE!$B$5:$B$504,"*Neige*",SAISIE!$B$5:$B$504,"&lt;&gt;*accidentel*",SAISIE!$F$5:$F$504,$G$353),SAISIE!$E$5:$E$504,0)),"-"))</f>
        <v/>
      </c>
      <c r="C363" s="6" t="str">
        <f>IF($G$353="","",IFERROR(INDEX(SAISIE!$D$5:$D$504,MATCH(_xlfn.MINIFS(SAISIE!$E$5:$E$504,SAISIE!$B$5:$B$504,"*Neige*",SAISIE!$B$5:$B$504,"&lt;&gt;*accidentel*",SAISIE!$F$5:$F$504,$G$353),SAISIE!$E$5:$E$504,0)),"-"))</f>
        <v/>
      </c>
      <c r="D363" s="6" t="str">
        <f>IF($G$353="","",IFERROR(INDEX(SAISIE!$E$5:$E$504,MATCH(_xlfn.MINIFS(SAISIE!$E$5:$E$504,SAISIE!$B$5:$B$504,"*Neige*",SAISIE!$B$5:$B$504,"&lt;&gt;*accidentel*",SAISIE!$F$5:$F$504,$G$353),SAISIE!$E$5:$E$504,0)),"-"))</f>
        <v/>
      </c>
      <c r="E363" s="6"/>
    </row>
    <row r="364" spans="1:7" x14ac:dyDescent="0.25">
      <c r="A364" s="5" t="s">
        <v>61</v>
      </c>
      <c r="B364" s="6" t="str">
        <f>IF($G$353="","",IFERROR(LOOKUP(2,1/((SAISIE!$F$5:$F$504=$G$353)*(ISNUMBER(SEARCH("accidentel",SAISIE!$B$5:$B$504)))),SAISIE!$C$5:$C$504),"-"))</f>
        <v/>
      </c>
      <c r="C364" s="6" t="str">
        <f>IF($G$353="","",IFERROR(LOOKUP(2,1/((SAISIE!$F$5:$F$504=$G$353)*(ISNUMBER(SEARCH("accidentel",SAISIE!$B$5:$B$504)))),SAISIE!$D$5:$D$504),"-"))</f>
        <v/>
      </c>
      <c r="D364" s="6" t="str">
        <f>IF($G$353="","",IFERROR(LOOKUP(2,1/((SAISIE!$F$5:$F$504=$G$353)*(ISNUMBER(SEARCH("accidentel",SAISIE!$B$5:$B$504)))),SAISIE!$E$5:$E$504),"-"))</f>
        <v/>
      </c>
      <c r="E364" s="6"/>
    </row>
    <row r="365" spans="1:7" ht="15.75" x14ac:dyDescent="0.25">
      <c r="A365" s="9" t="str">
        <f>IF($G$365="","","Noeud "&amp;$G$365)</f>
        <v/>
      </c>
      <c r="B365" s="10"/>
      <c r="C365" s="10"/>
      <c r="D365" s="10"/>
      <c r="E365" s="10"/>
      <c r="G365" t="str">
        <f>IFERROR(INDEX(SAISIE!$F$5:$F$504,_xlfn.AGGREGATE(15,6,ROW(SAISIE!$F$5:$F$504)-ROW(SAISIE!$F$5)+1/(SAISIE!$F$5:$F$504&lt;&gt;"")/(COUNTIF($G$4:G364,SAISIE!$F$5:$F$504)=0),1)),"")</f>
        <v/>
      </c>
    </row>
    <row r="366" spans="1:7" x14ac:dyDescent="0.25">
      <c r="A366" s="5" t="s">
        <v>49</v>
      </c>
      <c r="B366" s="6" t="str">
        <f>IF($G$365="","",IFERROR(IFERROR(LOOKUP(2,1/((SAISIE!$F$5:$F$504=$G$365)*(LEFT(SAISIE!$B$5:$B$504,2)="G ")),SAISIE!$C$5:$C$504),LOOKUP(2,1/((SAISIE!$F$5:$F$504=$G$365)*(ISNUMBER(SEARCH("Couverture",SAISIE!$B$5:$B$504)))),SAISIE!$C$5:$C$504)),"-"))</f>
        <v/>
      </c>
      <c r="C366" s="6" t="str">
        <f>IF($G$365="","",IFERROR(IFERROR(LOOKUP(2,1/((SAISIE!$F$5:$F$504=$G$365)*(LEFT(SAISIE!$B$5:$B$504,2)="G ")),SAISIE!$D$5:$D$504),LOOKUP(2,1/((SAISIE!$F$5:$F$504=$G$365)*(ISNUMBER(SEARCH("Couverture",SAISIE!$B$5:$B$504)))),SAISIE!$D$5:$D$504)),"-"))</f>
        <v/>
      </c>
      <c r="D366" s="6" t="str">
        <f>IF($G$365="","",IFERROR(IFERROR(LOOKUP(2,1/((SAISIE!$F$5:$F$504=$G$365)*(LEFT(SAISIE!$B$5:$B$504,2)="G ")),SAISIE!$E$5:$E$504),LOOKUP(2,1/((SAISIE!$F$5:$F$504=$G$365)*(ISNUMBER(SEARCH("Couverture",SAISIE!$B$5:$B$504)))),SAISIE!$E$5:$E$504)),"-"))</f>
        <v/>
      </c>
      <c r="E366" s="6"/>
    </row>
    <row r="367" spans="1:7" x14ac:dyDescent="0.25">
      <c r="A367" s="5" t="s">
        <v>50</v>
      </c>
      <c r="B367" s="6" t="str">
        <f>IF($G$365="","",IFERROR(IF(_xlfn.MINIFS(SAISIE!$E$5:$E$504,SAISIE!$B$5:$B$504,"*Vent G/D*",SAISIE!$F$5:$F$504,$G$365)&gt;=0,_xlfn.MAXIFS(SAISIE!$C$5:$C$504,SAISIE!$B$5:$B$504,"*Vent G/D*",SAISIE!$F$5:$F$504,$G$365),INDEX(SAISIE!$C$5:$C$504,MATCH(_xlfn.MINIFS(SAISIE!$E$5:$E$504,SAISIE!$B$5:$B$504,"*Vent G/D*",SAISIE!$F$5:$F$504,$G$365),SAISIE!$E$5:$E$504,0))),"-"))</f>
        <v/>
      </c>
      <c r="C367" s="6" t="str">
        <f>IF($G$365="","",IFERROR(IF(_xlfn.MINIFS(SAISIE!$E$5:$E$504,SAISIE!$B$5:$B$504,"*Vent G/D*",SAISIE!$F$5:$F$504,$G$365)&gt;=0,INDEX(SAISIE!$D$5:$D$504,MATCH(_xlfn.MAXIFS(SAISIE!$C$5:$C$504,SAISIE!$B$5:$B$504,"*Vent G/D*",SAISIE!$F$5:$F$504,$G$365),SAISIE!$C$5:$C$504,0)),INDEX(SAISIE!$D$5:$D$504,MATCH(_xlfn.MINIFS(SAISIE!$E$5:$E$504,SAISIE!$B$5:$B$504,"*Vent G/D*",SAISIE!$F$5:$F$504,$G$365),SAISIE!$E$5:$E$504,0))),"-"))</f>
        <v/>
      </c>
      <c r="D367" s="6" t="str">
        <f>IF($G$365="","",IFERROR(IF(_xlfn.MINIFS(SAISIE!$E$5:$E$504,SAISIE!$B$5:$B$504,"*Vent G/D*",SAISIE!$F$5:$F$504,$G$365)&gt;=0,0,_xlfn.MINIFS(SAISIE!$E$5:$E$504,SAISIE!$B$5:$B$504,"*Vent G/D*",SAISIE!$F$5:$F$504,$G$365)),"-"))</f>
        <v/>
      </c>
      <c r="E367" s="6" t="s">
        <v>51</v>
      </c>
    </row>
    <row r="368" spans="1:7" x14ac:dyDescent="0.25">
      <c r="A368" s="5" t="s">
        <v>52</v>
      </c>
      <c r="B368" s="6" t="str">
        <f>IF($G$365="","",IFERROR(INDEX(SAISIE!$C$5:$C$504,MATCH(_xlfn.MAXIFS(SAISIE!$E$5:$E$504,SAISIE!$B$5:$B$504,"*Vent G/D*",SAISIE!$F$5:$F$504,$G$365),SAISIE!$E$5:$E$504,0)),"-"))</f>
        <v/>
      </c>
      <c r="C368" s="6" t="str">
        <f>IF($G$365="","",IFERROR(INDEX(SAISIE!$D$5:$D$504,MATCH(_xlfn.MAXIFS(SAISIE!$E$5:$E$504,SAISIE!$B$5:$B$504,"*Vent G/D*",SAISIE!$F$5:$F$504,$G$365),SAISIE!$E$5:$E$504,0)),"-"))</f>
        <v/>
      </c>
      <c r="D368" s="6" t="str">
        <f>IF($G$365="","",IFERROR(_xlfn.MAXIFS(SAISIE!$E$5:$E$504,SAISIE!$B$5:$B$504,"*Vent G/D*",SAISIE!$F$5:$F$504,$G$365),"-"))</f>
        <v/>
      </c>
      <c r="E368" s="6" t="s">
        <v>53</v>
      </c>
    </row>
    <row r="369" spans="1:7" x14ac:dyDescent="0.25">
      <c r="A369" s="5" t="s">
        <v>54</v>
      </c>
      <c r="B369" s="6" t="str">
        <f>IF($G$365="","",IFERROR(IF(_xlfn.MINIFS(SAISIE!$E$5:$E$504,SAISIE!$B$5:$B$504,"*Vent D/G*",SAISIE!$F$5:$F$504,$G$365)&gt;=0,_xlfn.MAXIFS(SAISIE!$C$5:$C$504,SAISIE!$B$5:$B$504,"*Vent D/G*",SAISIE!$F$5:$F$504,$G$365),INDEX(SAISIE!$C$5:$C$504,MATCH(_xlfn.MINIFS(SAISIE!$E$5:$E$504,SAISIE!$B$5:$B$504,"*Vent D/G*",SAISIE!$F$5:$F$504,$G$365),SAISIE!$E$5:$E$504,0))),"-"))</f>
        <v/>
      </c>
      <c r="C369" s="6" t="str">
        <f>IF($G$365="","",IFERROR(IF(_xlfn.MINIFS(SAISIE!$E$5:$E$504,SAISIE!$B$5:$B$504,"*Vent D/G*",SAISIE!$F$5:$F$504,$G$365)&gt;=0,INDEX(SAISIE!$D$5:$D$504,MATCH(_xlfn.MAXIFS(SAISIE!$C$5:$C$504,SAISIE!$B$5:$B$504,"*Vent D/G*",SAISIE!$F$5:$F$504,$G$365),SAISIE!$C$5:$C$504,0)),INDEX(SAISIE!$D$5:$D$504,MATCH(_xlfn.MINIFS(SAISIE!$E$5:$E$504,SAISIE!$B$5:$B$504,"*Vent D/G*",SAISIE!$F$5:$F$504,$G$365),SAISIE!$E$5:$E$504,0))),"-"))</f>
        <v/>
      </c>
      <c r="D369" s="6" t="str">
        <f>IF($G$365="","",IFERROR(IF(_xlfn.MINIFS(SAISIE!$E$5:$E$504,SAISIE!$B$5:$B$504,"*Vent D/G*",SAISIE!$F$5:$F$504,$G$365)&gt;=0,0,_xlfn.MINIFS(SAISIE!$E$5:$E$504,SAISIE!$B$5:$B$504,"*Vent D/G*",SAISIE!$F$5:$F$504,$G$365)),"-"))</f>
        <v/>
      </c>
      <c r="E369" s="6" t="s">
        <v>51</v>
      </c>
    </row>
    <row r="370" spans="1:7" x14ac:dyDescent="0.25">
      <c r="A370" s="5" t="s">
        <v>55</v>
      </c>
      <c r="B370" s="6" t="str">
        <f>IF($G$365="","",IFERROR(INDEX(SAISIE!$C$5:$C$504,MATCH(_xlfn.MAXIFS(SAISIE!$E$5:$E$504,SAISIE!$B$5:$B$504,"*Vent D/G*",SAISIE!$F$5:$F$504,$G$365),SAISIE!$E$5:$E$504,0)),"-"))</f>
        <v/>
      </c>
      <c r="C370" s="6" t="str">
        <f>IF($G$365="","",IFERROR(INDEX(SAISIE!$D$5:$D$504,MATCH(_xlfn.MAXIFS(SAISIE!$E$5:$E$504,SAISIE!$B$5:$B$504,"*Vent D/G*",SAISIE!$F$5:$F$504,$G$365),SAISIE!$E$5:$E$504,0)),"-"))</f>
        <v/>
      </c>
      <c r="D370" s="6" t="str">
        <f>IF($G$365="","",IFERROR(_xlfn.MAXIFS(SAISIE!$E$5:$E$504,SAISIE!$B$5:$B$504,"*Vent D/G*",SAISIE!$F$5:$F$504,$G$365),"-"))</f>
        <v/>
      </c>
      <c r="E370" s="6" t="s">
        <v>53</v>
      </c>
    </row>
    <row r="371" spans="1:7" x14ac:dyDescent="0.25">
      <c r="A371" s="5" t="s">
        <v>56</v>
      </c>
      <c r="B371" s="6" t="str">
        <f>IF($G$365="","",IFERROR(IF(_xlfn.MINIFS(SAISIE!$E$5:$E$504,SAISIE!$B$5:$B$504,"*Vent Av./Arr.*",SAISIE!$F$5:$F$504,$G$365)&gt;=0,_xlfn.MAXIFS(SAISIE!$C$5:$C$504,SAISIE!$B$5:$B$504,"*Vent Av./Arr.*",SAISIE!$F$5:$F$504,$G$365),INDEX(SAISIE!$C$5:$C$504,MATCH(_xlfn.MINIFS(SAISIE!$E$5:$E$504,SAISIE!$B$5:$B$504,"*Vent Av./Arr.*",SAISIE!$F$5:$F$504,$G$365),SAISIE!$E$5:$E$504,0))),"-"))</f>
        <v/>
      </c>
      <c r="C371" s="6" t="str">
        <f>IF($G$365="","",IFERROR(IF(_xlfn.MINIFS(SAISIE!$E$5:$E$504,SAISIE!$B$5:$B$504,"*Vent Av./Arr.*",SAISIE!$F$5:$F$504,$G$365)&gt;=0,INDEX(SAISIE!$D$5:$D$504,MATCH(_xlfn.MAXIFS(SAISIE!$C$5:$C$504,SAISIE!$B$5:$B$504,"*Vent Av./Arr.*",SAISIE!$F$5:$F$504,$G$365),SAISIE!$C$5:$C$504,0)),INDEX(SAISIE!$D$5:$D$504,MATCH(_xlfn.MINIFS(SAISIE!$E$5:$E$504,SAISIE!$B$5:$B$504,"*Vent Av./Arr.*",SAISIE!$F$5:$F$504,$G$365),SAISIE!$E$5:$E$504,0))),"-"))</f>
        <v/>
      </c>
      <c r="D371" s="6" t="str">
        <f>IF($G$365="","",IFERROR(IF(_xlfn.MINIFS(SAISIE!$E$5:$E$504,SAISIE!$B$5:$B$504,"*Vent Av./Arr.*",SAISIE!$F$5:$F$504,$G$365)&gt;=0,0,_xlfn.MINIFS(SAISIE!$E$5:$E$504,SAISIE!$B$5:$B$504,"*Vent Av./Arr.*",SAISIE!$F$5:$F$504,$G$365)),"-"))</f>
        <v/>
      </c>
      <c r="E371" s="6" t="s">
        <v>51</v>
      </c>
    </row>
    <row r="372" spans="1:7" x14ac:dyDescent="0.25">
      <c r="A372" s="5" t="s">
        <v>57</v>
      </c>
      <c r="B372" s="6" t="str">
        <f>IF($G$365="","",IFERROR(INDEX(SAISIE!$C$5:$C$504,MATCH(_xlfn.MAXIFS(SAISIE!$E$5:$E$504,SAISIE!$B$5:$B$504,"*Vent Av./Arr.*",SAISIE!$F$5:$F$504,$G$365),SAISIE!$E$5:$E$504,0)),"-"))</f>
        <v/>
      </c>
      <c r="C372" s="6" t="str">
        <f>IF($G$365="","",IFERROR(INDEX(SAISIE!$D$5:$D$504,MATCH(_xlfn.MAXIFS(SAISIE!$E$5:$E$504,SAISIE!$B$5:$B$504,"*Vent Av./Arr.*",SAISIE!$F$5:$F$504,$G$365),SAISIE!$E$5:$E$504,0)),"-"))</f>
        <v/>
      </c>
      <c r="D372" s="6" t="str">
        <f>IF($G$365="","",IFERROR(_xlfn.MAXIFS(SAISIE!$E$5:$E$504,SAISIE!$B$5:$B$504,"*Vent Av./Arr.*",SAISIE!$F$5:$F$504,$G$365),"-"))</f>
        <v/>
      </c>
      <c r="E372" s="6" t="s">
        <v>53</v>
      </c>
    </row>
    <row r="373" spans="1:7" x14ac:dyDescent="0.25">
      <c r="A373" s="5" t="s">
        <v>58</v>
      </c>
      <c r="B373" s="6" t="str">
        <f>IF($G$365="","",IFERROR(IF(_xlfn.MINIFS(SAISIE!$E$5:$E$504,SAISIE!$B$5:$B$504,"*Vent Arr./Av.*",SAISIE!$F$5:$F$504,$G$365)&gt;=0,_xlfn.MAXIFS(SAISIE!$C$5:$C$504,SAISIE!$B$5:$B$504,"*Vent Arr./Av.*",SAISIE!$F$5:$F$504,$G$365),INDEX(SAISIE!$C$5:$C$504,MATCH(_xlfn.MINIFS(SAISIE!$E$5:$E$504,SAISIE!$B$5:$B$504,"*Vent Arr./Av.*",SAISIE!$F$5:$F$504,$G$365),SAISIE!$E$5:$E$504,0))),"-"))</f>
        <v/>
      </c>
      <c r="C373" s="6" t="str">
        <f>IF($G$365="","",IFERROR(IF(_xlfn.MINIFS(SAISIE!$E$5:$E$504,SAISIE!$B$5:$B$504,"*Vent Arr./Av.*",SAISIE!$F$5:$F$504,$G$365)&gt;=0,INDEX(SAISIE!$D$5:$D$504,MATCH(_xlfn.MAXIFS(SAISIE!$C$5:$C$504,SAISIE!$B$5:$B$504,"*Vent Arr./Av.*",SAISIE!$F$5:$F$504,$G$365),SAISIE!$C$5:$C$504,0)),INDEX(SAISIE!$D$5:$D$504,MATCH(_xlfn.MINIFS(SAISIE!$E$5:$E$504,SAISIE!$B$5:$B$504,"*Vent Arr./Av.*",SAISIE!$F$5:$F$504,$G$365),SAISIE!$E$5:$E$504,0))),"-"))</f>
        <v/>
      </c>
      <c r="D373" s="6" t="str">
        <f>IF($G$365="","",IFERROR(IF(_xlfn.MINIFS(SAISIE!$E$5:$E$504,SAISIE!$B$5:$B$504,"*Vent Arr./Av.*",SAISIE!$F$5:$F$504,$G$365)&gt;=0,0,_xlfn.MINIFS(SAISIE!$E$5:$E$504,SAISIE!$B$5:$B$504,"*Vent Arr./Av.*",SAISIE!$F$5:$F$504,$G$365)),"-"))</f>
        <v/>
      </c>
      <c r="E373" s="6" t="s">
        <v>51</v>
      </c>
    </row>
    <row r="374" spans="1:7" x14ac:dyDescent="0.25">
      <c r="A374" s="5" t="s">
        <v>59</v>
      </c>
      <c r="B374" s="6" t="str">
        <f>IF($G$365="","",IFERROR(INDEX(SAISIE!$C$5:$C$504,MATCH(_xlfn.MAXIFS(SAISIE!$E$5:$E$504,SAISIE!$B$5:$B$504,"*Vent Arr./Av.*",SAISIE!$F$5:$F$504,$G$365),SAISIE!$E$5:$E$504,0)),"-"))</f>
        <v/>
      </c>
      <c r="C374" s="6" t="str">
        <f>IF($G$365="","",IFERROR(INDEX(SAISIE!$D$5:$D$504,MATCH(_xlfn.MAXIFS(SAISIE!$E$5:$E$504,SAISIE!$B$5:$B$504,"*Vent Arr./Av.*",SAISIE!$F$5:$F$504,$G$365),SAISIE!$E$5:$E$504,0)),"-"))</f>
        <v/>
      </c>
      <c r="D374" s="6" t="str">
        <f>IF($G$365="","",IFERROR(_xlfn.MAXIFS(SAISIE!$E$5:$E$504,SAISIE!$B$5:$B$504,"*Vent Arr./Av.*",SAISIE!$F$5:$F$504,$G$365),"-"))</f>
        <v/>
      </c>
      <c r="E374" s="6" t="s">
        <v>53</v>
      </c>
    </row>
    <row r="375" spans="1:7" x14ac:dyDescent="0.25">
      <c r="A375" s="5" t="s">
        <v>60</v>
      </c>
      <c r="B375" s="6" t="str">
        <f>IF($G$365="","",IFERROR(INDEX(SAISIE!$C$5:$C$504,MATCH(_xlfn.MINIFS(SAISIE!$E$5:$E$504,SAISIE!$B$5:$B$504,"*Neige*",SAISIE!$B$5:$B$504,"&lt;&gt;*accidentel*",SAISIE!$F$5:$F$504,$G$365),SAISIE!$E$5:$E$504,0)),"-"))</f>
        <v/>
      </c>
      <c r="C375" s="6" t="str">
        <f>IF($G$365="","",IFERROR(INDEX(SAISIE!$D$5:$D$504,MATCH(_xlfn.MINIFS(SAISIE!$E$5:$E$504,SAISIE!$B$5:$B$504,"*Neige*",SAISIE!$B$5:$B$504,"&lt;&gt;*accidentel*",SAISIE!$F$5:$F$504,$G$365),SAISIE!$E$5:$E$504,0)),"-"))</f>
        <v/>
      </c>
      <c r="D375" s="6" t="str">
        <f>IF($G$365="","",IFERROR(INDEX(SAISIE!$E$5:$E$504,MATCH(_xlfn.MINIFS(SAISIE!$E$5:$E$504,SAISIE!$B$5:$B$504,"*Neige*",SAISIE!$B$5:$B$504,"&lt;&gt;*accidentel*",SAISIE!$F$5:$F$504,$G$365),SAISIE!$E$5:$E$504,0)),"-"))</f>
        <v/>
      </c>
      <c r="E375" s="6"/>
    </row>
    <row r="376" spans="1:7" x14ac:dyDescent="0.25">
      <c r="A376" s="5" t="s">
        <v>61</v>
      </c>
      <c r="B376" s="6" t="str">
        <f>IF($G$365="","",IFERROR(LOOKUP(2,1/((SAISIE!$F$5:$F$504=$G$365)*(ISNUMBER(SEARCH("accidentel",SAISIE!$B$5:$B$504)))),SAISIE!$C$5:$C$504),"-"))</f>
        <v/>
      </c>
      <c r="C376" s="6" t="str">
        <f>IF($G$365="","",IFERROR(LOOKUP(2,1/((SAISIE!$F$5:$F$504=$G$365)*(ISNUMBER(SEARCH("accidentel",SAISIE!$B$5:$B$504)))),SAISIE!$D$5:$D$504),"-"))</f>
        <v/>
      </c>
      <c r="D376" s="6" t="str">
        <f>IF($G$365="","",IFERROR(LOOKUP(2,1/((SAISIE!$F$5:$F$504=$G$365)*(ISNUMBER(SEARCH("accidentel",SAISIE!$B$5:$B$504)))),SAISIE!$E$5:$E$504),"-"))</f>
        <v/>
      </c>
      <c r="E376" s="6"/>
    </row>
    <row r="377" spans="1:7" ht="15.75" x14ac:dyDescent="0.25">
      <c r="A377" s="9" t="str">
        <f>IF($G$377="","","Noeud "&amp;$G$377)</f>
        <v/>
      </c>
      <c r="B377" s="10"/>
      <c r="C377" s="10"/>
      <c r="D377" s="10"/>
      <c r="E377" s="10"/>
      <c r="G377" t="str">
        <f>IFERROR(INDEX(SAISIE!$F$5:$F$504,_xlfn.AGGREGATE(15,6,ROW(SAISIE!$F$5:$F$504)-ROW(SAISIE!$F$5)+1/(SAISIE!$F$5:$F$504&lt;&gt;"")/(COUNTIF($G$4:G376,SAISIE!$F$5:$F$504)=0),1)),"")</f>
        <v/>
      </c>
    </row>
    <row r="378" spans="1:7" x14ac:dyDescent="0.25">
      <c r="A378" s="5" t="s">
        <v>49</v>
      </c>
      <c r="B378" s="6" t="str">
        <f>IF($G$377="","",IFERROR(IFERROR(LOOKUP(2,1/((SAISIE!$F$5:$F$504=$G$377)*(LEFT(SAISIE!$B$5:$B$504,2)="G ")),SAISIE!$C$5:$C$504),LOOKUP(2,1/((SAISIE!$F$5:$F$504=$G$377)*(ISNUMBER(SEARCH("Couverture",SAISIE!$B$5:$B$504)))),SAISIE!$C$5:$C$504)),"-"))</f>
        <v/>
      </c>
      <c r="C378" s="6" t="str">
        <f>IF($G$377="","",IFERROR(IFERROR(LOOKUP(2,1/((SAISIE!$F$5:$F$504=$G$377)*(LEFT(SAISIE!$B$5:$B$504,2)="G ")),SAISIE!$D$5:$D$504),LOOKUP(2,1/((SAISIE!$F$5:$F$504=$G$377)*(ISNUMBER(SEARCH("Couverture",SAISIE!$B$5:$B$504)))),SAISIE!$D$5:$D$504)),"-"))</f>
        <v/>
      </c>
      <c r="D378" s="6" t="str">
        <f>IF($G$377="","",IFERROR(IFERROR(LOOKUP(2,1/((SAISIE!$F$5:$F$504=$G$377)*(LEFT(SAISIE!$B$5:$B$504,2)="G ")),SAISIE!$E$5:$E$504),LOOKUP(2,1/((SAISIE!$F$5:$F$504=$G$377)*(ISNUMBER(SEARCH("Couverture",SAISIE!$B$5:$B$504)))),SAISIE!$E$5:$E$504)),"-"))</f>
        <v/>
      </c>
      <c r="E378" s="6"/>
    </row>
    <row r="379" spans="1:7" x14ac:dyDescent="0.25">
      <c r="A379" s="5" t="s">
        <v>50</v>
      </c>
      <c r="B379" s="6" t="str">
        <f>IF($G$377="","",IFERROR(IF(_xlfn.MINIFS(SAISIE!$E$5:$E$504,SAISIE!$B$5:$B$504,"*Vent G/D*",SAISIE!$F$5:$F$504,$G$377)&gt;=0,_xlfn.MAXIFS(SAISIE!$C$5:$C$504,SAISIE!$B$5:$B$504,"*Vent G/D*",SAISIE!$F$5:$F$504,$G$377),INDEX(SAISIE!$C$5:$C$504,MATCH(_xlfn.MINIFS(SAISIE!$E$5:$E$504,SAISIE!$B$5:$B$504,"*Vent G/D*",SAISIE!$F$5:$F$504,$G$377),SAISIE!$E$5:$E$504,0))),"-"))</f>
        <v/>
      </c>
      <c r="C379" s="6" t="str">
        <f>IF($G$377="","",IFERROR(IF(_xlfn.MINIFS(SAISIE!$E$5:$E$504,SAISIE!$B$5:$B$504,"*Vent G/D*",SAISIE!$F$5:$F$504,$G$377)&gt;=0,INDEX(SAISIE!$D$5:$D$504,MATCH(_xlfn.MAXIFS(SAISIE!$C$5:$C$504,SAISIE!$B$5:$B$504,"*Vent G/D*",SAISIE!$F$5:$F$504,$G$377),SAISIE!$C$5:$C$504,0)),INDEX(SAISIE!$D$5:$D$504,MATCH(_xlfn.MINIFS(SAISIE!$E$5:$E$504,SAISIE!$B$5:$B$504,"*Vent G/D*",SAISIE!$F$5:$F$504,$G$377),SAISIE!$E$5:$E$504,0))),"-"))</f>
        <v/>
      </c>
      <c r="D379" s="6" t="str">
        <f>IF($G$377="","",IFERROR(IF(_xlfn.MINIFS(SAISIE!$E$5:$E$504,SAISIE!$B$5:$B$504,"*Vent G/D*",SAISIE!$F$5:$F$504,$G$377)&gt;=0,0,_xlfn.MINIFS(SAISIE!$E$5:$E$504,SAISIE!$B$5:$B$504,"*Vent G/D*",SAISIE!$F$5:$F$504,$G$377)),"-"))</f>
        <v/>
      </c>
      <c r="E379" s="6" t="s">
        <v>51</v>
      </c>
    </row>
    <row r="380" spans="1:7" x14ac:dyDescent="0.25">
      <c r="A380" s="5" t="s">
        <v>52</v>
      </c>
      <c r="B380" s="6" t="str">
        <f>IF($G$377="","",IFERROR(INDEX(SAISIE!$C$5:$C$504,MATCH(_xlfn.MAXIFS(SAISIE!$E$5:$E$504,SAISIE!$B$5:$B$504,"*Vent G/D*",SAISIE!$F$5:$F$504,$G$377),SAISIE!$E$5:$E$504,0)),"-"))</f>
        <v/>
      </c>
      <c r="C380" s="6" t="str">
        <f>IF($G$377="","",IFERROR(INDEX(SAISIE!$D$5:$D$504,MATCH(_xlfn.MAXIFS(SAISIE!$E$5:$E$504,SAISIE!$B$5:$B$504,"*Vent G/D*",SAISIE!$F$5:$F$504,$G$377),SAISIE!$E$5:$E$504,0)),"-"))</f>
        <v/>
      </c>
      <c r="D380" s="6" t="str">
        <f>IF($G$377="","",IFERROR(_xlfn.MAXIFS(SAISIE!$E$5:$E$504,SAISIE!$B$5:$B$504,"*Vent G/D*",SAISIE!$F$5:$F$504,$G$377),"-"))</f>
        <v/>
      </c>
      <c r="E380" s="6" t="s">
        <v>53</v>
      </c>
    </row>
    <row r="381" spans="1:7" x14ac:dyDescent="0.25">
      <c r="A381" s="5" t="s">
        <v>54</v>
      </c>
      <c r="B381" s="6" t="str">
        <f>IF($G$377="","",IFERROR(IF(_xlfn.MINIFS(SAISIE!$E$5:$E$504,SAISIE!$B$5:$B$504,"*Vent D/G*",SAISIE!$F$5:$F$504,$G$377)&gt;=0,_xlfn.MAXIFS(SAISIE!$C$5:$C$504,SAISIE!$B$5:$B$504,"*Vent D/G*",SAISIE!$F$5:$F$504,$G$377),INDEX(SAISIE!$C$5:$C$504,MATCH(_xlfn.MINIFS(SAISIE!$E$5:$E$504,SAISIE!$B$5:$B$504,"*Vent D/G*",SAISIE!$F$5:$F$504,$G$377),SAISIE!$E$5:$E$504,0))),"-"))</f>
        <v/>
      </c>
      <c r="C381" s="6" t="str">
        <f>IF($G$377="","",IFERROR(IF(_xlfn.MINIFS(SAISIE!$E$5:$E$504,SAISIE!$B$5:$B$504,"*Vent D/G*",SAISIE!$F$5:$F$504,$G$377)&gt;=0,INDEX(SAISIE!$D$5:$D$504,MATCH(_xlfn.MAXIFS(SAISIE!$C$5:$C$504,SAISIE!$B$5:$B$504,"*Vent D/G*",SAISIE!$F$5:$F$504,$G$377),SAISIE!$C$5:$C$504,0)),INDEX(SAISIE!$D$5:$D$504,MATCH(_xlfn.MINIFS(SAISIE!$E$5:$E$504,SAISIE!$B$5:$B$504,"*Vent D/G*",SAISIE!$F$5:$F$504,$G$377),SAISIE!$E$5:$E$504,0))),"-"))</f>
        <v/>
      </c>
      <c r="D381" s="6" t="str">
        <f>IF($G$377="","",IFERROR(IF(_xlfn.MINIFS(SAISIE!$E$5:$E$504,SAISIE!$B$5:$B$504,"*Vent D/G*",SAISIE!$F$5:$F$504,$G$377)&gt;=0,0,_xlfn.MINIFS(SAISIE!$E$5:$E$504,SAISIE!$B$5:$B$504,"*Vent D/G*",SAISIE!$F$5:$F$504,$G$377)),"-"))</f>
        <v/>
      </c>
      <c r="E381" s="6" t="s">
        <v>51</v>
      </c>
    </row>
    <row r="382" spans="1:7" x14ac:dyDescent="0.25">
      <c r="A382" s="5" t="s">
        <v>55</v>
      </c>
      <c r="B382" s="6" t="str">
        <f>IF($G$377="","",IFERROR(INDEX(SAISIE!$C$5:$C$504,MATCH(_xlfn.MAXIFS(SAISIE!$E$5:$E$504,SAISIE!$B$5:$B$504,"*Vent D/G*",SAISIE!$F$5:$F$504,$G$377),SAISIE!$E$5:$E$504,0)),"-"))</f>
        <v/>
      </c>
      <c r="C382" s="6" t="str">
        <f>IF($G$377="","",IFERROR(INDEX(SAISIE!$D$5:$D$504,MATCH(_xlfn.MAXIFS(SAISIE!$E$5:$E$504,SAISIE!$B$5:$B$504,"*Vent D/G*",SAISIE!$F$5:$F$504,$G$377),SAISIE!$E$5:$E$504,0)),"-"))</f>
        <v/>
      </c>
      <c r="D382" s="6" t="str">
        <f>IF($G$377="","",IFERROR(_xlfn.MAXIFS(SAISIE!$E$5:$E$504,SAISIE!$B$5:$B$504,"*Vent D/G*",SAISIE!$F$5:$F$504,$G$377),"-"))</f>
        <v/>
      </c>
      <c r="E382" s="6" t="s">
        <v>53</v>
      </c>
    </row>
    <row r="383" spans="1:7" x14ac:dyDescent="0.25">
      <c r="A383" s="5" t="s">
        <v>56</v>
      </c>
      <c r="B383" s="6" t="str">
        <f>IF($G$377="","",IFERROR(IF(_xlfn.MINIFS(SAISIE!$E$5:$E$504,SAISIE!$B$5:$B$504,"*Vent Av./Arr.*",SAISIE!$F$5:$F$504,$G$377)&gt;=0,_xlfn.MAXIFS(SAISIE!$C$5:$C$504,SAISIE!$B$5:$B$504,"*Vent Av./Arr.*",SAISIE!$F$5:$F$504,$G$377),INDEX(SAISIE!$C$5:$C$504,MATCH(_xlfn.MINIFS(SAISIE!$E$5:$E$504,SAISIE!$B$5:$B$504,"*Vent Av./Arr.*",SAISIE!$F$5:$F$504,$G$377),SAISIE!$E$5:$E$504,0))),"-"))</f>
        <v/>
      </c>
      <c r="C383" s="6" t="str">
        <f>IF($G$377="","",IFERROR(IF(_xlfn.MINIFS(SAISIE!$E$5:$E$504,SAISIE!$B$5:$B$504,"*Vent Av./Arr.*",SAISIE!$F$5:$F$504,$G$377)&gt;=0,INDEX(SAISIE!$D$5:$D$504,MATCH(_xlfn.MAXIFS(SAISIE!$C$5:$C$504,SAISIE!$B$5:$B$504,"*Vent Av./Arr.*",SAISIE!$F$5:$F$504,$G$377),SAISIE!$C$5:$C$504,0)),INDEX(SAISIE!$D$5:$D$504,MATCH(_xlfn.MINIFS(SAISIE!$E$5:$E$504,SAISIE!$B$5:$B$504,"*Vent Av./Arr.*",SAISIE!$F$5:$F$504,$G$377),SAISIE!$E$5:$E$504,0))),"-"))</f>
        <v/>
      </c>
      <c r="D383" s="6" t="str">
        <f>IF($G$377="","",IFERROR(IF(_xlfn.MINIFS(SAISIE!$E$5:$E$504,SAISIE!$B$5:$B$504,"*Vent Av./Arr.*",SAISIE!$F$5:$F$504,$G$377)&gt;=0,0,_xlfn.MINIFS(SAISIE!$E$5:$E$504,SAISIE!$B$5:$B$504,"*Vent Av./Arr.*",SAISIE!$F$5:$F$504,$G$377)),"-"))</f>
        <v/>
      </c>
      <c r="E383" s="6" t="s">
        <v>51</v>
      </c>
    </row>
    <row r="384" spans="1:7" x14ac:dyDescent="0.25">
      <c r="A384" s="5" t="s">
        <v>57</v>
      </c>
      <c r="B384" s="6" t="str">
        <f>IF($G$377="","",IFERROR(INDEX(SAISIE!$C$5:$C$504,MATCH(_xlfn.MAXIFS(SAISIE!$E$5:$E$504,SAISIE!$B$5:$B$504,"*Vent Av./Arr.*",SAISIE!$F$5:$F$504,$G$377),SAISIE!$E$5:$E$504,0)),"-"))</f>
        <v/>
      </c>
      <c r="C384" s="6" t="str">
        <f>IF($G$377="","",IFERROR(INDEX(SAISIE!$D$5:$D$504,MATCH(_xlfn.MAXIFS(SAISIE!$E$5:$E$504,SAISIE!$B$5:$B$504,"*Vent Av./Arr.*",SAISIE!$F$5:$F$504,$G$377),SAISIE!$E$5:$E$504,0)),"-"))</f>
        <v/>
      </c>
      <c r="D384" s="6" t="str">
        <f>IF($G$377="","",IFERROR(_xlfn.MAXIFS(SAISIE!$E$5:$E$504,SAISIE!$B$5:$B$504,"*Vent Av./Arr.*",SAISIE!$F$5:$F$504,$G$377),"-"))</f>
        <v/>
      </c>
      <c r="E384" s="6" t="s">
        <v>53</v>
      </c>
    </row>
    <row r="385" spans="1:7" x14ac:dyDescent="0.25">
      <c r="A385" s="5" t="s">
        <v>58</v>
      </c>
      <c r="B385" s="6" t="str">
        <f>IF($G$377="","",IFERROR(IF(_xlfn.MINIFS(SAISIE!$E$5:$E$504,SAISIE!$B$5:$B$504,"*Vent Arr./Av.*",SAISIE!$F$5:$F$504,$G$377)&gt;=0,_xlfn.MAXIFS(SAISIE!$C$5:$C$504,SAISIE!$B$5:$B$504,"*Vent Arr./Av.*",SAISIE!$F$5:$F$504,$G$377),INDEX(SAISIE!$C$5:$C$504,MATCH(_xlfn.MINIFS(SAISIE!$E$5:$E$504,SAISIE!$B$5:$B$504,"*Vent Arr./Av.*",SAISIE!$F$5:$F$504,$G$377),SAISIE!$E$5:$E$504,0))),"-"))</f>
        <v/>
      </c>
      <c r="C385" s="6" t="str">
        <f>IF($G$377="","",IFERROR(IF(_xlfn.MINIFS(SAISIE!$E$5:$E$504,SAISIE!$B$5:$B$504,"*Vent Arr./Av.*",SAISIE!$F$5:$F$504,$G$377)&gt;=0,INDEX(SAISIE!$D$5:$D$504,MATCH(_xlfn.MAXIFS(SAISIE!$C$5:$C$504,SAISIE!$B$5:$B$504,"*Vent Arr./Av.*",SAISIE!$F$5:$F$504,$G$377),SAISIE!$C$5:$C$504,0)),INDEX(SAISIE!$D$5:$D$504,MATCH(_xlfn.MINIFS(SAISIE!$E$5:$E$504,SAISIE!$B$5:$B$504,"*Vent Arr./Av.*",SAISIE!$F$5:$F$504,$G$377),SAISIE!$E$5:$E$504,0))),"-"))</f>
        <v/>
      </c>
      <c r="D385" s="6" t="str">
        <f>IF($G$377="","",IFERROR(IF(_xlfn.MINIFS(SAISIE!$E$5:$E$504,SAISIE!$B$5:$B$504,"*Vent Arr./Av.*",SAISIE!$F$5:$F$504,$G$377)&gt;=0,0,_xlfn.MINIFS(SAISIE!$E$5:$E$504,SAISIE!$B$5:$B$504,"*Vent Arr./Av.*",SAISIE!$F$5:$F$504,$G$377)),"-"))</f>
        <v/>
      </c>
      <c r="E385" s="6" t="s">
        <v>51</v>
      </c>
    </row>
    <row r="386" spans="1:7" x14ac:dyDescent="0.25">
      <c r="A386" s="5" t="s">
        <v>59</v>
      </c>
      <c r="B386" s="6" t="str">
        <f>IF($G$377="","",IFERROR(INDEX(SAISIE!$C$5:$C$504,MATCH(_xlfn.MAXIFS(SAISIE!$E$5:$E$504,SAISIE!$B$5:$B$504,"*Vent Arr./Av.*",SAISIE!$F$5:$F$504,$G$377),SAISIE!$E$5:$E$504,0)),"-"))</f>
        <v/>
      </c>
      <c r="C386" s="6" t="str">
        <f>IF($G$377="","",IFERROR(INDEX(SAISIE!$D$5:$D$504,MATCH(_xlfn.MAXIFS(SAISIE!$E$5:$E$504,SAISIE!$B$5:$B$504,"*Vent Arr./Av.*",SAISIE!$F$5:$F$504,$G$377),SAISIE!$E$5:$E$504,0)),"-"))</f>
        <v/>
      </c>
      <c r="D386" s="6" t="str">
        <f>IF($G$377="","",IFERROR(_xlfn.MAXIFS(SAISIE!$E$5:$E$504,SAISIE!$B$5:$B$504,"*Vent Arr./Av.*",SAISIE!$F$5:$F$504,$G$377),"-"))</f>
        <v/>
      </c>
      <c r="E386" s="6" t="s">
        <v>53</v>
      </c>
    </row>
    <row r="387" spans="1:7" x14ac:dyDescent="0.25">
      <c r="A387" s="5" t="s">
        <v>60</v>
      </c>
      <c r="B387" s="6" t="str">
        <f>IF($G$377="","",IFERROR(INDEX(SAISIE!$C$5:$C$504,MATCH(_xlfn.MINIFS(SAISIE!$E$5:$E$504,SAISIE!$B$5:$B$504,"*Neige*",SAISIE!$B$5:$B$504,"&lt;&gt;*accidentel*",SAISIE!$F$5:$F$504,$G$377),SAISIE!$E$5:$E$504,0)),"-"))</f>
        <v/>
      </c>
      <c r="C387" s="6" t="str">
        <f>IF($G$377="","",IFERROR(INDEX(SAISIE!$D$5:$D$504,MATCH(_xlfn.MINIFS(SAISIE!$E$5:$E$504,SAISIE!$B$5:$B$504,"*Neige*",SAISIE!$B$5:$B$504,"&lt;&gt;*accidentel*",SAISIE!$F$5:$F$504,$G$377),SAISIE!$E$5:$E$504,0)),"-"))</f>
        <v/>
      </c>
      <c r="D387" s="6" t="str">
        <f>IF($G$377="","",IFERROR(INDEX(SAISIE!$E$5:$E$504,MATCH(_xlfn.MINIFS(SAISIE!$E$5:$E$504,SAISIE!$B$5:$B$504,"*Neige*",SAISIE!$B$5:$B$504,"&lt;&gt;*accidentel*",SAISIE!$F$5:$F$504,$G$377),SAISIE!$E$5:$E$504,0)),"-"))</f>
        <v/>
      </c>
      <c r="E387" s="6"/>
    </row>
    <row r="388" spans="1:7" x14ac:dyDescent="0.25">
      <c r="A388" s="5" t="s">
        <v>61</v>
      </c>
      <c r="B388" s="6" t="str">
        <f>IF($G$377="","",IFERROR(LOOKUP(2,1/((SAISIE!$F$5:$F$504=$G$377)*(ISNUMBER(SEARCH("accidentel",SAISIE!$B$5:$B$504)))),SAISIE!$C$5:$C$504),"-"))</f>
        <v/>
      </c>
      <c r="C388" s="6" t="str">
        <f>IF($G$377="","",IFERROR(LOOKUP(2,1/((SAISIE!$F$5:$F$504=$G$377)*(ISNUMBER(SEARCH("accidentel",SAISIE!$B$5:$B$504)))),SAISIE!$D$5:$D$504),"-"))</f>
        <v/>
      </c>
      <c r="D388" s="6" t="str">
        <f>IF($G$377="","",IFERROR(LOOKUP(2,1/((SAISIE!$F$5:$F$504=$G$377)*(ISNUMBER(SEARCH("accidentel",SAISIE!$B$5:$B$504)))),SAISIE!$E$5:$E$504),"-"))</f>
        <v/>
      </c>
      <c r="E388" s="6"/>
    </row>
    <row r="389" spans="1:7" ht="15.75" x14ac:dyDescent="0.25">
      <c r="A389" s="9" t="str">
        <f>IF($G$389="","","Noeud "&amp;$G$389)</f>
        <v/>
      </c>
      <c r="B389" s="10"/>
      <c r="C389" s="10"/>
      <c r="D389" s="10"/>
      <c r="E389" s="10"/>
      <c r="G389" t="str">
        <f>IFERROR(INDEX(SAISIE!$F$5:$F$504,_xlfn.AGGREGATE(15,6,ROW(SAISIE!$F$5:$F$504)-ROW(SAISIE!$F$5)+1/(SAISIE!$F$5:$F$504&lt;&gt;"")/(COUNTIF($G$4:G388,SAISIE!$F$5:$F$504)=0),1)),"")</f>
        <v/>
      </c>
    </row>
    <row r="390" spans="1:7" x14ac:dyDescent="0.25">
      <c r="A390" s="5" t="s">
        <v>49</v>
      </c>
      <c r="B390" s="6" t="str">
        <f>IF($G$389="","",IFERROR(IFERROR(LOOKUP(2,1/((SAISIE!$F$5:$F$504=$G$389)*(LEFT(SAISIE!$B$5:$B$504,2)="G ")),SAISIE!$C$5:$C$504),LOOKUP(2,1/((SAISIE!$F$5:$F$504=$G$389)*(ISNUMBER(SEARCH("Couverture",SAISIE!$B$5:$B$504)))),SAISIE!$C$5:$C$504)),"-"))</f>
        <v/>
      </c>
      <c r="C390" s="6" t="str">
        <f>IF($G$389="","",IFERROR(IFERROR(LOOKUP(2,1/((SAISIE!$F$5:$F$504=$G$389)*(LEFT(SAISIE!$B$5:$B$504,2)="G ")),SAISIE!$D$5:$D$504),LOOKUP(2,1/((SAISIE!$F$5:$F$504=$G$389)*(ISNUMBER(SEARCH("Couverture",SAISIE!$B$5:$B$504)))),SAISIE!$D$5:$D$504)),"-"))</f>
        <v/>
      </c>
      <c r="D390" s="6" t="str">
        <f>IF($G$389="","",IFERROR(IFERROR(LOOKUP(2,1/((SAISIE!$F$5:$F$504=$G$389)*(LEFT(SAISIE!$B$5:$B$504,2)="G ")),SAISIE!$E$5:$E$504),LOOKUP(2,1/((SAISIE!$F$5:$F$504=$G$389)*(ISNUMBER(SEARCH("Couverture",SAISIE!$B$5:$B$504)))),SAISIE!$E$5:$E$504)),"-"))</f>
        <v/>
      </c>
      <c r="E390" s="6"/>
    </row>
    <row r="391" spans="1:7" x14ac:dyDescent="0.25">
      <c r="A391" s="5" t="s">
        <v>50</v>
      </c>
      <c r="B391" s="6" t="str">
        <f>IF($G$389="","",IFERROR(IF(_xlfn.MINIFS(SAISIE!$E$5:$E$504,SAISIE!$B$5:$B$504,"*Vent G/D*",SAISIE!$F$5:$F$504,$G$389)&gt;=0,_xlfn.MAXIFS(SAISIE!$C$5:$C$504,SAISIE!$B$5:$B$504,"*Vent G/D*",SAISIE!$F$5:$F$504,$G$389),INDEX(SAISIE!$C$5:$C$504,MATCH(_xlfn.MINIFS(SAISIE!$E$5:$E$504,SAISIE!$B$5:$B$504,"*Vent G/D*",SAISIE!$F$5:$F$504,$G$389),SAISIE!$E$5:$E$504,0))),"-"))</f>
        <v/>
      </c>
      <c r="C391" s="6" t="str">
        <f>IF($G$389="","",IFERROR(IF(_xlfn.MINIFS(SAISIE!$E$5:$E$504,SAISIE!$B$5:$B$504,"*Vent G/D*",SAISIE!$F$5:$F$504,$G$389)&gt;=0,INDEX(SAISIE!$D$5:$D$504,MATCH(_xlfn.MAXIFS(SAISIE!$C$5:$C$504,SAISIE!$B$5:$B$504,"*Vent G/D*",SAISIE!$F$5:$F$504,$G$389),SAISIE!$C$5:$C$504,0)),INDEX(SAISIE!$D$5:$D$504,MATCH(_xlfn.MINIFS(SAISIE!$E$5:$E$504,SAISIE!$B$5:$B$504,"*Vent G/D*",SAISIE!$F$5:$F$504,$G$389),SAISIE!$E$5:$E$504,0))),"-"))</f>
        <v/>
      </c>
      <c r="D391" s="6" t="str">
        <f>IF($G$389="","",IFERROR(IF(_xlfn.MINIFS(SAISIE!$E$5:$E$504,SAISIE!$B$5:$B$504,"*Vent G/D*",SAISIE!$F$5:$F$504,$G$389)&gt;=0,0,_xlfn.MINIFS(SAISIE!$E$5:$E$504,SAISIE!$B$5:$B$504,"*Vent G/D*",SAISIE!$F$5:$F$504,$G$389)),"-"))</f>
        <v/>
      </c>
      <c r="E391" s="6" t="s">
        <v>51</v>
      </c>
    </row>
    <row r="392" spans="1:7" x14ac:dyDescent="0.25">
      <c r="A392" s="5" t="s">
        <v>52</v>
      </c>
      <c r="B392" s="6" t="str">
        <f>IF($G$389="","",IFERROR(INDEX(SAISIE!$C$5:$C$504,MATCH(_xlfn.MAXIFS(SAISIE!$E$5:$E$504,SAISIE!$B$5:$B$504,"*Vent G/D*",SAISIE!$F$5:$F$504,$G$389),SAISIE!$E$5:$E$504,0)),"-"))</f>
        <v/>
      </c>
      <c r="C392" s="6" t="str">
        <f>IF($G$389="","",IFERROR(INDEX(SAISIE!$D$5:$D$504,MATCH(_xlfn.MAXIFS(SAISIE!$E$5:$E$504,SAISIE!$B$5:$B$504,"*Vent G/D*",SAISIE!$F$5:$F$504,$G$389),SAISIE!$E$5:$E$504,0)),"-"))</f>
        <v/>
      </c>
      <c r="D392" s="6" t="str">
        <f>IF($G$389="","",IFERROR(_xlfn.MAXIFS(SAISIE!$E$5:$E$504,SAISIE!$B$5:$B$504,"*Vent G/D*",SAISIE!$F$5:$F$504,$G$389),"-"))</f>
        <v/>
      </c>
      <c r="E392" s="6" t="s">
        <v>53</v>
      </c>
    </row>
    <row r="393" spans="1:7" x14ac:dyDescent="0.25">
      <c r="A393" s="5" t="s">
        <v>54</v>
      </c>
      <c r="B393" s="6" t="str">
        <f>IF($G$389="","",IFERROR(IF(_xlfn.MINIFS(SAISIE!$E$5:$E$504,SAISIE!$B$5:$B$504,"*Vent D/G*",SAISIE!$F$5:$F$504,$G$389)&gt;=0,_xlfn.MAXIFS(SAISIE!$C$5:$C$504,SAISIE!$B$5:$B$504,"*Vent D/G*",SAISIE!$F$5:$F$504,$G$389),INDEX(SAISIE!$C$5:$C$504,MATCH(_xlfn.MINIFS(SAISIE!$E$5:$E$504,SAISIE!$B$5:$B$504,"*Vent D/G*",SAISIE!$F$5:$F$504,$G$389),SAISIE!$E$5:$E$504,0))),"-"))</f>
        <v/>
      </c>
      <c r="C393" s="6" t="str">
        <f>IF($G$389="","",IFERROR(IF(_xlfn.MINIFS(SAISIE!$E$5:$E$504,SAISIE!$B$5:$B$504,"*Vent D/G*",SAISIE!$F$5:$F$504,$G$389)&gt;=0,INDEX(SAISIE!$D$5:$D$504,MATCH(_xlfn.MAXIFS(SAISIE!$C$5:$C$504,SAISIE!$B$5:$B$504,"*Vent D/G*",SAISIE!$F$5:$F$504,$G$389),SAISIE!$C$5:$C$504,0)),INDEX(SAISIE!$D$5:$D$504,MATCH(_xlfn.MINIFS(SAISIE!$E$5:$E$504,SAISIE!$B$5:$B$504,"*Vent D/G*",SAISIE!$F$5:$F$504,$G$389),SAISIE!$E$5:$E$504,0))),"-"))</f>
        <v/>
      </c>
      <c r="D393" s="6" t="str">
        <f>IF($G$389="","",IFERROR(IF(_xlfn.MINIFS(SAISIE!$E$5:$E$504,SAISIE!$B$5:$B$504,"*Vent D/G*",SAISIE!$F$5:$F$504,$G$389)&gt;=0,0,_xlfn.MINIFS(SAISIE!$E$5:$E$504,SAISIE!$B$5:$B$504,"*Vent D/G*",SAISIE!$F$5:$F$504,$G$389)),"-"))</f>
        <v/>
      </c>
      <c r="E393" s="6" t="s">
        <v>51</v>
      </c>
    </row>
    <row r="394" spans="1:7" x14ac:dyDescent="0.25">
      <c r="A394" s="5" t="s">
        <v>55</v>
      </c>
      <c r="B394" s="6" t="str">
        <f>IF($G$389="","",IFERROR(INDEX(SAISIE!$C$5:$C$504,MATCH(_xlfn.MAXIFS(SAISIE!$E$5:$E$504,SAISIE!$B$5:$B$504,"*Vent D/G*",SAISIE!$F$5:$F$504,$G$389),SAISIE!$E$5:$E$504,0)),"-"))</f>
        <v/>
      </c>
      <c r="C394" s="6" t="str">
        <f>IF($G$389="","",IFERROR(INDEX(SAISIE!$D$5:$D$504,MATCH(_xlfn.MAXIFS(SAISIE!$E$5:$E$504,SAISIE!$B$5:$B$504,"*Vent D/G*",SAISIE!$F$5:$F$504,$G$389),SAISIE!$E$5:$E$504,0)),"-"))</f>
        <v/>
      </c>
      <c r="D394" s="6" t="str">
        <f>IF($G$389="","",IFERROR(_xlfn.MAXIFS(SAISIE!$E$5:$E$504,SAISIE!$B$5:$B$504,"*Vent D/G*",SAISIE!$F$5:$F$504,$G$389),"-"))</f>
        <v/>
      </c>
      <c r="E394" s="6" t="s">
        <v>53</v>
      </c>
    </row>
    <row r="395" spans="1:7" x14ac:dyDescent="0.25">
      <c r="A395" s="5" t="s">
        <v>56</v>
      </c>
      <c r="B395" s="6" t="str">
        <f>IF($G$389="","",IFERROR(IF(_xlfn.MINIFS(SAISIE!$E$5:$E$504,SAISIE!$B$5:$B$504,"*Vent Av./Arr.*",SAISIE!$F$5:$F$504,$G$389)&gt;=0,_xlfn.MAXIFS(SAISIE!$C$5:$C$504,SAISIE!$B$5:$B$504,"*Vent Av./Arr.*",SAISIE!$F$5:$F$504,$G$389),INDEX(SAISIE!$C$5:$C$504,MATCH(_xlfn.MINIFS(SAISIE!$E$5:$E$504,SAISIE!$B$5:$B$504,"*Vent Av./Arr.*",SAISIE!$F$5:$F$504,$G$389),SAISIE!$E$5:$E$504,0))),"-"))</f>
        <v/>
      </c>
      <c r="C395" s="6" t="str">
        <f>IF($G$389="","",IFERROR(IF(_xlfn.MINIFS(SAISIE!$E$5:$E$504,SAISIE!$B$5:$B$504,"*Vent Av./Arr.*",SAISIE!$F$5:$F$504,$G$389)&gt;=0,INDEX(SAISIE!$D$5:$D$504,MATCH(_xlfn.MAXIFS(SAISIE!$C$5:$C$504,SAISIE!$B$5:$B$504,"*Vent Av./Arr.*",SAISIE!$F$5:$F$504,$G$389),SAISIE!$C$5:$C$504,0)),INDEX(SAISIE!$D$5:$D$504,MATCH(_xlfn.MINIFS(SAISIE!$E$5:$E$504,SAISIE!$B$5:$B$504,"*Vent Av./Arr.*",SAISIE!$F$5:$F$504,$G$389),SAISIE!$E$5:$E$504,0))),"-"))</f>
        <v/>
      </c>
      <c r="D395" s="6" t="str">
        <f>IF($G$389="","",IFERROR(IF(_xlfn.MINIFS(SAISIE!$E$5:$E$504,SAISIE!$B$5:$B$504,"*Vent Av./Arr.*",SAISIE!$F$5:$F$504,$G$389)&gt;=0,0,_xlfn.MINIFS(SAISIE!$E$5:$E$504,SAISIE!$B$5:$B$504,"*Vent Av./Arr.*",SAISIE!$F$5:$F$504,$G$389)),"-"))</f>
        <v/>
      </c>
      <c r="E395" s="6" t="s">
        <v>51</v>
      </c>
    </row>
    <row r="396" spans="1:7" x14ac:dyDescent="0.25">
      <c r="A396" s="5" t="s">
        <v>57</v>
      </c>
      <c r="B396" s="6" t="str">
        <f>IF($G$389="","",IFERROR(INDEX(SAISIE!$C$5:$C$504,MATCH(_xlfn.MAXIFS(SAISIE!$E$5:$E$504,SAISIE!$B$5:$B$504,"*Vent Av./Arr.*",SAISIE!$F$5:$F$504,$G$389),SAISIE!$E$5:$E$504,0)),"-"))</f>
        <v/>
      </c>
      <c r="C396" s="6" t="str">
        <f>IF($G$389="","",IFERROR(INDEX(SAISIE!$D$5:$D$504,MATCH(_xlfn.MAXIFS(SAISIE!$E$5:$E$504,SAISIE!$B$5:$B$504,"*Vent Av./Arr.*",SAISIE!$F$5:$F$504,$G$389),SAISIE!$E$5:$E$504,0)),"-"))</f>
        <v/>
      </c>
      <c r="D396" s="6" t="str">
        <f>IF($G$389="","",IFERROR(_xlfn.MAXIFS(SAISIE!$E$5:$E$504,SAISIE!$B$5:$B$504,"*Vent Av./Arr.*",SAISIE!$F$5:$F$504,$G$389),"-"))</f>
        <v/>
      </c>
      <c r="E396" s="6" t="s">
        <v>53</v>
      </c>
    </row>
    <row r="397" spans="1:7" x14ac:dyDescent="0.25">
      <c r="A397" s="5" t="s">
        <v>58</v>
      </c>
      <c r="B397" s="6" t="str">
        <f>IF($G$389="","",IFERROR(IF(_xlfn.MINIFS(SAISIE!$E$5:$E$504,SAISIE!$B$5:$B$504,"*Vent Arr./Av.*",SAISIE!$F$5:$F$504,$G$389)&gt;=0,_xlfn.MAXIFS(SAISIE!$C$5:$C$504,SAISIE!$B$5:$B$504,"*Vent Arr./Av.*",SAISIE!$F$5:$F$504,$G$389),INDEX(SAISIE!$C$5:$C$504,MATCH(_xlfn.MINIFS(SAISIE!$E$5:$E$504,SAISIE!$B$5:$B$504,"*Vent Arr./Av.*",SAISIE!$F$5:$F$504,$G$389),SAISIE!$E$5:$E$504,0))),"-"))</f>
        <v/>
      </c>
      <c r="C397" s="6" t="str">
        <f>IF($G$389="","",IFERROR(IF(_xlfn.MINIFS(SAISIE!$E$5:$E$504,SAISIE!$B$5:$B$504,"*Vent Arr./Av.*",SAISIE!$F$5:$F$504,$G$389)&gt;=0,INDEX(SAISIE!$D$5:$D$504,MATCH(_xlfn.MAXIFS(SAISIE!$C$5:$C$504,SAISIE!$B$5:$B$504,"*Vent Arr./Av.*",SAISIE!$F$5:$F$504,$G$389),SAISIE!$C$5:$C$504,0)),INDEX(SAISIE!$D$5:$D$504,MATCH(_xlfn.MINIFS(SAISIE!$E$5:$E$504,SAISIE!$B$5:$B$504,"*Vent Arr./Av.*",SAISIE!$F$5:$F$504,$G$389),SAISIE!$E$5:$E$504,0))),"-"))</f>
        <v/>
      </c>
      <c r="D397" s="6" t="str">
        <f>IF($G$389="","",IFERROR(IF(_xlfn.MINIFS(SAISIE!$E$5:$E$504,SAISIE!$B$5:$B$504,"*Vent Arr./Av.*",SAISIE!$F$5:$F$504,$G$389)&gt;=0,0,_xlfn.MINIFS(SAISIE!$E$5:$E$504,SAISIE!$B$5:$B$504,"*Vent Arr./Av.*",SAISIE!$F$5:$F$504,$G$389)),"-"))</f>
        <v/>
      </c>
      <c r="E397" s="6" t="s">
        <v>51</v>
      </c>
    </row>
    <row r="398" spans="1:7" x14ac:dyDescent="0.25">
      <c r="A398" s="5" t="s">
        <v>59</v>
      </c>
      <c r="B398" s="6" t="str">
        <f>IF($G$389="","",IFERROR(INDEX(SAISIE!$C$5:$C$504,MATCH(_xlfn.MAXIFS(SAISIE!$E$5:$E$504,SAISIE!$B$5:$B$504,"*Vent Arr./Av.*",SAISIE!$F$5:$F$504,$G$389),SAISIE!$E$5:$E$504,0)),"-"))</f>
        <v/>
      </c>
      <c r="C398" s="6" t="str">
        <f>IF($G$389="","",IFERROR(INDEX(SAISIE!$D$5:$D$504,MATCH(_xlfn.MAXIFS(SAISIE!$E$5:$E$504,SAISIE!$B$5:$B$504,"*Vent Arr./Av.*",SAISIE!$F$5:$F$504,$G$389),SAISIE!$E$5:$E$504,0)),"-"))</f>
        <v/>
      </c>
      <c r="D398" s="6" t="str">
        <f>IF($G$389="","",IFERROR(_xlfn.MAXIFS(SAISIE!$E$5:$E$504,SAISIE!$B$5:$B$504,"*Vent Arr./Av.*",SAISIE!$F$5:$F$504,$G$389),"-"))</f>
        <v/>
      </c>
      <c r="E398" s="6" t="s">
        <v>53</v>
      </c>
    </row>
    <row r="399" spans="1:7" x14ac:dyDescent="0.25">
      <c r="A399" s="5" t="s">
        <v>60</v>
      </c>
      <c r="B399" s="6" t="str">
        <f>IF($G$389="","",IFERROR(INDEX(SAISIE!$C$5:$C$504,MATCH(_xlfn.MINIFS(SAISIE!$E$5:$E$504,SAISIE!$B$5:$B$504,"*Neige*",SAISIE!$B$5:$B$504,"&lt;&gt;*accidentel*",SAISIE!$F$5:$F$504,$G$389),SAISIE!$E$5:$E$504,0)),"-"))</f>
        <v/>
      </c>
      <c r="C399" s="6" t="str">
        <f>IF($G$389="","",IFERROR(INDEX(SAISIE!$D$5:$D$504,MATCH(_xlfn.MINIFS(SAISIE!$E$5:$E$504,SAISIE!$B$5:$B$504,"*Neige*",SAISIE!$B$5:$B$504,"&lt;&gt;*accidentel*",SAISIE!$F$5:$F$504,$G$389),SAISIE!$E$5:$E$504,0)),"-"))</f>
        <v/>
      </c>
      <c r="D399" s="6" t="str">
        <f>IF($G$389="","",IFERROR(INDEX(SAISIE!$E$5:$E$504,MATCH(_xlfn.MINIFS(SAISIE!$E$5:$E$504,SAISIE!$B$5:$B$504,"*Neige*",SAISIE!$B$5:$B$504,"&lt;&gt;*accidentel*",SAISIE!$F$5:$F$504,$G$389),SAISIE!$E$5:$E$504,0)),"-"))</f>
        <v/>
      </c>
      <c r="E399" s="6"/>
    </row>
    <row r="400" spans="1:7" x14ac:dyDescent="0.25">
      <c r="A400" s="5" t="s">
        <v>61</v>
      </c>
      <c r="B400" s="6" t="str">
        <f>IF($G$389="","",IFERROR(LOOKUP(2,1/((SAISIE!$F$5:$F$504=$G$389)*(ISNUMBER(SEARCH("accidentel",SAISIE!$B$5:$B$504)))),SAISIE!$C$5:$C$504),"-"))</f>
        <v/>
      </c>
      <c r="C400" s="6" t="str">
        <f>IF($G$389="","",IFERROR(LOOKUP(2,1/((SAISIE!$F$5:$F$504=$G$389)*(ISNUMBER(SEARCH("accidentel",SAISIE!$B$5:$B$504)))),SAISIE!$D$5:$D$504),"-"))</f>
        <v/>
      </c>
      <c r="D400" s="6" t="str">
        <f>IF($G$389="","",IFERROR(LOOKUP(2,1/((SAISIE!$F$5:$F$504=$G$389)*(ISNUMBER(SEARCH("accidentel",SAISIE!$B$5:$B$504)))),SAISIE!$E$5:$E$504),"-"))</f>
        <v/>
      </c>
      <c r="E400" s="6"/>
    </row>
    <row r="401" spans="1:7" ht="15.75" x14ac:dyDescent="0.25">
      <c r="A401" s="9" t="str">
        <f>IF($G$401="","","Noeud "&amp;$G$401)</f>
        <v/>
      </c>
      <c r="B401" s="10"/>
      <c r="C401" s="10"/>
      <c r="D401" s="10"/>
      <c r="E401" s="10"/>
      <c r="G401" t="str">
        <f>IFERROR(INDEX(SAISIE!$F$5:$F$504,_xlfn.AGGREGATE(15,6,ROW(SAISIE!$F$5:$F$504)-ROW(SAISIE!$F$5)+1/(SAISIE!$F$5:$F$504&lt;&gt;"")/(COUNTIF($G$4:G400,SAISIE!$F$5:$F$504)=0),1)),"")</f>
        <v/>
      </c>
    </row>
    <row r="402" spans="1:7" x14ac:dyDescent="0.25">
      <c r="A402" s="5" t="s">
        <v>49</v>
      </c>
      <c r="B402" s="6" t="str">
        <f>IF($G$401="","",IFERROR(IFERROR(LOOKUP(2,1/((SAISIE!$F$5:$F$504=$G$401)*(LEFT(SAISIE!$B$5:$B$504,2)="G ")),SAISIE!$C$5:$C$504),LOOKUP(2,1/((SAISIE!$F$5:$F$504=$G$401)*(ISNUMBER(SEARCH("Couverture",SAISIE!$B$5:$B$504)))),SAISIE!$C$5:$C$504)),"-"))</f>
        <v/>
      </c>
      <c r="C402" s="6" t="str">
        <f>IF($G$401="","",IFERROR(IFERROR(LOOKUP(2,1/((SAISIE!$F$5:$F$504=$G$401)*(LEFT(SAISIE!$B$5:$B$504,2)="G ")),SAISIE!$D$5:$D$504),LOOKUP(2,1/((SAISIE!$F$5:$F$504=$G$401)*(ISNUMBER(SEARCH("Couverture",SAISIE!$B$5:$B$504)))),SAISIE!$D$5:$D$504)),"-"))</f>
        <v/>
      </c>
      <c r="D402" s="6" t="str">
        <f>IF($G$401="","",IFERROR(IFERROR(LOOKUP(2,1/((SAISIE!$F$5:$F$504=$G$401)*(LEFT(SAISIE!$B$5:$B$504,2)="G ")),SAISIE!$E$5:$E$504),LOOKUP(2,1/((SAISIE!$F$5:$F$504=$G$401)*(ISNUMBER(SEARCH("Couverture",SAISIE!$B$5:$B$504)))),SAISIE!$E$5:$E$504)),"-"))</f>
        <v/>
      </c>
      <c r="E402" s="6"/>
    </row>
    <row r="403" spans="1:7" x14ac:dyDescent="0.25">
      <c r="A403" s="5" t="s">
        <v>50</v>
      </c>
      <c r="B403" s="6" t="str">
        <f>IF($G$401="","",IFERROR(IF(_xlfn.MINIFS(SAISIE!$E$5:$E$504,SAISIE!$B$5:$B$504,"*Vent G/D*",SAISIE!$F$5:$F$504,$G$401)&gt;=0,_xlfn.MAXIFS(SAISIE!$C$5:$C$504,SAISIE!$B$5:$B$504,"*Vent G/D*",SAISIE!$F$5:$F$504,$G$401),INDEX(SAISIE!$C$5:$C$504,MATCH(_xlfn.MINIFS(SAISIE!$E$5:$E$504,SAISIE!$B$5:$B$504,"*Vent G/D*",SAISIE!$F$5:$F$504,$G$401),SAISIE!$E$5:$E$504,0))),"-"))</f>
        <v/>
      </c>
      <c r="C403" s="6" t="str">
        <f>IF($G$401="","",IFERROR(IF(_xlfn.MINIFS(SAISIE!$E$5:$E$504,SAISIE!$B$5:$B$504,"*Vent G/D*",SAISIE!$F$5:$F$504,$G$401)&gt;=0,INDEX(SAISIE!$D$5:$D$504,MATCH(_xlfn.MAXIFS(SAISIE!$C$5:$C$504,SAISIE!$B$5:$B$504,"*Vent G/D*",SAISIE!$F$5:$F$504,$G$401),SAISIE!$C$5:$C$504,0)),INDEX(SAISIE!$D$5:$D$504,MATCH(_xlfn.MINIFS(SAISIE!$E$5:$E$504,SAISIE!$B$5:$B$504,"*Vent G/D*",SAISIE!$F$5:$F$504,$G$401),SAISIE!$E$5:$E$504,0))),"-"))</f>
        <v/>
      </c>
      <c r="D403" s="6" t="str">
        <f>IF($G$401="","",IFERROR(IF(_xlfn.MINIFS(SAISIE!$E$5:$E$504,SAISIE!$B$5:$B$504,"*Vent G/D*",SAISIE!$F$5:$F$504,$G$401)&gt;=0,0,_xlfn.MINIFS(SAISIE!$E$5:$E$504,SAISIE!$B$5:$B$504,"*Vent G/D*",SAISIE!$F$5:$F$504,$G$401)),"-"))</f>
        <v/>
      </c>
      <c r="E403" s="6" t="s">
        <v>51</v>
      </c>
    </row>
    <row r="404" spans="1:7" x14ac:dyDescent="0.25">
      <c r="A404" s="5" t="s">
        <v>52</v>
      </c>
      <c r="B404" s="6" t="str">
        <f>IF($G$401="","",IFERROR(INDEX(SAISIE!$C$5:$C$504,MATCH(_xlfn.MAXIFS(SAISIE!$E$5:$E$504,SAISIE!$B$5:$B$504,"*Vent G/D*",SAISIE!$F$5:$F$504,$G$401),SAISIE!$E$5:$E$504,0)),"-"))</f>
        <v/>
      </c>
      <c r="C404" s="6" t="str">
        <f>IF($G$401="","",IFERROR(INDEX(SAISIE!$D$5:$D$504,MATCH(_xlfn.MAXIFS(SAISIE!$E$5:$E$504,SAISIE!$B$5:$B$504,"*Vent G/D*",SAISIE!$F$5:$F$504,$G$401),SAISIE!$E$5:$E$504,0)),"-"))</f>
        <v/>
      </c>
      <c r="D404" s="6" t="str">
        <f>IF($G$401="","",IFERROR(_xlfn.MAXIFS(SAISIE!$E$5:$E$504,SAISIE!$B$5:$B$504,"*Vent G/D*",SAISIE!$F$5:$F$504,$G$401),"-"))</f>
        <v/>
      </c>
      <c r="E404" s="6" t="s">
        <v>53</v>
      </c>
    </row>
    <row r="405" spans="1:7" x14ac:dyDescent="0.25">
      <c r="A405" s="5" t="s">
        <v>54</v>
      </c>
      <c r="B405" s="6" t="str">
        <f>IF($G$401="","",IFERROR(IF(_xlfn.MINIFS(SAISIE!$E$5:$E$504,SAISIE!$B$5:$B$504,"*Vent D/G*",SAISIE!$F$5:$F$504,$G$401)&gt;=0,_xlfn.MAXIFS(SAISIE!$C$5:$C$504,SAISIE!$B$5:$B$504,"*Vent D/G*",SAISIE!$F$5:$F$504,$G$401),INDEX(SAISIE!$C$5:$C$504,MATCH(_xlfn.MINIFS(SAISIE!$E$5:$E$504,SAISIE!$B$5:$B$504,"*Vent D/G*",SAISIE!$F$5:$F$504,$G$401),SAISIE!$E$5:$E$504,0))),"-"))</f>
        <v/>
      </c>
      <c r="C405" s="6" t="str">
        <f>IF($G$401="","",IFERROR(IF(_xlfn.MINIFS(SAISIE!$E$5:$E$504,SAISIE!$B$5:$B$504,"*Vent D/G*",SAISIE!$F$5:$F$504,$G$401)&gt;=0,INDEX(SAISIE!$D$5:$D$504,MATCH(_xlfn.MAXIFS(SAISIE!$C$5:$C$504,SAISIE!$B$5:$B$504,"*Vent D/G*",SAISIE!$F$5:$F$504,$G$401),SAISIE!$C$5:$C$504,0)),INDEX(SAISIE!$D$5:$D$504,MATCH(_xlfn.MINIFS(SAISIE!$E$5:$E$504,SAISIE!$B$5:$B$504,"*Vent D/G*",SAISIE!$F$5:$F$504,$G$401),SAISIE!$E$5:$E$504,0))),"-"))</f>
        <v/>
      </c>
      <c r="D405" s="6" t="str">
        <f>IF($G$401="","",IFERROR(IF(_xlfn.MINIFS(SAISIE!$E$5:$E$504,SAISIE!$B$5:$B$504,"*Vent D/G*",SAISIE!$F$5:$F$504,$G$401)&gt;=0,0,_xlfn.MINIFS(SAISIE!$E$5:$E$504,SAISIE!$B$5:$B$504,"*Vent D/G*",SAISIE!$F$5:$F$504,$G$401)),"-"))</f>
        <v/>
      </c>
      <c r="E405" s="6" t="s">
        <v>51</v>
      </c>
    </row>
    <row r="406" spans="1:7" x14ac:dyDescent="0.25">
      <c r="A406" s="5" t="s">
        <v>55</v>
      </c>
      <c r="B406" s="6" t="str">
        <f>IF($G$401="","",IFERROR(INDEX(SAISIE!$C$5:$C$504,MATCH(_xlfn.MAXIFS(SAISIE!$E$5:$E$504,SAISIE!$B$5:$B$504,"*Vent D/G*",SAISIE!$F$5:$F$504,$G$401),SAISIE!$E$5:$E$504,0)),"-"))</f>
        <v/>
      </c>
      <c r="C406" s="6" t="str">
        <f>IF($G$401="","",IFERROR(INDEX(SAISIE!$D$5:$D$504,MATCH(_xlfn.MAXIFS(SAISIE!$E$5:$E$504,SAISIE!$B$5:$B$504,"*Vent D/G*",SAISIE!$F$5:$F$504,$G$401),SAISIE!$E$5:$E$504,0)),"-"))</f>
        <v/>
      </c>
      <c r="D406" s="6" t="str">
        <f>IF($G$401="","",IFERROR(_xlfn.MAXIFS(SAISIE!$E$5:$E$504,SAISIE!$B$5:$B$504,"*Vent D/G*",SAISIE!$F$5:$F$504,$G$401),"-"))</f>
        <v/>
      </c>
      <c r="E406" s="6" t="s">
        <v>53</v>
      </c>
    </row>
    <row r="407" spans="1:7" x14ac:dyDescent="0.25">
      <c r="A407" s="5" t="s">
        <v>56</v>
      </c>
      <c r="B407" s="6" t="str">
        <f>IF($G$401="","",IFERROR(IF(_xlfn.MINIFS(SAISIE!$E$5:$E$504,SAISIE!$B$5:$B$504,"*Vent Av./Arr.*",SAISIE!$F$5:$F$504,$G$401)&gt;=0,_xlfn.MAXIFS(SAISIE!$C$5:$C$504,SAISIE!$B$5:$B$504,"*Vent Av./Arr.*",SAISIE!$F$5:$F$504,$G$401),INDEX(SAISIE!$C$5:$C$504,MATCH(_xlfn.MINIFS(SAISIE!$E$5:$E$504,SAISIE!$B$5:$B$504,"*Vent Av./Arr.*",SAISIE!$F$5:$F$504,$G$401),SAISIE!$E$5:$E$504,0))),"-"))</f>
        <v/>
      </c>
      <c r="C407" s="6" t="str">
        <f>IF($G$401="","",IFERROR(IF(_xlfn.MINIFS(SAISIE!$E$5:$E$504,SAISIE!$B$5:$B$504,"*Vent Av./Arr.*",SAISIE!$F$5:$F$504,$G$401)&gt;=0,INDEX(SAISIE!$D$5:$D$504,MATCH(_xlfn.MAXIFS(SAISIE!$C$5:$C$504,SAISIE!$B$5:$B$504,"*Vent Av./Arr.*",SAISIE!$F$5:$F$504,$G$401),SAISIE!$C$5:$C$504,0)),INDEX(SAISIE!$D$5:$D$504,MATCH(_xlfn.MINIFS(SAISIE!$E$5:$E$504,SAISIE!$B$5:$B$504,"*Vent Av./Arr.*",SAISIE!$F$5:$F$504,$G$401),SAISIE!$E$5:$E$504,0))),"-"))</f>
        <v/>
      </c>
      <c r="D407" s="6" t="str">
        <f>IF($G$401="","",IFERROR(IF(_xlfn.MINIFS(SAISIE!$E$5:$E$504,SAISIE!$B$5:$B$504,"*Vent Av./Arr.*",SAISIE!$F$5:$F$504,$G$401)&gt;=0,0,_xlfn.MINIFS(SAISIE!$E$5:$E$504,SAISIE!$B$5:$B$504,"*Vent Av./Arr.*",SAISIE!$F$5:$F$504,$G$401)),"-"))</f>
        <v/>
      </c>
      <c r="E407" s="6" t="s">
        <v>51</v>
      </c>
    </row>
    <row r="408" spans="1:7" x14ac:dyDescent="0.25">
      <c r="A408" s="5" t="s">
        <v>57</v>
      </c>
      <c r="B408" s="6" t="str">
        <f>IF($G$401="","",IFERROR(INDEX(SAISIE!$C$5:$C$504,MATCH(_xlfn.MAXIFS(SAISIE!$E$5:$E$504,SAISIE!$B$5:$B$504,"*Vent Av./Arr.*",SAISIE!$F$5:$F$504,$G$401),SAISIE!$E$5:$E$504,0)),"-"))</f>
        <v/>
      </c>
      <c r="C408" s="6" t="str">
        <f>IF($G$401="","",IFERROR(INDEX(SAISIE!$D$5:$D$504,MATCH(_xlfn.MAXIFS(SAISIE!$E$5:$E$504,SAISIE!$B$5:$B$504,"*Vent Av./Arr.*",SAISIE!$F$5:$F$504,$G$401),SAISIE!$E$5:$E$504,0)),"-"))</f>
        <v/>
      </c>
      <c r="D408" s="6" t="str">
        <f>IF($G$401="","",IFERROR(_xlfn.MAXIFS(SAISIE!$E$5:$E$504,SAISIE!$B$5:$B$504,"*Vent Av./Arr.*",SAISIE!$F$5:$F$504,$G$401),"-"))</f>
        <v/>
      </c>
      <c r="E408" s="6" t="s">
        <v>53</v>
      </c>
    </row>
    <row r="409" spans="1:7" x14ac:dyDescent="0.25">
      <c r="A409" s="5" t="s">
        <v>58</v>
      </c>
      <c r="B409" s="6" t="str">
        <f>IF($G$401="","",IFERROR(IF(_xlfn.MINIFS(SAISIE!$E$5:$E$504,SAISIE!$B$5:$B$504,"*Vent Arr./Av.*",SAISIE!$F$5:$F$504,$G$401)&gt;=0,_xlfn.MAXIFS(SAISIE!$C$5:$C$504,SAISIE!$B$5:$B$504,"*Vent Arr./Av.*",SAISIE!$F$5:$F$504,$G$401),INDEX(SAISIE!$C$5:$C$504,MATCH(_xlfn.MINIFS(SAISIE!$E$5:$E$504,SAISIE!$B$5:$B$504,"*Vent Arr./Av.*",SAISIE!$F$5:$F$504,$G$401),SAISIE!$E$5:$E$504,0))),"-"))</f>
        <v/>
      </c>
      <c r="C409" s="6" t="str">
        <f>IF($G$401="","",IFERROR(IF(_xlfn.MINIFS(SAISIE!$E$5:$E$504,SAISIE!$B$5:$B$504,"*Vent Arr./Av.*",SAISIE!$F$5:$F$504,$G$401)&gt;=0,INDEX(SAISIE!$D$5:$D$504,MATCH(_xlfn.MAXIFS(SAISIE!$C$5:$C$504,SAISIE!$B$5:$B$504,"*Vent Arr./Av.*",SAISIE!$F$5:$F$504,$G$401),SAISIE!$C$5:$C$504,0)),INDEX(SAISIE!$D$5:$D$504,MATCH(_xlfn.MINIFS(SAISIE!$E$5:$E$504,SAISIE!$B$5:$B$504,"*Vent Arr./Av.*",SAISIE!$F$5:$F$504,$G$401),SAISIE!$E$5:$E$504,0))),"-"))</f>
        <v/>
      </c>
      <c r="D409" s="6" t="str">
        <f>IF($G$401="","",IFERROR(IF(_xlfn.MINIFS(SAISIE!$E$5:$E$504,SAISIE!$B$5:$B$504,"*Vent Arr./Av.*",SAISIE!$F$5:$F$504,$G$401)&gt;=0,0,_xlfn.MINIFS(SAISIE!$E$5:$E$504,SAISIE!$B$5:$B$504,"*Vent Arr./Av.*",SAISIE!$F$5:$F$504,$G$401)),"-"))</f>
        <v/>
      </c>
      <c r="E409" s="6" t="s">
        <v>51</v>
      </c>
    </row>
    <row r="410" spans="1:7" x14ac:dyDescent="0.25">
      <c r="A410" s="5" t="s">
        <v>59</v>
      </c>
      <c r="B410" s="6" t="str">
        <f>IF($G$401="","",IFERROR(INDEX(SAISIE!$C$5:$C$504,MATCH(_xlfn.MAXIFS(SAISIE!$E$5:$E$504,SAISIE!$B$5:$B$504,"*Vent Arr./Av.*",SAISIE!$F$5:$F$504,$G$401),SAISIE!$E$5:$E$504,0)),"-"))</f>
        <v/>
      </c>
      <c r="C410" s="6" t="str">
        <f>IF($G$401="","",IFERROR(INDEX(SAISIE!$D$5:$D$504,MATCH(_xlfn.MAXIFS(SAISIE!$E$5:$E$504,SAISIE!$B$5:$B$504,"*Vent Arr./Av.*",SAISIE!$F$5:$F$504,$G$401),SAISIE!$E$5:$E$504,0)),"-"))</f>
        <v/>
      </c>
      <c r="D410" s="6" t="str">
        <f>IF($G$401="","",IFERROR(_xlfn.MAXIFS(SAISIE!$E$5:$E$504,SAISIE!$B$5:$B$504,"*Vent Arr./Av.*",SAISIE!$F$5:$F$504,$G$401),"-"))</f>
        <v/>
      </c>
      <c r="E410" s="6" t="s">
        <v>53</v>
      </c>
    </row>
    <row r="411" spans="1:7" x14ac:dyDescent="0.25">
      <c r="A411" s="5" t="s">
        <v>60</v>
      </c>
      <c r="B411" s="6" t="str">
        <f>IF($G$401="","",IFERROR(INDEX(SAISIE!$C$5:$C$504,MATCH(_xlfn.MINIFS(SAISIE!$E$5:$E$504,SAISIE!$B$5:$B$504,"*Neige*",SAISIE!$B$5:$B$504,"&lt;&gt;*accidentel*",SAISIE!$F$5:$F$504,$G$401),SAISIE!$E$5:$E$504,0)),"-"))</f>
        <v/>
      </c>
      <c r="C411" s="6" t="str">
        <f>IF($G$401="","",IFERROR(INDEX(SAISIE!$D$5:$D$504,MATCH(_xlfn.MINIFS(SAISIE!$E$5:$E$504,SAISIE!$B$5:$B$504,"*Neige*",SAISIE!$B$5:$B$504,"&lt;&gt;*accidentel*",SAISIE!$F$5:$F$504,$G$401),SAISIE!$E$5:$E$504,0)),"-"))</f>
        <v/>
      </c>
      <c r="D411" s="6" t="str">
        <f>IF($G$401="","",IFERROR(INDEX(SAISIE!$E$5:$E$504,MATCH(_xlfn.MINIFS(SAISIE!$E$5:$E$504,SAISIE!$B$5:$B$504,"*Neige*",SAISIE!$B$5:$B$504,"&lt;&gt;*accidentel*",SAISIE!$F$5:$F$504,$G$401),SAISIE!$E$5:$E$504,0)),"-"))</f>
        <v/>
      </c>
      <c r="E411" s="6"/>
    </row>
    <row r="412" spans="1:7" x14ac:dyDescent="0.25">
      <c r="A412" s="5" t="s">
        <v>61</v>
      </c>
      <c r="B412" s="6" t="str">
        <f>IF($G$401="","",IFERROR(LOOKUP(2,1/((SAISIE!$F$5:$F$504=$G$401)*(ISNUMBER(SEARCH("accidentel",SAISIE!$B$5:$B$504)))),SAISIE!$C$5:$C$504),"-"))</f>
        <v/>
      </c>
      <c r="C412" s="6" t="str">
        <f>IF($G$401="","",IFERROR(LOOKUP(2,1/((SAISIE!$F$5:$F$504=$G$401)*(ISNUMBER(SEARCH("accidentel",SAISIE!$B$5:$B$504)))),SAISIE!$D$5:$D$504),"-"))</f>
        <v/>
      </c>
      <c r="D412" s="6" t="str">
        <f>IF($G$401="","",IFERROR(LOOKUP(2,1/((SAISIE!$F$5:$F$504=$G$401)*(ISNUMBER(SEARCH("accidentel",SAISIE!$B$5:$B$504)))),SAISIE!$E$5:$E$504),"-"))</f>
        <v/>
      </c>
      <c r="E412" s="6"/>
    </row>
    <row r="413" spans="1:7" ht="15.75" x14ac:dyDescent="0.25">
      <c r="A413" s="9" t="str">
        <f>IF($G$413="","","Noeud "&amp;$G$413)</f>
        <v/>
      </c>
      <c r="B413" s="10"/>
      <c r="C413" s="10"/>
      <c r="D413" s="10"/>
      <c r="E413" s="10"/>
      <c r="G413" t="str">
        <f>IFERROR(INDEX(SAISIE!$F$5:$F$504,_xlfn.AGGREGATE(15,6,ROW(SAISIE!$F$5:$F$504)-ROW(SAISIE!$F$5)+1/(SAISIE!$F$5:$F$504&lt;&gt;"")/(COUNTIF($G$4:G412,SAISIE!$F$5:$F$504)=0),1)),"")</f>
        <v/>
      </c>
    </row>
    <row r="414" spans="1:7" x14ac:dyDescent="0.25">
      <c r="A414" s="5" t="s">
        <v>49</v>
      </c>
      <c r="B414" s="6" t="str">
        <f>IF($G$413="","",IFERROR(IFERROR(LOOKUP(2,1/((SAISIE!$F$5:$F$504=$G$413)*(LEFT(SAISIE!$B$5:$B$504,2)="G ")),SAISIE!$C$5:$C$504),LOOKUP(2,1/((SAISIE!$F$5:$F$504=$G$413)*(ISNUMBER(SEARCH("Couverture",SAISIE!$B$5:$B$504)))),SAISIE!$C$5:$C$504)),"-"))</f>
        <v/>
      </c>
      <c r="C414" s="6" t="str">
        <f>IF($G$413="","",IFERROR(IFERROR(LOOKUP(2,1/((SAISIE!$F$5:$F$504=$G$413)*(LEFT(SAISIE!$B$5:$B$504,2)="G ")),SAISIE!$D$5:$D$504),LOOKUP(2,1/((SAISIE!$F$5:$F$504=$G$413)*(ISNUMBER(SEARCH("Couverture",SAISIE!$B$5:$B$504)))),SAISIE!$D$5:$D$504)),"-"))</f>
        <v/>
      </c>
      <c r="D414" s="6" t="str">
        <f>IF($G$413="","",IFERROR(IFERROR(LOOKUP(2,1/((SAISIE!$F$5:$F$504=$G$413)*(LEFT(SAISIE!$B$5:$B$504,2)="G ")),SAISIE!$E$5:$E$504),LOOKUP(2,1/((SAISIE!$F$5:$F$504=$G$413)*(ISNUMBER(SEARCH("Couverture",SAISIE!$B$5:$B$504)))),SAISIE!$E$5:$E$504)),"-"))</f>
        <v/>
      </c>
      <c r="E414" s="6"/>
    </row>
    <row r="415" spans="1:7" x14ac:dyDescent="0.25">
      <c r="A415" s="5" t="s">
        <v>50</v>
      </c>
      <c r="B415" s="6" t="str">
        <f>IF($G$413="","",IFERROR(IF(_xlfn.MINIFS(SAISIE!$E$5:$E$504,SAISIE!$B$5:$B$504,"*Vent G/D*",SAISIE!$F$5:$F$504,$G$413)&gt;=0,_xlfn.MAXIFS(SAISIE!$C$5:$C$504,SAISIE!$B$5:$B$504,"*Vent G/D*",SAISIE!$F$5:$F$504,$G$413),INDEX(SAISIE!$C$5:$C$504,MATCH(_xlfn.MINIFS(SAISIE!$E$5:$E$504,SAISIE!$B$5:$B$504,"*Vent G/D*",SAISIE!$F$5:$F$504,$G$413),SAISIE!$E$5:$E$504,0))),"-"))</f>
        <v/>
      </c>
      <c r="C415" s="6" t="str">
        <f>IF($G$413="","",IFERROR(IF(_xlfn.MINIFS(SAISIE!$E$5:$E$504,SAISIE!$B$5:$B$504,"*Vent G/D*",SAISIE!$F$5:$F$504,$G$413)&gt;=0,INDEX(SAISIE!$D$5:$D$504,MATCH(_xlfn.MAXIFS(SAISIE!$C$5:$C$504,SAISIE!$B$5:$B$504,"*Vent G/D*",SAISIE!$F$5:$F$504,$G$413),SAISIE!$C$5:$C$504,0)),INDEX(SAISIE!$D$5:$D$504,MATCH(_xlfn.MINIFS(SAISIE!$E$5:$E$504,SAISIE!$B$5:$B$504,"*Vent G/D*",SAISIE!$F$5:$F$504,$G$413),SAISIE!$E$5:$E$504,0))),"-"))</f>
        <v/>
      </c>
      <c r="D415" s="6" t="str">
        <f>IF($G$413="","",IFERROR(IF(_xlfn.MINIFS(SAISIE!$E$5:$E$504,SAISIE!$B$5:$B$504,"*Vent G/D*",SAISIE!$F$5:$F$504,$G$413)&gt;=0,0,_xlfn.MINIFS(SAISIE!$E$5:$E$504,SAISIE!$B$5:$B$504,"*Vent G/D*",SAISIE!$F$5:$F$504,$G$413)),"-"))</f>
        <v/>
      </c>
      <c r="E415" s="6" t="s">
        <v>51</v>
      </c>
    </row>
    <row r="416" spans="1:7" x14ac:dyDescent="0.25">
      <c r="A416" s="5" t="s">
        <v>52</v>
      </c>
      <c r="B416" s="6" t="str">
        <f>IF($G$413="","",IFERROR(INDEX(SAISIE!$C$5:$C$504,MATCH(_xlfn.MAXIFS(SAISIE!$E$5:$E$504,SAISIE!$B$5:$B$504,"*Vent G/D*",SAISIE!$F$5:$F$504,$G$413),SAISIE!$E$5:$E$504,0)),"-"))</f>
        <v/>
      </c>
      <c r="C416" s="6" t="str">
        <f>IF($G$413="","",IFERROR(INDEX(SAISIE!$D$5:$D$504,MATCH(_xlfn.MAXIFS(SAISIE!$E$5:$E$504,SAISIE!$B$5:$B$504,"*Vent G/D*",SAISIE!$F$5:$F$504,$G$413),SAISIE!$E$5:$E$504,0)),"-"))</f>
        <v/>
      </c>
      <c r="D416" s="6" t="str">
        <f>IF($G$413="","",IFERROR(_xlfn.MAXIFS(SAISIE!$E$5:$E$504,SAISIE!$B$5:$B$504,"*Vent G/D*",SAISIE!$F$5:$F$504,$G$413),"-"))</f>
        <v/>
      </c>
      <c r="E416" s="6" t="s">
        <v>53</v>
      </c>
    </row>
    <row r="417" spans="1:7" x14ac:dyDescent="0.25">
      <c r="A417" s="5" t="s">
        <v>54</v>
      </c>
      <c r="B417" s="6" t="str">
        <f>IF($G$413="","",IFERROR(IF(_xlfn.MINIFS(SAISIE!$E$5:$E$504,SAISIE!$B$5:$B$504,"*Vent D/G*",SAISIE!$F$5:$F$504,$G$413)&gt;=0,_xlfn.MAXIFS(SAISIE!$C$5:$C$504,SAISIE!$B$5:$B$504,"*Vent D/G*",SAISIE!$F$5:$F$504,$G$413),INDEX(SAISIE!$C$5:$C$504,MATCH(_xlfn.MINIFS(SAISIE!$E$5:$E$504,SAISIE!$B$5:$B$504,"*Vent D/G*",SAISIE!$F$5:$F$504,$G$413),SAISIE!$E$5:$E$504,0))),"-"))</f>
        <v/>
      </c>
      <c r="C417" s="6" t="str">
        <f>IF($G$413="","",IFERROR(IF(_xlfn.MINIFS(SAISIE!$E$5:$E$504,SAISIE!$B$5:$B$504,"*Vent D/G*",SAISIE!$F$5:$F$504,$G$413)&gt;=0,INDEX(SAISIE!$D$5:$D$504,MATCH(_xlfn.MAXIFS(SAISIE!$C$5:$C$504,SAISIE!$B$5:$B$504,"*Vent D/G*",SAISIE!$F$5:$F$504,$G$413),SAISIE!$C$5:$C$504,0)),INDEX(SAISIE!$D$5:$D$504,MATCH(_xlfn.MINIFS(SAISIE!$E$5:$E$504,SAISIE!$B$5:$B$504,"*Vent D/G*",SAISIE!$F$5:$F$504,$G$413),SAISIE!$E$5:$E$504,0))),"-"))</f>
        <v/>
      </c>
      <c r="D417" s="6" t="str">
        <f>IF($G$413="","",IFERROR(IF(_xlfn.MINIFS(SAISIE!$E$5:$E$504,SAISIE!$B$5:$B$504,"*Vent D/G*",SAISIE!$F$5:$F$504,$G$413)&gt;=0,0,_xlfn.MINIFS(SAISIE!$E$5:$E$504,SAISIE!$B$5:$B$504,"*Vent D/G*",SAISIE!$F$5:$F$504,$G$413)),"-"))</f>
        <v/>
      </c>
      <c r="E417" s="6" t="s">
        <v>51</v>
      </c>
    </row>
    <row r="418" spans="1:7" x14ac:dyDescent="0.25">
      <c r="A418" s="5" t="s">
        <v>55</v>
      </c>
      <c r="B418" s="6" t="str">
        <f>IF($G$413="","",IFERROR(INDEX(SAISIE!$C$5:$C$504,MATCH(_xlfn.MAXIFS(SAISIE!$E$5:$E$504,SAISIE!$B$5:$B$504,"*Vent D/G*",SAISIE!$F$5:$F$504,$G$413),SAISIE!$E$5:$E$504,0)),"-"))</f>
        <v/>
      </c>
      <c r="C418" s="6" t="str">
        <f>IF($G$413="","",IFERROR(INDEX(SAISIE!$D$5:$D$504,MATCH(_xlfn.MAXIFS(SAISIE!$E$5:$E$504,SAISIE!$B$5:$B$504,"*Vent D/G*",SAISIE!$F$5:$F$504,$G$413),SAISIE!$E$5:$E$504,0)),"-"))</f>
        <v/>
      </c>
      <c r="D418" s="6" t="str">
        <f>IF($G$413="","",IFERROR(_xlfn.MAXIFS(SAISIE!$E$5:$E$504,SAISIE!$B$5:$B$504,"*Vent D/G*",SAISIE!$F$5:$F$504,$G$413),"-"))</f>
        <v/>
      </c>
      <c r="E418" s="6" t="s">
        <v>53</v>
      </c>
    </row>
    <row r="419" spans="1:7" x14ac:dyDescent="0.25">
      <c r="A419" s="5" t="s">
        <v>56</v>
      </c>
      <c r="B419" s="6" t="str">
        <f>IF($G$413="","",IFERROR(IF(_xlfn.MINIFS(SAISIE!$E$5:$E$504,SAISIE!$B$5:$B$504,"*Vent Av./Arr.*",SAISIE!$F$5:$F$504,$G$413)&gt;=0,_xlfn.MAXIFS(SAISIE!$C$5:$C$504,SAISIE!$B$5:$B$504,"*Vent Av./Arr.*",SAISIE!$F$5:$F$504,$G$413),INDEX(SAISIE!$C$5:$C$504,MATCH(_xlfn.MINIFS(SAISIE!$E$5:$E$504,SAISIE!$B$5:$B$504,"*Vent Av./Arr.*",SAISIE!$F$5:$F$504,$G$413),SAISIE!$E$5:$E$504,0))),"-"))</f>
        <v/>
      </c>
      <c r="C419" s="6" t="str">
        <f>IF($G$413="","",IFERROR(IF(_xlfn.MINIFS(SAISIE!$E$5:$E$504,SAISIE!$B$5:$B$504,"*Vent Av./Arr.*",SAISIE!$F$5:$F$504,$G$413)&gt;=0,INDEX(SAISIE!$D$5:$D$504,MATCH(_xlfn.MAXIFS(SAISIE!$C$5:$C$504,SAISIE!$B$5:$B$504,"*Vent Av./Arr.*",SAISIE!$F$5:$F$504,$G$413),SAISIE!$C$5:$C$504,0)),INDEX(SAISIE!$D$5:$D$504,MATCH(_xlfn.MINIFS(SAISIE!$E$5:$E$504,SAISIE!$B$5:$B$504,"*Vent Av./Arr.*",SAISIE!$F$5:$F$504,$G$413),SAISIE!$E$5:$E$504,0))),"-"))</f>
        <v/>
      </c>
      <c r="D419" s="6" t="str">
        <f>IF($G$413="","",IFERROR(IF(_xlfn.MINIFS(SAISIE!$E$5:$E$504,SAISIE!$B$5:$B$504,"*Vent Av./Arr.*",SAISIE!$F$5:$F$504,$G$413)&gt;=0,0,_xlfn.MINIFS(SAISIE!$E$5:$E$504,SAISIE!$B$5:$B$504,"*Vent Av./Arr.*",SAISIE!$F$5:$F$504,$G$413)),"-"))</f>
        <v/>
      </c>
      <c r="E419" s="6" t="s">
        <v>51</v>
      </c>
    </row>
    <row r="420" spans="1:7" x14ac:dyDescent="0.25">
      <c r="A420" s="5" t="s">
        <v>57</v>
      </c>
      <c r="B420" s="6" t="str">
        <f>IF($G$413="","",IFERROR(INDEX(SAISIE!$C$5:$C$504,MATCH(_xlfn.MAXIFS(SAISIE!$E$5:$E$504,SAISIE!$B$5:$B$504,"*Vent Av./Arr.*",SAISIE!$F$5:$F$504,$G$413),SAISIE!$E$5:$E$504,0)),"-"))</f>
        <v/>
      </c>
      <c r="C420" s="6" t="str">
        <f>IF($G$413="","",IFERROR(INDEX(SAISIE!$D$5:$D$504,MATCH(_xlfn.MAXIFS(SAISIE!$E$5:$E$504,SAISIE!$B$5:$B$504,"*Vent Av./Arr.*",SAISIE!$F$5:$F$504,$G$413),SAISIE!$E$5:$E$504,0)),"-"))</f>
        <v/>
      </c>
      <c r="D420" s="6" t="str">
        <f>IF($G$413="","",IFERROR(_xlfn.MAXIFS(SAISIE!$E$5:$E$504,SAISIE!$B$5:$B$504,"*Vent Av./Arr.*",SAISIE!$F$5:$F$504,$G$413),"-"))</f>
        <v/>
      </c>
      <c r="E420" s="6" t="s">
        <v>53</v>
      </c>
    </row>
    <row r="421" spans="1:7" x14ac:dyDescent="0.25">
      <c r="A421" s="5" t="s">
        <v>58</v>
      </c>
      <c r="B421" s="6" t="str">
        <f>IF($G$413="","",IFERROR(IF(_xlfn.MINIFS(SAISIE!$E$5:$E$504,SAISIE!$B$5:$B$504,"*Vent Arr./Av.*",SAISIE!$F$5:$F$504,$G$413)&gt;=0,_xlfn.MAXIFS(SAISIE!$C$5:$C$504,SAISIE!$B$5:$B$504,"*Vent Arr./Av.*",SAISIE!$F$5:$F$504,$G$413),INDEX(SAISIE!$C$5:$C$504,MATCH(_xlfn.MINIFS(SAISIE!$E$5:$E$504,SAISIE!$B$5:$B$504,"*Vent Arr./Av.*",SAISIE!$F$5:$F$504,$G$413),SAISIE!$E$5:$E$504,0))),"-"))</f>
        <v/>
      </c>
      <c r="C421" s="6" t="str">
        <f>IF($G$413="","",IFERROR(IF(_xlfn.MINIFS(SAISIE!$E$5:$E$504,SAISIE!$B$5:$B$504,"*Vent Arr./Av.*",SAISIE!$F$5:$F$504,$G$413)&gt;=0,INDEX(SAISIE!$D$5:$D$504,MATCH(_xlfn.MAXIFS(SAISIE!$C$5:$C$504,SAISIE!$B$5:$B$504,"*Vent Arr./Av.*",SAISIE!$F$5:$F$504,$G$413),SAISIE!$C$5:$C$504,0)),INDEX(SAISIE!$D$5:$D$504,MATCH(_xlfn.MINIFS(SAISIE!$E$5:$E$504,SAISIE!$B$5:$B$504,"*Vent Arr./Av.*",SAISIE!$F$5:$F$504,$G$413),SAISIE!$E$5:$E$504,0))),"-"))</f>
        <v/>
      </c>
      <c r="D421" s="6" t="str">
        <f>IF($G$413="","",IFERROR(IF(_xlfn.MINIFS(SAISIE!$E$5:$E$504,SAISIE!$B$5:$B$504,"*Vent Arr./Av.*",SAISIE!$F$5:$F$504,$G$413)&gt;=0,0,_xlfn.MINIFS(SAISIE!$E$5:$E$504,SAISIE!$B$5:$B$504,"*Vent Arr./Av.*",SAISIE!$F$5:$F$504,$G$413)),"-"))</f>
        <v/>
      </c>
      <c r="E421" s="6" t="s">
        <v>51</v>
      </c>
    </row>
    <row r="422" spans="1:7" x14ac:dyDescent="0.25">
      <c r="A422" s="5" t="s">
        <v>59</v>
      </c>
      <c r="B422" s="6" t="str">
        <f>IF($G$413="","",IFERROR(INDEX(SAISIE!$C$5:$C$504,MATCH(_xlfn.MAXIFS(SAISIE!$E$5:$E$504,SAISIE!$B$5:$B$504,"*Vent Arr./Av.*",SAISIE!$F$5:$F$504,$G$413),SAISIE!$E$5:$E$504,0)),"-"))</f>
        <v/>
      </c>
      <c r="C422" s="6" t="str">
        <f>IF($G$413="","",IFERROR(INDEX(SAISIE!$D$5:$D$504,MATCH(_xlfn.MAXIFS(SAISIE!$E$5:$E$504,SAISIE!$B$5:$B$504,"*Vent Arr./Av.*",SAISIE!$F$5:$F$504,$G$413),SAISIE!$E$5:$E$504,0)),"-"))</f>
        <v/>
      </c>
      <c r="D422" s="6" t="str">
        <f>IF($G$413="","",IFERROR(_xlfn.MAXIFS(SAISIE!$E$5:$E$504,SAISIE!$B$5:$B$504,"*Vent Arr./Av.*",SAISIE!$F$5:$F$504,$G$413),"-"))</f>
        <v/>
      </c>
      <c r="E422" s="6" t="s">
        <v>53</v>
      </c>
    </row>
    <row r="423" spans="1:7" x14ac:dyDescent="0.25">
      <c r="A423" s="5" t="s">
        <v>60</v>
      </c>
      <c r="B423" s="6" t="str">
        <f>IF($G$413="","",IFERROR(INDEX(SAISIE!$C$5:$C$504,MATCH(_xlfn.MINIFS(SAISIE!$E$5:$E$504,SAISIE!$B$5:$B$504,"*Neige*",SAISIE!$B$5:$B$504,"&lt;&gt;*accidentel*",SAISIE!$F$5:$F$504,$G$413),SAISIE!$E$5:$E$504,0)),"-"))</f>
        <v/>
      </c>
      <c r="C423" s="6" t="str">
        <f>IF($G$413="","",IFERROR(INDEX(SAISIE!$D$5:$D$504,MATCH(_xlfn.MINIFS(SAISIE!$E$5:$E$504,SAISIE!$B$5:$B$504,"*Neige*",SAISIE!$B$5:$B$504,"&lt;&gt;*accidentel*",SAISIE!$F$5:$F$504,$G$413),SAISIE!$E$5:$E$504,0)),"-"))</f>
        <v/>
      </c>
      <c r="D423" s="6" t="str">
        <f>IF($G$413="","",IFERROR(INDEX(SAISIE!$E$5:$E$504,MATCH(_xlfn.MINIFS(SAISIE!$E$5:$E$504,SAISIE!$B$5:$B$504,"*Neige*",SAISIE!$B$5:$B$504,"&lt;&gt;*accidentel*",SAISIE!$F$5:$F$504,$G$413),SAISIE!$E$5:$E$504,0)),"-"))</f>
        <v/>
      </c>
      <c r="E423" s="6"/>
    </row>
    <row r="424" spans="1:7" x14ac:dyDescent="0.25">
      <c r="A424" s="5" t="s">
        <v>61</v>
      </c>
      <c r="B424" s="6" t="str">
        <f>IF($G$413="","",IFERROR(LOOKUP(2,1/((SAISIE!$F$5:$F$504=$G$413)*(ISNUMBER(SEARCH("accidentel",SAISIE!$B$5:$B$504)))),SAISIE!$C$5:$C$504),"-"))</f>
        <v/>
      </c>
      <c r="C424" s="6" t="str">
        <f>IF($G$413="","",IFERROR(LOOKUP(2,1/((SAISIE!$F$5:$F$504=$G$413)*(ISNUMBER(SEARCH("accidentel",SAISIE!$B$5:$B$504)))),SAISIE!$D$5:$D$504),"-"))</f>
        <v/>
      </c>
      <c r="D424" s="6" t="str">
        <f>IF($G$413="","",IFERROR(LOOKUP(2,1/((SAISIE!$F$5:$F$504=$G$413)*(ISNUMBER(SEARCH("accidentel",SAISIE!$B$5:$B$504)))),SAISIE!$E$5:$E$504),"-"))</f>
        <v/>
      </c>
      <c r="E424" s="6"/>
    </row>
    <row r="425" spans="1:7" ht="15.75" x14ac:dyDescent="0.25">
      <c r="A425" s="9" t="str">
        <f>IF($G$425="","","Noeud "&amp;$G$425)</f>
        <v/>
      </c>
      <c r="B425" s="10"/>
      <c r="C425" s="10"/>
      <c r="D425" s="10"/>
      <c r="E425" s="10"/>
      <c r="G425" t="str">
        <f>IFERROR(INDEX(SAISIE!$F$5:$F$504,_xlfn.AGGREGATE(15,6,ROW(SAISIE!$F$5:$F$504)-ROW(SAISIE!$F$5)+1/(SAISIE!$F$5:$F$504&lt;&gt;"")/(COUNTIF($G$4:G424,SAISIE!$F$5:$F$504)=0),1)),"")</f>
        <v/>
      </c>
    </row>
    <row r="426" spans="1:7" x14ac:dyDescent="0.25">
      <c r="A426" s="5" t="s">
        <v>49</v>
      </c>
      <c r="B426" s="6" t="str">
        <f>IF($G$425="","",IFERROR(IFERROR(LOOKUP(2,1/((SAISIE!$F$5:$F$504=$G$425)*(LEFT(SAISIE!$B$5:$B$504,2)="G ")),SAISIE!$C$5:$C$504),LOOKUP(2,1/((SAISIE!$F$5:$F$504=$G$425)*(ISNUMBER(SEARCH("Couverture",SAISIE!$B$5:$B$504)))),SAISIE!$C$5:$C$504)),"-"))</f>
        <v/>
      </c>
      <c r="C426" s="6" t="str">
        <f>IF($G$425="","",IFERROR(IFERROR(LOOKUP(2,1/((SAISIE!$F$5:$F$504=$G$425)*(LEFT(SAISIE!$B$5:$B$504,2)="G ")),SAISIE!$D$5:$D$504),LOOKUP(2,1/((SAISIE!$F$5:$F$504=$G$425)*(ISNUMBER(SEARCH("Couverture",SAISIE!$B$5:$B$504)))),SAISIE!$D$5:$D$504)),"-"))</f>
        <v/>
      </c>
      <c r="D426" s="6" t="str">
        <f>IF($G$425="","",IFERROR(IFERROR(LOOKUP(2,1/((SAISIE!$F$5:$F$504=$G$425)*(LEFT(SAISIE!$B$5:$B$504,2)="G ")),SAISIE!$E$5:$E$504),LOOKUP(2,1/((SAISIE!$F$5:$F$504=$G$425)*(ISNUMBER(SEARCH("Couverture",SAISIE!$B$5:$B$504)))),SAISIE!$E$5:$E$504)),"-"))</f>
        <v/>
      </c>
      <c r="E426" s="6"/>
    </row>
    <row r="427" spans="1:7" x14ac:dyDescent="0.25">
      <c r="A427" s="5" t="s">
        <v>50</v>
      </c>
      <c r="B427" s="6" t="str">
        <f>IF($G$425="","",IFERROR(IF(_xlfn.MINIFS(SAISIE!$E$5:$E$504,SAISIE!$B$5:$B$504,"*Vent G/D*",SAISIE!$F$5:$F$504,$G$425)&gt;=0,_xlfn.MAXIFS(SAISIE!$C$5:$C$504,SAISIE!$B$5:$B$504,"*Vent G/D*",SAISIE!$F$5:$F$504,$G$425),INDEX(SAISIE!$C$5:$C$504,MATCH(_xlfn.MINIFS(SAISIE!$E$5:$E$504,SAISIE!$B$5:$B$504,"*Vent G/D*",SAISIE!$F$5:$F$504,$G$425),SAISIE!$E$5:$E$504,0))),"-"))</f>
        <v/>
      </c>
      <c r="C427" s="6" t="str">
        <f>IF($G$425="","",IFERROR(IF(_xlfn.MINIFS(SAISIE!$E$5:$E$504,SAISIE!$B$5:$B$504,"*Vent G/D*",SAISIE!$F$5:$F$504,$G$425)&gt;=0,INDEX(SAISIE!$D$5:$D$504,MATCH(_xlfn.MAXIFS(SAISIE!$C$5:$C$504,SAISIE!$B$5:$B$504,"*Vent G/D*",SAISIE!$F$5:$F$504,$G$425),SAISIE!$C$5:$C$504,0)),INDEX(SAISIE!$D$5:$D$504,MATCH(_xlfn.MINIFS(SAISIE!$E$5:$E$504,SAISIE!$B$5:$B$504,"*Vent G/D*",SAISIE!$F$5:$F$504,$G$425),SAISIE!$E$5:$E$504,0))),"-"))</f>
        <v/>
      </c>
      <c r="D427" s="6" t="str">
        <f>IF($G$425="","",IFERROR(IF(_xlfn.MINIFS(SAISIE!$E$5:$E$504,SAISIE!$B$5:$B$504,"*Vent G/D*",SAISIE!$F$5:$F$504,$G$425)&gt;=0,0,_xlfn.MINIFS(SAISIE!$E$5:$E$504,SAISIE!$B$5:$B$504,"*Vent G/D*",SAISIE!$F$5:$F$504,$G$425)),"-"))</f>
        <v/>
      </c>
      <c r="E427" s="6" t="s">
        <v>51</v>
      </c>
    </row>
    <row r="428" spans="1:7" x14ac:dyDescent="0.25">
      <c r="A428" s="5" t="s">
        <v>52</v>
      </c>
      <c r="B428" s="6" t="str">
        <f>IF($G$425="","",IFERROR(INDEX(SAISIE!$C$5:$C$504,MATCH(_xlfn.MAXIFS(SAISIE!$E$5:$E$504,SAISIE!$B$5:$B$504,"*Vent G/D*",SAISIE!$F$5:$F$504,$G$425),SAISIE!$E$5:$E$504,0)),"-"))</f>
        <v/>
      </c>
      <c r="C428" s="6" t="str">
        <f>IF($G$425="","",IFERROR(INDEX(SAISIE!$D$5:$D$504,MATCH(_xlfn.MAXIFS(SAISIE!$E$5:$E$504,SAISIE!$B$5:$B$504,"*Vent G/D*",SAISIE!$F$5:$F$504,$G$425),SAISIE!$E$5:$E$504,0)),"-"))</f>
        <v/>
      </c>
      <c r="D428" s="6" t="str">
        <f>IF($G$425="","",IFERROR(_xlfn.MAXIFS(SAISIE!$E$5:$E$504,SAISIE!$B$5:$B$504,"*Vent G/D*",SAISIE!$F$5:$F$504,$G$425),"-"))</f>
        <v/>
      </c>
      <c r="E428" s="6" t="s">
        <v>53</v>
      </c>
    </row>
    <row r="429" spans="1:7" x14ac:dyDescent="0.25">
      <c r="A429" s="5" t="s">
        <v>54</v>
      </c>
      <c r="B429" s="6" t="str">
        <f>IF($G$425="","",IFERROR(IF(_xlfn.MINIFS(SAISIE!$E$5:$E$504,SAISIE!$B$5:$B$504,"*Vent D/G*",SAISIE!$F$5:$F$504,$G$425)&gt;=0,_xlfn.MAXIFS(SAISIE!$C$5:$C$504,SAISIE!$B$5:$B$504,"*Vent D/G*",SAISIE!$F$5:$F$504,$G$425),INDEX(SAISIE!$C$5:$C$504,MATCH(_xlfn.MINIFS(SAISIE!$E$5:$E$504,SAISIE!$B$5:$B$504,"*Vent D/G*",SAISIE!$F$5:$F$504,$G$425),SAISIE!$E$5:$E$504,0))),"-"))</f>
        <v/>
      </c>
      <c r="C429" s="6" t="str">
        <f>IF($G$425="","",IFERROR(IF(_xlfn.MINIFS(SAISIE!$E$5:$E$504,SAISIE!$B$5:$B$504,"*Vent D/G*",SAISIE!$F$5:$F$504,$G$425)&gt;=0,INDEX(SAISIE!$D$5:$D$504,MATCH(_xlfn.MAXIFS(SAISIE!$C$5:$C$504,SAISIE!$B$5:$B$504,"*Vent D/G*",SAISIE!$F$5:$F$504,$G$425),SAISIE!$C$5:$C$504,0)),INDEX(SAISIE!$D$5:$D$504,MATCH(_xlfn.MINIFS(SAISIE!$E$5:$E$504,SAISIE!$B$5:$B$504,"*Vent D/G*",SAISIE!$F$5:$F$504,$G$425),SAISIE!$E$5:$E$504,0))),"-"))</f>
        <v/>
      </c>
      <c r="D429" s="6" t="str">
        <f>IF($G$425="","",IFERROR(IF(_xlfn.MINIFS(SAISIE!$E$5:$E$504,SAISIE!$B$5:$B$504,"*Vent D/G*",SAISIE!$F$5:$F$504,$G$425)&gt;=0,0,_xlfn.MINIFS(SAISIE!$E$5:$E$504,SAISIE!$B$5:$B$504,"*Vent D/G*",SAISIE!$F$5:$F$504,$G$425)),"-"))</f>
        <v/>
      </c>
      <c r="E429" s="6" t="s">
        <v>51</v>
      </c>
    </row>
    <row r="430" spans="1:7" x14ac:dyDescent="0.25">
      <c r="A430" s="5" t="s">
        <v>55</v>
      </c>
      <c r="B430" s="6" t="str">
        <f>IF($G$425="","",IFERROR(INDEX(SAISIE!$C$5:$C$504,MATCH(_xlfn.MAXIFS(SAISIE!$E$5:$E$504,SAISIE!$B$5:$B$504,"*Vent D/G*",SAISIE!$F$5:$F$504,$G$425),SAISIE!$E$5:$E$504,0)),"-"))</f>
        <v/>
      </c>
      <c r="C430" s="6" t="str">
        <f>IF($G$425="","",IFERROR(INDEX(SAISIE!$D$5:$D$504,MATCH(_xlfn.MAXIFS(SAISIE!$E$5:$E$504,SAISIE!$B$5:$B$504,"*Vent D/G*",SAISIE!$F$5:$F$504,$G$425),SAISIE!$E$5:$E$504,0)),"-"))</f>
        <v/>
      </c>
      <c r="D430" s="6" t="str">
        <f>IF($G$425="","",IFERROR(_xlfn.MAXIFS(SAISIE!$E$5:$E$504,SAISIE!$B$5:$B$504,"*Vent D/G*",SAISIE!$F$5:$F$504,$G$425),"-"))</f>
        <v/>
      </c>
      <c r="E430" s="6" t="s">
        <v>53</v>
      </c>
    </row>
    <row r="431" spans="1:7" x14ac:dyDescent="0.25">
      <c r="A431" s="5" t="s">
        <v>56</v>
      </c>
      <c r="B431" s="6" t="str">
        <f>IF($G$425="","",IFERROR(IF(_xlfn.MINIFS(SAISIE!$E$5:$E$504,SAISIE!$B$5:$B$504,"*Vent Av./Arr.*",SAISIE!$F$5:$F$504,$G$425)&gt;=0,_xlfn.MAXIFS(SAISIE!$C$5:$C$504,SAISIE!$B$5:$B$504,"*Vent Av./Arr.*",SAISIE!$F$5:$F$504,$G$425),INDEX(SAISIE!$C$5:$C$504,MATCH(_xlfn.MINIFS(SAISIE!$E$5:$E$504,SAISIE!$B$5:$B$504,"*Vent Av./Arr.*",SAISIE!$F$5:$F$504,$G$425),SAISIE!$E$5:$E$504,0))),"-"))</f>
        <v/>
      </c>
      <c r="C431" s="6" t="str">
        <f>IF($G$425="","",IFERROR(IF(_xlfn.MINIFS(SAISIE!$E$5:$E$504,SAISIE!$B$5:$B$504,"*Vent Av./Arr.*",SAISIE!$F$5:$F$504,$G$425)&gt;=0,INDEX(SAISIE!$D$5:$D$504,MATCH(_xlfn.MAXIFS(SAISIE!$C$5:$C$504,SAISIE!$B$5:$B$504,"*Vent Av./Arr.*",SAISIE!$F$5:$F$504,$G$425),SAISIE!$C$5:$C$504,0)),INDEX(SAISIE!$D$5:$D$504,MATCH(_xlfn.MINIFS(SAISIE!$E$5:$E$504,SAISIE!$B$5:$B$504,"*Vent Av./Arr.*",SAISIE!$F$5:$F$504,$G$425),SAISIE!$E$5:$E$504,0))),"-"))</f>
        <v/>
      </c>
      <c r="D431" s="6" t="str">
        <f>IF($G$425="","",IFERROR(IF(_xlfn.MINIFS(SAISIE!$E$5:$E$504,SAISIE!$B$5:$B$504,"*Vent Av./Arr.*",SAISIE!$F$5:$F$504,$G$425)&gt;=0,0,_xlfn.MINIFS(SAISIE!$E$5:$E$504,SAISIE!$B$5:$B$504,"*Vent Av./Arr.*",SAISIE!$F$5:$F$504,$G$425)),"-"))</f>
        <v/>
      </c>
      <c r="E431" s="6" t="s">
        <v>51</v>
      </c>
    </row>
    <row r="432" spans="1:7" x14ac:dyDescent="0.25">
      <c r="A432" s="5" t="s">
        <v>57</v>
      </c>
      <c r="B432" s="6" t="str">
        <f>IF($G$425="","",IFERROR(INDEX(SAISIE!$C$5:$C$504,MATCH(_xlfn.MAXIFS(SAISIE!$E$5:$E$504,SAISIE!$B$5:$B$504,"*Vent Av./Arr.*",SAISIE!$F$5:$F$504,$G$425),SAISIE!$E$5:$E$504,0)),"-"))</f>
        <v/>
      </c>
      <c r="C432" s="6" t="str">
        <f>IF($G$425="","",IFERROR(INDEX(SAISIE!$D$5:$D$504,MATCH(_xlfn.MAXIFS(SAISIE!$E$5:$E$504,SAISIE!$B$5:$B$504,"*Vent Av./Arr.*",SAISIE!$F$5:$F$504,$G$425),SAISIE!$E$5:$E$504,0)),"-"))</f>
        <v/>
      </c>
      <c r="D432" s="6" t="str">
        <f>IF($G$425="","",IFERROR(_xlfn.MAXIFS(SAISIE!$E$5:$E$504,SAISIE!$B$5:$B$504,"*Vent Av./Arr.*",SAISIE!$F$5:$F$504,$G$425),"-"))</f>
        <v/>
      </c>
      <c r="E432" s="6" t="s">
        <v>53</v>
      </c>
    </row>
    <row r="433" spans="1:7" x14ac:dyDescent="0.25">
      <c r="A433" s="5" t="s">
        <v>58</v>
      </c>
      <c r="B433" s="6" t="str">
        <f>IF($G$425="","",IFERROR(IF(_xlfn.MINIFS(SAISIE!$E$5:$E$504,SAISIE!$B$5:$B$504,"*Vent Arr./Av.*",SAISIE!$F$5:$F$504,$G$425)&gt;=0,_xlfn.MAXIFS(SAISIE!$C$5:$C$504,SAISIE!$B$5:$B$504,"*Vent Arr./Av.*",SAISIE!$F$5:$F$504,$G$425),INDEX(SAISIE!$C$5:$C$504,MATCH(_xlfn.MINIFS(SAISIE!$E$5:$E$504,SAISIE!$B$5:$B$504,"*Vent Arr./Av.*",SAISIE!$F$5:$F$504,$G$425),SAISIE!$E$5:$E$504,0))),"-"))</f>
        <v/>
      </c>
      <c r="C433" s="6" t="str">
        <f>IF($G$425="","",IFERROR(IF(_xlfn.MINIFS(SAISIE!$E$5:$E$504,SAISIE!$B$5:$B$504,"*Vent Arr./Av.*",SAISIE!$F$5:$F$504,$G$425)&gt;=0,INDEX(SAISIE!$D$5:$D$504,MATCH(_xlfn.MAXIFS(SAISIE!$C$5:$C$504,SAISIE!$B$5:$B$504,"*Vent Arr./Av.*",SAISIE!$F$5:$F$504,$G$425),SAISIE!$C$5:$C$504,0)),INDEX(SAISIE!$D$5:$D$504,MATCH(_xlfn.MINIFS(SAISIE!$E$5:$E$504,SAISIE!$B$5:$B$504,"*Vent Arr./Av.*",SAISIE!$F$5:$F$504,$G$425),SAISIE!$E$5:$E$504,0))),"-"))</f>
        <v/>
      </c>
      <c r="D433" s="6" t="str">
        <f>IF($G$425="","",IFERROR(IF(_xlfn.MINIFS(SAISIE!$E$5:$E$504,SAISIE!$B$5:$B$504,"*Vent Arr./Av.*",SAISIE!$F$5:$F$504,$G$425)&gt;=0,0,_xlfn.MINIFS(SAISIE!$E$5:$E$504,SAISIE!$B$5:$B$504,"*Vent Arr./Av.*",SAISIE!$F$5:$F$504,$G$425)),"-"))</f>
        <v/>
      </c>
      <c r="E433" s="6" t="s">
        <v>51</v>
      </c>
    </row>
    <row r="434" spans="1:7" x14ac:dyDescent="0.25">
      <c r="A434" s="5" t="s">
        <v>59</v>
      </c>
      <c r="B434" s="6" t="str">
        <f>IF($G$425="","",IFERROR(INDEX(SAISIE!$C$5:$C$504,MATCH(_xlfn.MAXIFS(SAISIE!$E$5:$E$504,SAISIE!$B$5:$B$504,"*Vent Arr./Av.*",SAISIE!$F$5:$F$504,$G$425),SAISIE!$E$5:$E$504,0)),"-"))</f>
        <v/>
      </c>
      <c r="C434" s="6" t="str">
        <f>IF($G$425="","",IFERROR(INDEX(SAISIE!$D$5:$D$504,MATCH(_xlfn.MAXIFS(SAISIE!$E$5:$E$504,SAISIE!$B$5:$B$504,"*Vent Arr./Av.*",SAISIE!$F$5:$F$504,$G$425),SAISIE!$E$5:$E$504,0)),"-"))</f>
        <v/>
      </c>
      <c r="D434" s="6" t="str">
        <f>IF($G$425="","",IFERROR(_xlfn.MAXIFS(SAISIE!$E$5:$E$504,SAISIE!$B$5:$B$504,"*Vent Arr./Av.*",SAISIE!$F$5:$F$504,$G$425),"-"))</f>
        <v/>
      </c>
      <c r="E434" s="6" t="s">
        <v>53</v>
      </c>
    </row>
    <row r="435" spans="1:7" x14ac:dyDescent="0.25">
      <c r="A435" s="5" t="s">
        <v>60</v>
      </c>
      <c r="B435" s="6" t="str">
        <f>IF($G$425="","",IFERROR(INDEX(SAISIE!$C$5:$C$504,MATCH(_xlfn.MINIFS(SAISIE!$E$5:$E$504,SAISIE!$B$5:$B$504,"*Neige*",SAISIE!$B$5:$B$504,"&lt;&gt;*accidentel*",SAISIE!$F$5:$F$504,$G$425),SAISIE!$E$5:$E$504,0)),"-"))</f>
        <v/>
      </c>
      <c r="C435" s="6" t="str">
        <f>IF($G$425="","",IFERROR(INDEX(SAISIE!$D$5:$D$504,MATCH(_xlfn.MINIFS(SAISIE!$E$5:$E$504,SAISIE!$B$5:$B$504,"*Neige*",SAISIE!$B$5:$B$504,"&lt;&gt;*accidentel*",SAISIE!$F$5:$F$504,$G$425),SAISIE!$E$5:$E$504,0)),"-"))</f>
        <v/>
      </c>
      <c r="D435" s="6" t="str">
        <f>IF($G$425="","",IFERROR(INDEX(SAISIE!$E$5:$E$504,MATCH(_xlfn.MINIFS(SAISIE!$E$5:$E$504,SAISIE!$B$5:$B$504,"*Neige*",SAISIE!$B$5:$B$504,"&lt;&gt;*accidentel*",SAISIE!$F$5:$F$504,$G$425),SAISIE!$E$5:$E$504,0)),"-"))</f>
        <v/>
      </c>
      <c r="E435" s="6"/>
    </row>
    <row r="436" spans="1:7" x14ac:dyDescent="0.25">
      <c r="A436" s="5" t="s">
        <v>61</v>
      </c>
      <c r="B436" s="6" t="str">
        <f>IF($G$425="","",IFERROR(LOOKUP(2,1/((SAISIE!$F$5:$F$504=$G$425)*(ISNUMBER(SEARCH("accidentel",SAISIE!$B$5:$B$504)))),SAISIE!$C$5:$C$504),"-"))</f>
        <v/>
      </c>
      <c r="C436" s="6" t="str">
        <f>IF($G$425="","",IFERROR(LOOKUP(2,1/((SAISIE!$F$5:$F$504=$G$425)*(ISNUMBER(SEARCH("accidentel",SAISIE!$B$5:$B$504)))),SAISIE!$D$5:$D$504),"-"))</f>
        <v/>
      </c>
      <c r="D436" s="6" t="str">
        <f>IF($G$425="","",IFERROR(LOOKUP(2,1/((SAISIE!$F$5:$F$504=$G$425)*(ISNUMBER(SEARCH("accidentel",SAISIE!$B$5:$B$504)))),SAISIE!$E$5:$E$504),"-"))</f>
        <v/>
      </c>
      <c r="E436" s="6"/>
    </row>
    <row r="437" spans="1:7" ht="15.75" x14ac:dyDescent="0.25">
      <c r="A437" s="9" t="str">
        <f>IF($G$437="","","Noeud "&amp;$G$437)</f>
        <v/>
      </c>
      <c r="B437" s="10"/>
      <c r="C437" s="10"/>
      <c r="D437" s="10"/>
      <c r="E437" s="10"/>
      <c r="G437" t="str">
        <f>IFERROR(INDEX(SAISIE!$F$5:$F$504,_xlfn.AGGREGATE(15,6,ROW(SAISIE!$F$5:$F$504)-ROW(SAISIE!$F$5)+1/(SAISIE!$F$5:$F$504&lt;&gt;"")/(COUNTIF($G$4:G436,SAISIE!$F$5:$F$504)=0),1)),"")</f>
        <v/>
      </c>
    </row>
    <row r="438" spans="1:7" x14ac:dyDescent="0.25">
      <c r="A438" s="5" t="s">
        <v>49</v>
      </c>
      <c r="B438" s="6" t="str">
        <f>IF($G$437="","",IFERROR(IFERROR(LOOKUP(2,1/((SAISIE!$F$5:$F$504=$G$437)*(LEFT(SAISIE!$B$5:$B$504,2)="G ")),SAISIE!$C$5:$C$504),LOOKUP(2,1/((SAISIE!$F$5:$F$504=$G$437)*(ISNUMBER(SEARCH("Couverture",SAISIE!$B$5:$B$504)))),SAISIE!$C$5:$C$504)),"-"))</f>
        <v/>
      </c>
      <c r="C438" s="6" t="str">
        <f>IF($G$437="","",IFERROR(IFERROR(LOOKUP(2,1/((SAISIE!$F$5:$F$504=$G$437)*(LEFT(SAISIE!$B$5:$B$504,2)="G ")),SAISIE!$D$5:$D$504),LOOKUP(2,1/((SAISIE!$F$5:$F$504=$G$437)*(ISNUMBER(SEARCH("Couverture",SAISIE!$B$5:$B$504)))),SAISIE!$D$5:$D$504)),"-"))</f>
        <v/>
      </c>
      <c r="D438" s="6" t="str">
        <f>IF($G$437="","",IFERROR(IFERROR(LOOKUP(2,1/((SAISIE!$F$5:$F$504=$G$437)*(LEFT(SAISIE!$B$5:$B$504,2)="G ")),SAISIE!$E$5:$E$504),LOOKUP(2,1/((SAISIE!$F$5:$F$504=$G$437)*(ISNUMBER(SEARCH("Couverture",SAISIE!$B$5:$B$504)))),SAISIE!$E$5:$E$504)),"-"))</f>
        <v/>
      </c>
      <c r="E438" s="6"/>
    </row>
    <row r="439" spans="1:7" x14ac:dyDescent="0.25">
      <c r="A439" s="5" t="s">
        <v>50</v>
      </c>
      <c r="B439" s="6" t="str">
        <f>IF($G$437="","",IFERROR(IF(_xlfn.MINIFS(SAISIE!$E$5:$E$504,SAISIE!$B$5:$B$504,"*Vent G/D*",SAISIE!$F$5:$F$504,$G$437)&gt;=0,_xlfn.MAXIFS(SAISIE!$C$5:$C$504,SAISIE!$B$5:$B$504,"*Vent G/D*",SAISIE!$F$5:$F$504,$G$437),INDEX(SAISIE!$C$5:$C$504,MATCH(_xlfn.MINIFS(SAISIE!$E$5:$E$504,SAISIE!$B$5:$B$504,"*Vent G/D*",SAISIE!$F$5:$F$504,$G$437),SAISIE!$E$5:$E$504,0))),"-"))</f>
        <v/>
      </c>
      <c r="C439" s="6" t="str">
        <f>IF($G$437="","",IFERROR(IF(_xlfn.MINIFS(SAISIE!$E$5:$E$504,SAISIE!$B$5:$B$504,"*Vent G/D*",SAISIE!$F$5:$F$504,$G$437)&gt;=0,INDEX(SAISIE!$D$5:$D$504,MATCH(_xlfn.MAXIFS(SAISIE!$C$5:$C$504,SAISIE!$B$5:$B$504,"*Vent G/D*",SAISIE!$F$5:$F$504,$G$437),SAISIE!$C$5:$C$504,0)),INDEX(SAISIE!$D$5:$D$504,MATCH(_xlfn.MINIFS(SAISIE!$E$5:$E$504,SAISIE!$B$5:$B$504,"*Vent G/D*",SAISIE!$F$5:$F$504,$G$437),SAISIE!$E$5:$E$504,0))),"-"))</f>
        <v/>
      </c>
      <c r="D439" s="6" t="str">
        <f>IF($G$437="","",IFERROR(IF(_xlfn.MINIFS(SAISIE!$E$5:$E$504,SAISIE!$B$5:$B$504,"*Vent G/D*",SAISIE!$F$5:$F$504,$G$437)&gt;=0,0,_xlfn.MINIFS(SAISIE!$E$5:$E$504,SAISIE!$B$5:$B$504,"*Vent G/D*",SAISIE!$F$5:$F$504,$G$437)),"-"))</f>
        <v/>
      </c>
      <c r="E439" s="6" t="s">
        <v>51</v>
      </c>
    </row>
    <row r="440" spans="1:7" x14ac:dyDescent="0.25">
      <c r="A440" s="5" t="s">
        <v>52</v>
      </c>
      <c r="B440" s="6" t="str">
        <f>IF($G$437="","",IFERROR(INDEX(SAISIE!$C$5:$C$504,MATCH(_xlfn.MAXIFS(SAISIE!$E$5:$E$504,SAISIE!$B$5:$B$504,"*Vent G/D*",SAISIE!$F$5:$F$504,$G$437),SAISIE!$E$5:$E$504,0)),"-"))</f>
        <v/>
      </c>
      <c r="C440" s="6" t="str">
        <f>IF($G$437="","",IFERROR(INDEX(SAISIE!$D$5:$D$504,MATCH(_xlfn.MAXIFS(SAISIE!$E$5:$E$504,SAISIE!$B$5:$B$504,"*Vent G/D*",SAISIE!$F$5:$F$504,$G$437),SAISIE!$E$5:$E$504,0)),"-"))</f>
        <v/>
      </c>
      <c r="D440" s="6" t="str">
        <f>IF($G$437="","",IFERROR(_xlfn.MAXIFS(SAISIE!$E$5:$E$504,SAISIE!$B$5:$B$504,"*Vent G/D*",SAISIE!$F$5:$F$504,$G$437),"-"))</f>
        <v/>
      </c>
      <c r="E440" s="6" t="s">
        <v>53</v>
      </c>
    </row>
    <row r="441" spans="1:7" x14ac:dyDescent="0.25">
      <c r="A441" s="5" t="s">
        <v>54</v>
      </c>
      <c r="B441" s="6" t="str">
        <f>IF($G$437="","",IFERROR(IF(_xlfn.MINIFS(SAISIE!$E$5:$E$504,SAISIE!$B$5:$B$504,"*Vent D/G*",SAISIE!$F$5:$F$504,$G$437)&gt;=0,_xlfn.MAXIFS(SAISIE!$C$5:$C$504,SAISIE!$B$5:$B$504,"*Vent D/G*",SAISIE!$F$5:$F$504,$G$437),INDEX(SAISIE!$C$5:$C$504,MATCH(_xlfn.MINIFS(SAISIE!$E$5:$E$504,SAISIE!$B$5:$B$504,"*Vent D/G*",SAISIE!$F$5:$F$504,$G$437),SAISIE!$E$5:$E$504,0))),"-"))</f>
        <v/>
      </c>
      <c r="C441" s="6" t="str">
        <f>IF($G$437="","",IFERROR(IF(_xlfn.MINIFS(SAISIE!$E$5:$E$504,SAISIE!$B$5:$B$504,"*Vent D/G*",SAISIE!$F$5:$F$504,$G$437)&gt;=0,INDEX(SAISIE!$D$5:$D$504,MATCH(_xlfn.MAXIFS(SAISIE!$C$5:$C$504,SAISIE!$B$5:$B$504,"*Vent D/G*",SAISIE!$F$5:$F$504,$G$437),SAISIE!$C$5:$C$504,0)),INDEX(SAISIE!$D$5:$D$504,MATCH(_xlfn.MINIFS(SAISIE!$E$5:$E$504,SAISIE!$B$5:$B$504,"*Vent D/G*",SAISIE!$F$5:$F$504,$G$437),SAISIE!$E$5:$E$504,0))),"-"))</f>
        <v/>
      </c>
      <c r="D441" s="6" t="str">
        <f>IF($G$437="","",IFERROR(IF(_xlfn.MINIFS(SAISIE!$E$5:$E$504,SAISIE!$B$5:$B$504,"*Vent D/G*",SAISIE!$F$5:$F$504,$G$437)&gt;=0,0,_xlfn.MINIFS(SAISIE!$E$5:$E$504,SAISIE!$B$5:$B$504,"*Vent D/G*",SAISIE!$F$5:$F$504,$G$437)),"-"))</f>
        <v/>
      </c>
      <c r="E441" s="6" t="s">
        <v>51</v>
      </c>
    </row>
    <row r="442" spans="1:7" x14ac:dyDescent="0.25">
      <c r="A442" s="5" t="s">
        <v>55</v>
      </c>
      <c r="B442" s="6" t="str">
        <f>IF($G$437="","",IFERROR(INDEX(SAISIE!$C$5:$C$504,MATCH(_xlfn.MAXIFS(SAISIE!$E$5:$E$504,SAISIE!$B$5:$B$504,"*Vent D/G*",SAISIE!$F$5:$F$504,$G$437),SAISIE!$E$5:$E$504,0)),"-"))</f>
        <v/>
      </c>
      <c r="C442" s="6" t="str">
        <f>IF($G$437="","",IFERROR(INDEX(SAISIE!$D$5:$D$504,MATCH(_xlfn.MAXIFS(SAISIE!$E$5:$E$504,SAISIE!$B$5:$B$504,"*Vent D/G*",SAISIE!$F$5:$F$504,$G$437),SAISIE!$E$5:$E$504,0)),"-"))</f>
        <v/>
      </c>
      <c r="D442" s="6" t="str">
        <f>IF($G$437="","",IFERROR(_xlfn.MAXIFS(SAISIE!$E$5:$E$504,SAISIE!$B$5:$B$504,"*Vent D/G*",SAISIE!$F$5:$F$504,$G$437),"-"))</f>
        <v/>
      </c>
      <c r="E442" s="6" t="s">
        <v>53</v>
      </c>
    </row>
    <row r="443" spans="1:7" x14ac:dyDescent="0.25">
      <c r="A443" s="5" t="s">
        <v>56</v>
      </c>
      <c r="B443" s="6" t="str">
        <f>IF($G$437="","",IFERROR(IF(_xlfn.MINIFS(SAISIE!$E$5:$E$504,SAISIE!$B$5:$B$504,"*Vent Av./Arr.*",SAISIE!$F$5:$F$504,$G$437)&gt;=0,_xlfn.MAXIFS(SAISIE!$C$5:$C$504,SAISIE!$B$5:$B$504,"*Vent Av./Arr.*",SAISIE!$F$5:$F$504,$G$437),INDEX(SAISIE!$C$5:$C$504,MATCH(_xlfn.MINIFS(SAISIE!$E$5:$E$504,SAISIE!$B$5:$B$504,"*Vent Av./Arr.*",SAISIE!$F$5:$F$504,$G$437),SAISIE!$E$5:$E$504,0))),"-"))</f>
        <v/>
      </c>
      <c r="C443" s="6" t="str">
        <f>IF($G$437="","",IFERROR(IF(_xlfn.MINIFS(SAISIE!$E$5:$E$504,SAISIE!$B$5:$B$504,"*Vent Av./Arr.*",SAISIE!$F$5:$F$504,$G$437)&gt;=0,INDEX(SAISIE!$D$5:$D$504,MATCH(_xlfn.MAXIFS(SAISIE!$C$5:$C$504,SAISIE!$B$5:$B$504,"*Vent Av./Arr.*",SAISIE!$F$5:$F$504,$G$437),SAISIE!$C$5:$C$504,0)),INDEX(SAISIE!$D$5:$D$504,MATCH(_xlfn.MINIFS(SAISIE!$E$5:$E$504,SAISIE!$B$5:$B$504,"*Vent Av./Arr.*",SAISIE!$F$5:$F$504,$G$437),SAISIE!$E$5:$E$504,0))),"-"))</f>
        <v/>
      </c>
      <c r="D443" s="6" t="str">
        <f>IF($G$437="","",IFERROR(IF(_xlfn.MINIFS(SAISIE!$E$5:$E$504,SAISIE!$B$5:$B$504,"*Vent Av./Arr.*",SAISIE!$F$5:$F$504,$G$437)&gt;=0,0,_xlfn.MINIFS(SAISIE!$E$5:$E$504,SAISIE!$B$5:$B$504,"*Vent Av./Arr.*",SAISIE!$F$5:$F$504,$G$437)),"-"))</f>
        <v/>
      </c>
      <c r="E443" s="6" t="s">
        <v>51</v>
      </c>
    </row>
    <row r="444" spans="1:7" x14ac:dyDescent="0.25">
      <c r="A444" s="5" t="s">
        <v>57</v>
      </c>
      <c r="B444" s="6" t="str">
        <f>IF($G$437="","",IFERROR(INDEX(SAISIE!$C$5:$C$504,MATCH(_xlfn.MAXIFS(SAISIE!$E$5:$E$504,SAISIE!$B$5:$B$504,"*Vent Av./Arr.*",SAISIE!$F$5:$F$504,$G$437),SAISIE!$E$5:$E$504,0)),"-"))</f>
        <v/>
      </c>
      <c r="C444" s="6" t="str">
        <f>IF($G$437="","",IFERROR(INDEX(SAISIE!$D$5:$D$504,MATCH(_xlfn.MAXIFS(SAISIE!$E$5:$E$504,SAISIE!$B$5:$B$504,"*Vent Av./Arr.*",SAISIE!$F$5:$F$504,$G$437),SAISIE!$E$5:$E$504,0)),"-"))</f>
        <v/>
      </c>
      <c r="D444" s="6" t="str">
        <f>IF($G$437="","",IFERROR(_xlfn.MAXIFS(SAISIE!$E$5:$E$504,SAISIE!$B$5:$B$504,"*Vent Av./Arr.*",SAISIE!$F$5:$F$504,$G$437),"-"))</f>
        <v/>
      </c>
      <c r="E444" s="6" t="s">
        <v>53</v>
      </c>
    </row>
    <row r="445" spans="1:7" x14ac:dyDescent="0.25">
      <c r="A445" s="5" t="s">
        <v>58</v>
      </c>
      <c r="B445" s="6" t="str">
        <f>IF($G$437="","",IFERROR(IF(_xlfn.MINIFS(SAISIE!$E$5:$E$504,SAISIE!$B$5:$B$504,"*Vent Arr./Av.*",SAISIE!$F$5:$F$504,$G$437)&gt;=0,_xlfn.MAXIFS(SAISIE!$C$5:$C$504,SAISIE!$B$5:$B$504,"*Vent Arr./Av.*",SAISIE!$F$5:$F$504,$G$437),INDEX(SAISIE!$C$5:$C$504,MATCH(_xlfn.MINIFS(SAISIE!$E$5:$E$504,SAISIE!$B$5:$B$504,"*Vent Arr./Av.*",SAISIE!$F$5:$F$504,$G$437),SAISIE!$E$5:$E$504,0))),"-"))</f>
        <v/>
      </c>
      <c r="C445" s="6" t="str">
        <f>IF($G$437="","",IFERROR(IF(_xlfn.MINIFS(SAISIE!$E$5:$E$504,SAISIE!$B$5:$B$504,"*Vent Arr./Av.*",SAISIE!$F$5:$F$504,$G$437)&gt;=0,INDEX(SAISIE!$D$5:$D$504,MATCH(_xlfn.MAXIFS(SAISIE!$C$5:$C$504,SAISIE!$B$5:$B$504,"*Vent Arr./Av.*",SAISIE!$F$5:$F$504,$G$437),SAISIE!$C$5:$C$504,0)),INDEX(SAISIE!$D$5:$D$504,MATCH(_xlfn.MINIFS(SAISIE!$E$5:$E$504,SAISIE!$B$5:$B$504,"*Vent Arr./Av.*",SAISIE!$F$5:$F$504,$G$437),SAISIE!$E$5:$E$504,0))),"-"))</f>
        <v/>
      </c>
      <c r="D445" s="6" t="str">
        <f>IF($G$437="","",IFERROR(IF(_xlfn.MINIFS(SAISIE!$E$5:$E$504,SAISIE!$B$5:$B$504,"*Vent Arr./Av.*",SAISIE!$F$5:$F$504,$G$437)&gt;=0,0,_xlfn.MINIFS(SAISIE!$E$5:$E$504,SAISIE!$B$5:$B$504,"*Vent Arr./Av.*",SAISIE!$F$5:$F$504,$G$437)),"-"))</f>
        <v/>
      </c>
      <c r="E445" s="6" t="s">
        <v>51</v>
      </c>
    </row>
    <row r="446" spans="1:7" x14ac:dyDescent="0.25">
      <c r="A446" s="5" t="s">
        <v>59</v>
      </c>
      <c r="B446" s="6" t="str">
        <f>IF($G$437="","",IFERROR(INDEX(SAISIE!$C$5:$C$504,MATCH(_xlfn.MAXIFS(SAISIE!$E$5:$E$504,SAISIE!$B$5:$B$504,"*Vent Arr./Av.*",SAISIE!$F$5:$F$504,$G$437),SAISIE!$E$5:$E$504,0)),"-"))</f>
        <v/>
      </c>
      <c r="C446" s="6" t="str">
        <f>IF($G$437="","",IFERROR(INDEX(SAISIE!$D$5:$D$504,MATCH(_xlfn.MAXIFS(SAISIE!$E$5:$E$504,SAISIE!$B$5:$B$504,"*Vent Arr./Av.*",SAISIE!$F$5:$F$504,$G$437),SAISIE!$E$5:$E$504,0)),"-"))</f>
        <v/>
      </c>
      <c r="D446" s="6" t="str">
        <f>IF($G$437="","",IFERROR(_xlfn.MAXIFS(SAISIE!$E$5:$E$504,SAISIE!$B$5:$B$504,"*Vent Arr./Av.*",SAISIE!$F$5:$F$504,$G$437),"-"))</f>
        <v/>
      </c>
      <c r="E446" s="6" t="s">
        <v>53</v>
      </c>
    </row>
    <row r="447" spans="1:7" x14ac:dyDescent="0.25">
      <c r="A447" s="5" t="s">
        <v>60</v>
      </c>
      <c r="B447" s="6" t="str">
        <f>IF($G$437="","",IFERROR(INDEX(SAISIE!$C$5:$C$504,MATCH(_xlfn.MINIFS(SAISIE!$E$5:$E$504,SAISIE!$B$5:$B$504,"*Neige*",SAISIE!$B$5:$B$504,"&lt;&gt;*accidentel*",SAISIE!$F$5:$F$504,$G$437),SAISIE!$E$5:$E$504,0)),"-"))</f>
        <v/>
      </c>
      <c r="C447" s="6" t="str">
        <f>IF($G$437="","",IFERROR(INDEX(SAISIE!$D$5:$D$504,MATCH(_xlfn.MINIFS(SAISIE!$E$5:$E$504,SAISIE!$B$5:$B$504,"*Neige*",SAISIE!$B$5:$B$504,"&lt;&gt;*accidentel*",SAISIE!$F$5:$F$504,$G$437),SAISIE!$E$5:$E$504,0)),"-"))</f>
        <v/>
      </c>
      <c r="D447" s="6" t="str">
        <f>IF($G$437="","",IFERROR(INDEX(SAISIE!$E$5:$E$504,MATCH(_xlfn.MINIFS(SAISIE!$E$5:$E$504,SAISIE!$B$5:$B$504,"*Neige*",SAISIE!$B$5:$B$504,"&lt;&gt;*accidentel*",SAISIE!$F$5:$F$504,$G$437),SAISIE!$E$5:$E$504,0)),"-"))</f>
        <v/>
      </c>
      <c r="E447" s="6"/>
    </row>
    <row r="448" spans="1:7" x14ac:dyDescent="0.25">
      <c r="A448" s="5" t="s">
        <v>61</v>
      </c>
      <c r="B448" s="6" t="str">
        <f>IF($G$437="","",IFERROR(LOOKUP(2,1/((SAISIE!$F$5:$F$504=$G$437)*(ISNUMBER(SEARCH("accidentel",SAISIE!$B$5:$B$504)))),SAISIE!$C$5:$C$504),"-"))</f>
        <v/>
      </c>
      <c r="C448" s="6" t="str">
        <f>IF($G$437="","",IFERROR(LOOKUP(2,1/((SAISIE!$F$5:$F$504=$G$437)*(ISNUMBER(SEARCH("accidentel",SAISIE!$B$5:$B$504)))),SAISIE!$D$5:$D$504),"-"))</f>
        <v/>
      </c>
      <c r="D448" s="6" t="str">
        <f>IF($G$437="","",IFERROR(LOOKUP(2,1/((SAISIE!$F$5:$F$504=$G$437)*(ISNUMBER(SEARCH("accidentel",SAISIE!$B$5:$B$504)))),SAISIE!$E$5:$E$504),"-"))</f>
        <v/>
      </c>
      <c r="E448" s="6"/>
    </row>
    <row r="449" spans="1:7" ht="15.75" x14ac:dyDescent="0.25">
      <c r="A449" s="9" t="str">
        <f>IF($G$449="","","Noeud "&amp;$G$449)</f>
        <v/>
      </c>
      <c r="B449" s="10"/>
      <c r="C449" s="10"/>
      <c r="D449" s="10"/>
      <c r="E449" s="10"/>
      <c r="G449" t="str">
        <f>IFERROR(INDEX(SAISIE!$F$5:$F$504,_xlfn.AGGREGATE(15,6,ROW(SAISIE!$F$5:$F$504)-ROW(SAISIE!$F$5)+1/(SAISIE!$F$5:$F$504&lt;&gt;"")/(COUNTIF($G$4:G448,SAISIE!$F$5:$F$504)=0),1)),"")</f>
        <v/>
      </c>
    </row>
    <row r="450" spans="1:7" x14ac:dyDescent="0.25">
      <c r="A450" s="5" t="s">
        <v>49</v>
      </c>
      <c r="B450" s="6" t="str">
        <f>IF($G$449="","",IFERROR(IFERROR(LOOKUP(2,1/((SAISIE!$F$5:$F$504=$G$449)*(LEFT(SAISIE!$B$5:$B$504,2)="G ")),SAISIE!$C$5:$C$504),LOOKUP(2,1/((SAISIE!$F$5:$F$504=$G$449)*(ISNUMBER(SEARCH("Couverture",SAISIE!$B$5:$B$504)))),SAISIE!$C$5:$C$504)),"-"))</f>
        <v/>
      </c>
      <c r="C450" s="6" t="str">
        <f>IF($G$449="","",IFERROR(IFERROR(LOOKUP(2,1/((SAISIE!$F$5:$F$504=$G$449)*(LEFT(SAISIE!$B$5:$B$504,2)="G ")),SAISIE!$D$5:$D$504),LOOKUP(2,1/((SAISIE!$F$5:$F$504=$G$449)*(ISNUMBER(SEARCH("Couverture",SAISIE!$B$5:$B$504)))),SAISIE!$D$5:$D$504)),"-"))</f>
        <v/>
      </c>
      <c r="D450" s="6" t="str">
        <f>IF($G$449="","",IFERROR(IFERROR(LOOKUP(2,1/((SAISIE!$F$5:$F$504=$G$449)*(LEFT(SAISIE!$B$5:$B$504,2)="G ")),SAISIE!$E$5:$E$504),LOOKUP(2,1/((SAISIE!$F$5:$F$504=$G$449)*(ISNUMBER(SEARCH("Couverture",SAISIE!$B$5:$B$504)))),SAISIE!$E$5:$E$504)),"-"))</f>
        <v/>
      </c>
      <c r="E450" s="6"/>
    </row>
    <row r="451" spans="1:7" x14ac:dyDescent="0.25">
      <c r="A451" s="5" t="s">
        <v>50</v>
      </c>
      <c r="B451" s="6" t="str">
        <f>IF($G$449="","",IFERROR(IF(_xlfn.MINIFS(SAISIE!$E$5:$E$504,SAISIE!$B$5:$B$504,"*Vent G/D*",SAISIE!$F$5:$F$504,$G$449)&gt;=0,_xlfn.MAXIFS(SAISIE!$C$5:$C$504,SAISIE!$B$5:$B$504,"*Vent G/D*",SAISIE!$F$5:$F$504,$G$449),INDEX(SAISIE!$C$5:$C$504,MATCH(_xlfn.MINIFS(SAISIE!$E$5:$E$504,SAISIE!$B$5:$B$504,"*Vent G/D*",SAISIE!$F$5:$F$504,$G$449),SAISIE!$E$5:$E$504,0))),"-"))</f>
        <v/>
      </c>
      <c r="C451" s="6" t="str">
        <f>IF($G$449="","",IFERROR(IF(_xlfn.MINIFS(SAISIE!$E$5:$E$504,SAISIE!$B$5:$B$504,"*Vent G/D*",SAISIE!$F$5:$F$504,$G$449)&gt;=0,INDEX(SAISIE!$D$5:$D$504,MATCH(_xlfn.MAXIFS(SAISIE!$C$5:$C$504,SAISIE!$B$5:$B$504,"*Vent G/D*",SAISIE!$F$5:$F$504,$G$449),SAISIE!$C$5:$C$504,0)),INDEX(SAISIE!$D$5:$D$504,MATCH(_xlfn.MINIFS(SAISIE!$E$5:$E$504,SAISIE!$B$5:$B$504,"*Vent G/D*",SAISIE!$F$5:$F$504,$G$449),SAISIE!$E$5:$E$504,0))),"-"))</f>
        <v/>
      </c>
      <c r="D451" s="6" t="str">
        <f>IF($G$449="","",IFERROR(IF(_xlfn.MINIFS(SAISIE!$E$5:$E$504,SAISIE!$B$5:$B$504,"*Vent G/D*",SAISIE!$F$5:$F$504,$G$449)&gt;=0,0,_xlfn.MINIFS(SAISIE!$E$5:$E$504,SAISIE!$B$5:$B$504,"*Vent G/D*",SAISIE!$F$5:$F$504,$G$449)),"-"))</f>
        <v/>
      </c>
      <c r="E451" s="6" t="s">
        <v>51</v>
      </c>
    </row>
    <row r="452" spans="1:7" x14ac:dyDescent="0.25">
      <c r="A452" s="5" t="s">
        <v>52</v>
      </c>
      <c r="B452" s="6" t="str">
        <f>IF($G$449="","",IFERROR(INDEX(SAISIE!$C$5:$C$504,MATCH(_xlfn.MAXIFS(SAISIE!$E$5:$E$504,SAISIE!$B$5:$B$504,"*Vent G/D*",SAISIE!$F$5:$F$504,$G$449),SAISIE!$E$5:$E$504,0)),"-"))</f>
        <v/>
      </c>
      <c r="C452" s="6" t="str">
        <f>IF($G$449="","",IFERROR(INDEX(SAISIE!$D$5:$D$504,MATCH(_xlfn.MAXIFS(SAISIE!$E$5:$E$504,SAISIE!$B$5:$B$504,"*Vent G/D*",SAISIE!$F$5:$F$504,$G$449),SAISIE!$E$5:$E$504,0)),"-"))</f>
        <v/>
      </c>
      <c r="D452" s="6" t="str">
        <f>IF($G$449="","",IFERROR(_xlfn.MAXIFS(SAISIE!$E$5:$E$504,SAISIE!$B$5:$B$504,"*Vent G/D*",SAISIE!$F$5:$F$504,$G$449),"-"))</f>
        <v/>
      </c>
      <c r="E452" s="6" t="s">
        <v>53</v>
      </c>
    </row>
    <row r="453" spans="1:7" x14ac:dyDescent="0.25">
      <c r="A453" s="5" t="s">
        <v>54</v>
      </c>
      <c r="B453" s="6" t="str">
        <f>IF($G$449="","",IFERROR(IF(_xlfn.MINIFS(SAISIE!$E$5:$E$504,SAISIE!$B$5:$B$504,"*Vent D/G*",SAISIE!$F$5:$F$504,$G$449)&gt;=0,_xlfn.MAXIFS(SAISIE!$C$5:$C$504,SAISIE!$B$5:$B$504,"*Vent D/G*",SAISIE!$F$5:$F$504,$G$449),INDEX(SAISIE!$C$5:$C$504,MATCH(_xlfn.MINIFS(SAISIE!$E$5:$E$504,SAISIE!$B$5:$B$504,"*Vent D/G*",SAISIE!$F$5:$F$504,$G$449),SAISIE!$E$5:$E$504,0))),"-"))</f>
        <v/>
      </c>
      <c r="C453" s="6" t="str">
        <f>IF($G$449="","",IFERROR(IF(_xlfn.MINIFS(SAISIE!$E$5:$E$504,SAISIE!$B$5:$B$504,"*Vent D/G*",SAISIE!$F$5:$F$504,$G$449)&gt;=0,INDEX(SAISIE!$D$5:$D$504,MATCH(_xlfn.MAXIFS(SAISIE!$C$5:$C$504,SAISIE!$B$5:$B$504,"*Vent D/G*",SAISIE!$F$5:$F$504,$G$449),SAISIE!$C$5:$C$504,0)),INDEX(SAISIE!$D$5:$D$504,MATCH(_xlfn.MINIFS(SAISIE!$E$5:$E$504,SAISIE!$B$5:$B$504,"*Vent D/G*",SAISIE!$F$5:$F$504,$G$449),SAISIE!$E$5:$E$504,0))),"-"))</f>
        <v/>
      </c>
      <c r="D453" s="6" t="str">
        <f>IF($G$449="","",IFERROR(IF(_xlfn.MINIFS(SAISIE!$E$5:$E$504,SAISIE!$B$5:$B$504,"*Vent D/G*",SAISIE!$F$5:$F$504,$G$449)&gt;=0,0,_xlfn.MINIFS(SAISIE!$E$5:$E$504,SAISIE!$B$5:$B$504,"*Vent D/G*",SAISIE!$F$5:$F$504,$G$449)),"-"))</f>
        <v/>
      </c>
      <c r="E453" s="6" t="s">
        <v>51</v>
      </c>
    </row>
    <row r="454" spans="1:7" x14ac:dyDescent="0.25">
      <c r="A454" s="5" t="s">
        <v>55</v>
      </c>
      <c r="B454" s="6" t="str">
        <f>IF($G$449="","",IFERROR(INDEX(SAISIE!$C$5:$C$504,MATCH(_xlfn.MAXIFS(SAISIE!$E$5:$E$504,SAISIE!$B$5:$B$504,"*Vent D/G*",SAISIE!$F$5:$F$504,$G$449),SAISIE!$E$5:$E$504,0)),"-"))</f>
        <v/>
      </c>
      <c r="C454" s="6" t="str">
        <f>IF($G$449="","",IFERROR(INDEX(SAISIE!$D$5:$D$504,MATCH(_xlfn.MAXIFS(SAISIE!$E$5:$E$504,SAISIE!$B$5:$B$504,"*Vent D/G*",SAISIE!$F$5:$F$504,$G$449),SAISIE!$E$5:$E$504,0)),"-"))</f>
        <v/>
      </c>
      <c r="D454" s="6" t="str">
        <f>IF($G$449="","",IFERROR(_xlfn.MAXIFS(SAISIE!$E$5:$E$504,SAISIE!$B$5:$B$504,"*Vent D/G*",SAISIE!$F$5:$F$504,$G$449),"-"))</f>
        <v/>
      </c>
      <c r="E454" s="6" t="s">
        <v>53</v>
      </c>
    </row>
    <row r="455" spans="1:7" x14ac:dyDescent="0.25">
      <c r="A455" s="5" t="s">
        <v>56</v>
      </c>
      <c r="B455" s="6" t="str">
        <f>IF($G$449="","",IFERROR(IF(_xlfn.MINIFS(SAISIE!$E$5:$E$504,SAISIE!$B$5:$B$504,"*Vent Av./Arr.*",SAISIE!$F$5:$F$504,$G$449)&gt;=0,_xlfn.MAXIFS(SAISIE!$C$5:$C$504,SAISIE!$B$5:$B$504,"*Vent Av./Arr.*",SAISIE!$F$5:$F$504,$G$449),INDEX(SAISIE!$C$5:$C$504,MATCH(_xlfn.MINIFS(SAISIE!$E$5:$E$504,SAISIE!$B$5:$B$504,"*Vent Av./Arr.*",SAISIE!$F$5:$F$504,$G$449),SAISIE!$E$5:$E$504,0))),"-"))</f>
        <v/>
      </c>
      <c r="C455" s="6" t="str">
        <f>IF($G$449="","",IFERROR(IF(_xlfn.MINIFS(SAISIE!$E$5:$E$504,SAISIE!$B$5:$B$504,"*Vent Av./Arr.*",SAISIE!$F$5:$F$504,$G$449)&gt;=0,INDEX(SAISIE!$D$5:$D$504,MATCH(_xlfn.MAXIFS(SAISIE!$C$5:$C$504,SAISIE!$B$5:$B$504,"*Vent Av./Arr.*",SAISIE!$F$5:$F$504,$G$449),SAISIE!$C$5:$C$504,0)),INDEX(SAISIE!$D$5:$D$504,MATCH(_xlfn.MINIFS(SAISIE!$E$5:$E$504,SAISIE!$B$5:$B$504,"*Vent Av./Arr.*",SAISIE!$F$5:$F$504,$G$449),SAISIE!$E$5:$E$504,0))),"-"))</f>
        <v/>
      </c>
      <c r="D455" s="6" t="str">
        <f>IF($G$449="","",IFERROR(IF(_xlfn.MINIFS(SAISIE!$E$5:$E$504,SAISIE!$B$5:$B$504,"*Vent Av./Arr.*",SAISIE!$F$5:$F$504,$G$449)&gt;=0,0,_xlfn.MINIFS(SAISIE!$E$5:$E$504,SAISIE!$B$5:$B$504,"*Vent Av./Arr.*",SAISIE!$F$5:$F$504,$G$449)),"-"))</f>
        <v/>
      </c>
      <c r="E455" s="6" t="s">
        <v>51</v>
      </c>
    </row>
    <row r="456" spans="1:7" x14ac:dyDescent="0.25">
      <c r="A456" s="5" t="s">
        <v>57</v>
      </c>
      <c r="B456" s="6" t="str">
        <f>IF($G$449="","",IFERROR(INDEX(SAISIE!$C$5:$C$504,MATCH(_xlfn.MAXIFS(SAISIE!$E$5:$E$504,SAISIE!$B$5:$B$504,"*Vent Av./Arr.*",SAISIE!$F$5:$F$504,$G$449),SAISIE!$E$5:$E$504,0)),"-"))</f>
        <v/>
      </c>
      <c r="C456" s="6" t="str">
        <f>IF($G$449="","",IFERROR(INDEX(SAISIE!$D$5:$D$504,MATCH(_xlfn.MAXIFS(SAISIE!$E$5:$E$504,SAISIE!$B$5:$B$504,"*Vent Av./Arr.*",SAISIE!$F$5:$F$504,$G$449),SAISIE!$E$5:$E$504,0)),"-"))</f>
        <v/>
      </c>
      <c r="D456" s="6" t="str">
        <f>IF($G$449="","",IFERROR(_xlfn.MAXIFS(SAISIE!$E$5:$E$504,SAISIE!$B$5:$B$504,"*Vent Av./Arr.*",SAISIE!$F$5:$F$504,$G$449),"-"))</f>
        <v/>
      </c>
      <c r="E456" s="6" t="s">
        <v>53</v>
      </c>
    </row>
    <row r="457" spans="1:7" x14ac:dyDescent="0.25">
      <c r="A457" s="5" t="s">
        <v>58</v>
      </c>
      <c r="B457" s="6" t="str">
        <f>IF($G$449="","",IFERROR(IF(_xlfn.MINIFS(SAISIE!$E$5:$E$504,SAISIE!$B$5:$B$504,"*Vent Arr./Av.*",SAISIE!$F$5:$F$504,$G$449)&gt;=0,_xlfn.MAXIFS(SAISIE!$C$5:$C$504,SAISIE!$B$5:$B$504,"*Vent Arr./Av.*",SAISIE!$F$5:$F$504,$G$449),INDEX(SAISIE!$C$5:$C$504,MATCH(_xlfn.MINIFS(SAISIE!$E$5:$E$504,SAISIE!$B$5:$B$504,"*Vent Arr./Av.*",SAISIE!$F$5:$F$504,$G$449),SAISIE!$E$5:$E$504,0))),"-"))</f>
        <v/>
      </c>
      <c r="C457" s="6" t="str">
        <f>IF($G$449="","",IFERROR(IF(_xlfn.MINIFS(SAISIE!$E$5:$E$504,SAISIE!$B$5:$B$504,"*Vent Arr./Av.*",SAISIE!$F$5:$F$504,$G$449)&gt;=0,INDEX(SAISIE!$D$5:$D$504,MATCH(_xlfn.MAXIFS(SAISIE!$C$5:$C$504,SAISIE!$B$5:$B$504,"*Vent Arr./Av.*",SAISIE!$F$5:$F$504,$G$449),SAISIE!$C$5:$C$504,0)),INDEX(SAISIE!$D$5:$D$504,MATCH(_xlfn.MINIFS(SAISIE!$E$5:$E$504,SAISIE!$B$5:$B$504,"*Vent Arr./Av.*",SAISIE!$F$5:$F$504,$G$449),SAISIE!$E$5:$E$504,0))),"-"))</f>
        <v/>
      </c>
      <c r="D457" s="6" t="str">
        <f>IF($G$449="","",IFERROR(IF(_xlfn.MINIFS(SAISIE!$E$5:$E$504,SAISIE!$B$5:$B$504,"*Vent Arr./Av.*",SAISIE!$F$5:$F$504,$G$449)&gt;=0,0,_xlfn.MINIFS(SAISIE!$E$5:$E$504,SAISIE!$B$5:$B$504,"*Vent Arr./Av.*",SAISIE!$F$5:$F$504,$G$449)),"-"))</f>
        <v/>
      </c>
      <c r="E457" s="6" t="s">
        <v>51</v>
      </c>
    </row>
    <row r="458" spans="1:7" x14ac:dyDescent="0.25">
      <c r="A458" s="5" t="s">
        <v>59</v>
      </c>
      <c r="B458" s="6" t="str">
        <f>IF($G$449="","",IFERROR(INDEX(SAISIE!$C$5:$C$504,MATCH(_xlfn.MAXIFS(SAISIE!$E$5:$E$504,SAISIE!$B$5:$B$504,"*Vent Arr./Av.*",SAISIE!$F$5:$F$504,$G$449),SAISIE!$E$5:$E$504,0)),"-"))</f>
        <v/>
      </c>
      <c r="C458" s="6" t="str">
        <f>IF($G$449="","",IFERROR(INDEX(SAISIE!$D$5:$D$504,MATCH(_xlfn.MAXIFS(SAISIE!$E$5:$E$504,SAISIE!$B$5:$B$504,"*Vent Arr./Av.*",SAISIE!$F$5:$F$504,$G$449),SAISIE!$E$5:$E$504,0)),"-"))</f>
        <v/>
      </c>
      <c r="D458" s="6" t="str">
        <f>IF($G$449="","",IFERROR(_xlfn.MAXIFS(SAISIE!$E$5:$E$504,SAISIE!$B$5:$B$504,"*Vent Arr./Av.*",SAISIE!$F$5:$F$504,$G$449),"-"))</f>
        <v/>
      </c>
      <c r="E458" s="6" t="s">
        <v>53</v>
      </c>
    </row>
    <row r="459" spans="1:7" x14ac:dyDescent="0.25">
      <c r="A459" s="5" t="s">
        <v>60</v>
      </c>
      <c r="B459" s="6" t="str">
        <f>IF($G$449="","",IFERROR(INDEX(SAISIE!$C$5:$C$504,MATCH(_xlfn.MINIFS(SAISIE!$E$5:$E$504,SAISIE!$B$5:$B$504,"*Neige*",SAISIE!$B$5:$B$504,"&lt;&gt;*accidentel*",SAISIE!$F$5:$F$504,$G$449),SAISIE!$E$5:$E$504,0)),"-"))</f>
        <v/>
      </c>
      <c r="C459" s="6" t="str">
        <f>IF($G$449="","",IFERROR(INDEX(SAISIE!$D$5:$D$504,MATCH(_xlfn.MINIFS(SAISIE!$E$5:$E$504,SAISIE!$B$5:$B$504,"*Neige*",SAISIE!$B$5:$B$504,"&lt;&gt;*accidentel*",SAISIE!$F$5:$F$504,$G$449),SAISIE!$E$5:$E$504,0)),"-"))</f>
        <v/>
      </c>
      <c r="D459" s="6" t="str">
        <f>IF($G$449="","",IFERROR(INDEX(SAISIE!$E$5:$E$504,MATCH(_xlfn.MINIFS(SAISIE!$E$5:$E$504,SAISIE!$B$5:$B$504,"*Neige*",SAISIE!$B$5:$B$504,"&lt;&gt;*accidentel*",SAISIE!$F$5:$F$504,$G$449),SAISIE!$E$5:$E$504,0)),"-"))</f>
        <v/>
      </c>
      <c r="E459" s="6"/>
    </row>
    <row r="460" spans="1:7" x14ac:dyDescent="0.25">
      <c r="A460" s="5" t="s">
        <v>61</v>
      </c>
      <c r="B460" s="6" t="str">
        <f>IF($G$449="","",IFERROR(LOOKUP(2,1/((SAISIE!$F$5:$F$504=$G$449)*(ISNUMBER(SEARCH("accidentel",SAISIE!$B$5:$B$504)))),SAISIE!$C$5:$C$504),"-"))</f>
        <v/>
      </c>
      <c r="C460" s="6" t="str">
        <f>IF($G$449="","",IFERROR(LOOKUP(2,1/((SAISIE!$F$5:$F$504=$G$449)*(ISNUMBER(SEARCH("accidentel",SAISIE!$B$5:$B$504)))),SAISIE!$D$5:$D$504),"-"))</f>
        <v/>
      </c>
      <c r="D460" s="6" t="str">
        <f>IF($G$449="","",IFERROR(LOOKUP(2,1/((SAISIE!$F$5:$F$504=$G$449)*(ISNUMBER(SEARCH("accidentel",SAISIE!$B$5:$B$504)))),SAISIE!$E$5:$E$504),"-"))</f>
        <v/>
      </c>
      <c r="E460" s="6"/>
    </row>
    <row r="461" spans="1:7" ht="15.75" x14ac:dyDescent="0.25">
      <c r="A461" s="9" t="str">
        <f>IF($G$461="","","Noeud "&amp;$G$461)</f>
        <v/>
      </c>
      <c r="B461" s="10"/>
      <c r="C461" s="10"/>
      <c r="D461" s="10"/>
      <c r="E461" s="10"/>
      <c r="G461" t="str">
        <f>IFERROR(INDEX(SAISIE!$F$5:$F$504,_xlfn.AGGREGATE(15,6,ROW(SAISIE!$F$5:$F$504)-ROW(SAISIE!$F$5)+1/(SAISIE!$F$5:$F$504&lt;&gt;"")/(COUNTIF($G$4:G460,SAISIE!$F$5:$F$504)=0),1)),"")</f>
        <v/>
      </c>
    </row>
    <row r="462" spans="1:7" x14ac:dyDescent="0.25">
      <c r="A462" s="5" t="s">
        <v>49</v>
      </c>
      <c r="B462" s="6" t="str">
        <f>IF($G$461="","",IFERROR(IFERROR(LOOKUP(2,1/((SAISIE!$F$5:$F$504=$G$461)*(LEFT(SAISIE!$B$5:$B$504,2)="G ")),SAISIE!$C$5:$C$504),LOOKUP(2,1/((SAISIE!$F$5:$F$504=$G$461)*(ISNUMBER(SEARCH("Couverture",SAISIE!$B$5:$B$504)))),SAISIE!$C$5:$C$504)),"-"))</f>
        <v/>
      </c>
      <c r="C462" s="6" t="str">
        <f>IF($G$461="","",IFERROR(IFERROR(LOOKUP(2,1/((SAISIE!$F$5:$F$504=$G$461)*(LEFT(SAISIE!$B$5:$B$504,2)="G ")),SAISIE!$D$5:$D$504),LOOKUP(2,1/((SAISIE!$F$5:$F$504=$G$461)*(ISNUMBER(SEARCH("Couverture",SAISIE!$B$5:$B$504)))),SAISIE!$D$5:$D$504)),"-"))</f>
        <v/>
      </c>
      <c r="D462" s="6" t="str">
        <f>IF($G$461="","",IFERROR(IFERROR(LOOKUP(2,1/((SAISIE!$F$5:$F$504=$G$461)*(LEFT(SAISIE!$B$5:$B$504,2)="G ")),SAISIE!$E$5:$E$504),LOOKUP(2,1/((SAISIE!$F$5:$F$504=$G$461)*(ISNUMBER(SEARCH("Couverture",SAISIE!$B$5:$B$504)))),SAISIE!$E$5:$E$504)),"-"))</f>
        <v/>
      </c>
      <c r="E462" s="6"/>
    </row>
    <row r="463" spans="1:7" x14ac:dyDescent="0.25">
      <c r="A463" s="5" t="s">
        <v>50</v>
      </c>
      <c r="B463" s="6" t="str">
        <f>IF($G$461="","",IFERROR(IF(_xlfn.MINIFS(SAISIE!$E$5:$E$504,SAISIE!$B$5:$B$504,"*Vent G/D*",SAISIE!$F$5:$F$504,$G$461)&gt;=0,_xlfn.MAXIFS(SAISIE!$C$5:$C$504,SAISIE!$B$5:$B$504,"*Vent G/D*",SAISIE!$F$5:$F$504,$G$461),INDEX(SAISIE!$C$5:$C$504,MATCH(_xlfn.MINIFS(SAISIE!$E$5:$E$504,SAISIE!$B$5:$B$504,"*Vent G/D*",SAISIE!$F$5:$F$504,$G$461),SAISIE!$E$5:$E$504,0))),"-"))</f>
        <v/>
      </c>
      <c r="C463" s="6" t="str">
        <f>IF($G$461="","",IFERROR(IF(_xlfn.MINIFS(SAISIE!$E$5:$E$504,SAISIE!$B$5:$B$504,"*Vent G/D*",SAISIE!$F$5:$F$504,$G$461)&gt;=0,INDEX(SAISIE!$D$5:$D$504,MATCH(_xlfn.MAXIFS(SAISIE!$C$5:$C$504,SAISIE!$B$5:$B$504,"*Vent G/D*",SAISIE!$F$5:$F$504,$G$461),SAISIE!$C$5:$C$504,0)),INDEX(SAISIE!$D$5:$D$504,MATCH(_xlfn.MINIFS(SAISIE!$E$5:$E$504,SAISIE!$B$5:$B$504,"*Vent G/D*",SAISIE!$F$5:$F$504,$G$461),SAISIE!$E$5:$E$504,0))),"-"))</f>
        <v/>
      </c>
      <c r="D463" s="6" t="str">
        <f>IF($G$461="","",IFERROR(IF(_xlfn.MINIFS(SAISIE!$E$5:$E$504,SAISIE!$B$5:$B$504,"*Vent G/D*",SAISIE!$F$5:$F$504,$G$461)&gt;=0,0,_xlfn.MINIFS(SAISIE!$E$5:$E$504,SAISIE!$B$5:$B$504,"*Vent G/D*",SAISIE!$F$5:$F$504,$G$461)),"-"))</f>
        <v/>
      </c>
      <c r="E463" s="6" t="s">
        <v>51</v>
      </c>
    </row>
    <row r="464" spans="1:7" x14ac:dyDescent="0.25">
      <c r="A464" s="5" t="s">
        <v>52</v>
      </c>
      <c r="B464" s="6" t="str">
        <f>IF($G$461="","",IFERROR(INDEX(SAISIE!$C$5:$C$504,MATCH(_xlfn.MAXIFS(SAISIE!$E$5:$E$504,SAISIE!$B$5:$B$504,"*Vent G/D*",SAISIE!$F$5:$F$504,$G$461),SAISIE!$E$5:$E$504,0)),"-"))</f>
        <v/>
      </c>
      <c r="C464" s="6" t="str">
        <f>IF($G$461="","",IFERROR(INDEX(SAISIE!$D$5:$D$504,MATCH(_xlfn.MAXIFS(SAISIE!$E$5:$E$504,SAISIE!$B$5:$B$504,"*Vent G/D*",SAISIE!$F$5:$F$504,$G$461),SAISIE!$E$5:$E$504,0)),"-"))</f>
        <v/>
      </c>
      <c r="D464" s="6" t="str">
        <f>IF($G$461="","",IFERROR(_xlfn.MAXIFS(SAISIE!$E$5:$E$504,SAISIE!$B$5:$B$504,"*Vent G/D*",SAISIE!$F$5:$F$504,$G$461),"-"))</f>
        <v/>
      </c>
      <c r="E464" s="6" t="s">
        <v>53</v>
      </c>
    </row>
    <row r="465" spans="1:7" x14ac:dyDescent="0.25">
      <c r="A465" s="5" t="s">
        <v>54</v>
      </c>
      <c r="B465" s="6" t="str">
        <f>IF($G$461="","",IFERROR(IF(_xlfn.MINIFS(SAISIE!$E$5:$E$504,SAISIE!$B$5:$B$504,"*Vent D/G*",SAISIE!$F$5:$F$504,$G$461)&gt;=0,_xlfn.MAXIFS(SAISIE!$C$5:$C$504,SAISIE!$B$5:$B$504,"*Vent D/G*",SAISIE!$F$5:$F$504,$G$461),INDEX(SAISIE!$C$5:$C$504,MATCH(_xlfn.MINIFS(SAISIE!$E$5:$E$504,SAISIE!$B$5:$B$504,"*Vent D/G*",SAISIE!$F$5:$F$504,$G$461),SAISIE!$E$5:$E$504,0))),"-"))</f>
        <v/>
      </c>
      <c r="C465" s="6" t="str">
        <f>IF($G$461="","",IFERROR(IF(_xlfn.MINIFS(SAISIE!$E$5:$E$504,SAISIE!$B$5:$B$504,"*Vent D/G*",SAISIE!$F$5:$F$504,$G$461)&gt;=0,INDEX(SAISIE!$D$5:$D$504,MATCH(_xlfn.MAXIFS(SAISIE!$C$5:$C$504,SAISIE!$B$5:$B$504,"*Vent D/G*",SAISIE!$F$5:$F$504,$G$461),SAISIE!$C$5:$C$504,0)),INDEX(SAISIE!$D$5:$D$504,MATCH(_xlfn.MINIFS(SAISIE!$E$5:$E$504,SAISIE!$B$5:$B$504,"*Vent D/G*",SAISIE!$F$5:$F$504,$G$461),SAISIE!$E$5:$E$504,0))),"-"))</f>
        <v/>
      </c>
      <c r="D465" s="6" t="str">
        <f>IF($G$461="","",IFERROR(IF(_xlfn.MINIFS(SAISIE!$E$5:$E$504,SAISIE!$B$5:$B$504,"*Vent D/G*",SAISIE!$F$5:$F$504,$G$461)&gt;=0,0,_xlfn.MINIFS(SAISIE!$E$5:$E$504,SAISIE!$B$5:$B$504,"*Vent D/G*",SAISIE!$F$5:$F$504,$G$461)),"-"))</f>
        <v/>
      </c>
      <c r="E465" s="6" t="s">
        <v>51</v>
      </c>
    </row>
    <row r="466" spans="1:7" x14ac:dyDescent="0.25">
      <c r="A466" s="5" t="s">
        <v>55</v>
      </c>
      <c r="B466" s="6" t="str">
        <f>IF($G$461="","",IFERROR(INDEX(SAISIE!$C$5:$C$504,MATCH(_xlfn.MAXIFS(SAISIE!$E$5:$E$504,SAISIE!$B$5:$B$504,"*Vent D/G*",SAISIE!$F$5:$F$504,$G$461),SAISIE!$E$5:$E$504,0)),"-"))</f>
        <v/>
      </c>
      <c r="C466" s="6" t="str">
        <f>IF($G$461="","",IFERROR(INDEX(SAISIE!$D$5:$D$504,MATCH(_xlfn.MAXIFS(SAISIE!$E$5:$E$504,SAISIE!$B$5:$B$504,"*Vent D/G*",SAISIE!$F$5:$F$504,$G$461),SAISIE!$E$5:$E$504,0)),"-"))</f>
        <v/>
      </c>
      <c r="D466" s="6" t="str">
        <f>IF($G$461="","",IFERROR(_xlfn.MAXIFS(SAISIE!$E$5:$E$504,SAISIE!$B$5:$B$504,"*Vent D/G*",SAISIE!$F$5:$F$504,$G$461),"-"))</f>
        <v/>
      </c>
      <c r="E466" s="6" t="s">
        <v>53</v>
      </c>
    </row>
    <row r="467" spans="1:7" x14ac:dyDescent="0.25">
      <c r="A467" s="5" t="s">
        <v>56</v>
      </c>
      <c r="B467" s="6" t="str">
        <f>IF($G$461="","",IFERROR(IF(_xlfn.MINIFS(SAISIE!$E$5:$E$504,SAISIE!$B$5:$B$504,"*Vent Av./Arr.*",SAISIE!$F$5:$F$504,$G$461)&gt;=0,_xlfn.MAXIFS(SAISIE!$C$5:$C$504,SAISIE!$B$5:$B$504,"*Vent Av./Arr.*",SAISIE!$F$5:$F$504,$G$461),INDEX(SAISIE!$C$5:$C$504,MATCH(_xlfn.MINIFS(SAISIE!$E$5:$E$504,SAISIE!$B$5:$B$504,"*Vent Av./Arr.*",SAISIE!$F$5:$F$504,$G$461),SAISIE!$E$5:$E$504,0))),"-"))</f>
        <v/>
      </c>
      <c r="C467" s="6" t="str">
        <f>IF($G$461="","",IFERROR(IF(_xlfn.MINIFS(SAISIE!$E$5:$E$504,SAISIE!$B$5:$B$504,"*Vent Av./Arr.*",SAISIE!$F$5:$F$504,$G$461)&gt;=0,INDEX(SAISIE!$D$5:$D$504,MATCH(_xlfn.MAXIFS(SAISIE!$C$5:$C$504,SAISIE!$B$5:$B$504,"*Vent Av./Arr.*",SAISIE!$F$5:$F$504,$G$461),SAISIE!$C$5:$C$504,0)),INDEX(SAISIE!$D$5:$D$504,MATCH(_xlfn.MINIFS(SAISIE!$E$5:$E$504,SAISIE!$B$5:$B$504,"*Vent Av./Arr.*",SAISIE!$F$5:$F$504,$G$461),SAISIE!$E$5:$E$504,0))),"-"))</f>
        <v/>
      </c>
      <c r="D467" s="6" t="str">
        <f>IF($G$461="","",IFERROR(IF(_xlfn.MINIFS(SAISIE!$E$5:$E$504,SAISIE!$B$5:$B$504,"*Vent Av./Arr.*",SAISIE!$F$5:$F$504,$G$461)&gt;=0,0,_xlfn.MINIFS(SAISIE!$E$5:$E$504,SAISIE!$B$5:$B$504,"*Vent Av./Arr.*",SAISIE!$F$5:$F$504,$G$461)),"-"))</f>
        <v/>
      </c>
      <c r="E467" s="6" t="s">
        <v>51</v>
      </c>
    </row>
    <row r="468" spans="1:7" x14ac:dyDescent="0.25">
      <c r="A468" s="5" t="s">
        <v>57</v>
      </c>
      <c r="B468" s="6" t="str">
        <f>IF($G$461="","",IFERROR(INDEX(SAISIE!$C$5:$C$504,MATCH(_xlfn.MAXIFS(SAISIE!$E$5:$E$504,SAISIE!$B$5:$B$504,"*Vent Av./Arr.*",SAISIE!$F$5:$F$504,$G$461),SAISIE!$E$5:$E$504,0)),"-"))</f>
        <v/>
      </c>
      <c r="C468" s="6" t="str">
        <f>IF($G$461="","",IFERROR(INDEX(SAISIE!$D$5:$D$504,MATCH(_xlfn.MAXIFS(SAISIE!$E$5:$E$504,SAISIE!$B$5:$B$504,"*Vent Av./Arr.*",SAISIE!$F$5:$F$504,$G$461),SAISIE!$E$5:$E$504,0)),"-"))</f>
        <v/>
      </c>
      <c r="D468" s="6" t="str">
        <f>IF($G$461="","",IFERROR(_xlfn.MAXIFS(SAISIE!$E$5:$E$504,SAISIE!$B$5:$B$504,"*Vent Av./Arr.*",SAISIE!$F$5:$F$504,$G$461),"-"))</f>
        <v/>
      </c>
      <c r="E468" s="6" t="s">
        <v>53</v>
      </c>
    </row>
    <row r="469" spans="1:7" x14ac:dyDescent="0.25">
      <c r="A469" s="5" t="s">
        <v>58</v>
      </c>
      <c r="B469" s="6" t="str">
        <f>IF($G$461="","",IFERROR(IF(_xlfn.MINIFS(SAISIE!$E$5:$E$504,SAISIE!$B$5:$B$504,"*Vent Arr./Av.*",SAISIE!$F$5:$F$504,$G$461)&gt;=0,_xlfn.MAXIFS(SAISIE!$C$5:$C$504,SAISIE!$B$5:$B$504,"*Vent Arr./Av.*",SAISIE!$F$5:$F$504,$G$461),INDEX(SAISIE!$C$5:$C$504,MATCH(_xlfn.MINIFS(SAISIE!$E$5:$E$504,SAISIE!$B$5:$B$504,"*Vent Arr./Av.*",SAISIE!$F$5:$F$504,$G$461),SAISIE!$E$5:$E$504,0))),"-"))</f>
        <v/>
      </c>
      <c r="C469" s="6" t="str">
        <f>IF($G$461="","",IFERROR(IF(_xlfn.MINIFS(SAISIE!$E$5:$E$504,SAISIE!$B$5:$B$504,"*Vent Arr./Av.*",SAISIE!$F$5:$F$504,$G$461)&gt;=0,INDEX(SAISIE!$D$5:$D$504,MATCH(_xlfn.MAXIFS(SAISIE!$C$5:$C$504,SAISIE!$B$5:$B$504,"*Vent Arr./Av.*",SAISIE!$F$5:$F$504,$G$461),SAISIE!$C$5:$C$504,0)),INDEX(SAISIE!$D$5:$D$504,MATCH(_xlfn.MINIFS(SAISIE!$E$5:$E$504,SAISIE!$B$5:$B$504,"*Vent Arr./Av.*",SAISIE!$F$5:$F$504,$G$461),SAISIE!$E$5:$E$504,0))),"-"))</f>
        <v/>
      </c>
      <c r="D469" s="6" t="str">
        <f>IF($G$461="","",IFERROR(IF(_xlfn.MINIFS(SAISIE!$E$5:$E$504,SAISIE!$B$5:$B$504,"*Vent Arr./Av.*",SAISIE!$F$5:$F$504,$G$461)&gt;=0,0,_xlfn.MINIFS(SAISIE!$E$5:$E$504,SAISIE!$B$5:$B$504,"*Vent Arr./Av.*",SAISIE!$F$5:$F$504,$G$461)),"-"))</f>
        <v/>
      </c>
      <c r="E469" s="6" t="s">
        <v>51</v>
      </c>
    </row>
    <row r="470" spans="1:7" x14ac:dyDescent="0.25">
      <c r="A470" s="5" t="s">
        <v>59</v>
      </c>
      <c r="B470" s="6" t="str">
        <f>IF($G$461="","",IFERROR(INDEX(SAISIE!$C$5:$C$504,MATCH(_xlfn.MAXIFS(SAISIE!$E$5:$E$504,SAISIE!$B$5:$B$504,"*Vent Arr./Av.*",SAISIE!$F$5:$F$504,$G$461),SAISIE!$E$5:$E$504,0)),"-"))</f>
        <v/>
      </c>
      <c r="C470" s="6" t="str">
        <f>IF($G$461="","",IFERROR(INDEX(SAISIE!$D$5:$D$504,MATCH(_xlfn.MAXIFS(SAISIE!$E$5:$E$504,SAISIE!$B$5:$B$504,"*Vent Arr./Av.*",SAISIE!$F$5:$F$504,$G$461),SAISIE!$E$5:$E$504,0)),"-"))</f>
        <v/>
      </c>
      <c r="D470" s="6" t="str">
        <f>IF($G$461="","",IFERROR(_xlfn.MAXIFS(SAISIE!$E$5:$E$504,SAISIE!$B$5:$B$504,"*Vent Arr./Av.*",SAISIE!$F$5:$F$504,$G$461),"-"))</f>
        <v/>
      </c>
      <c r="E470" s="6" t="s">
        <v>53</v>
      </c>
    </row>
    <row r="471" spans="1:7" x14ac:dyDescent="0.25">
      <c r="A471" s="5" t="s">
        <v>60</v>
      </c>
      <c r="B471" s="6" t="str">
        <f>IF($G$461="","",IFERROR(INDEX(SAISIE!$C$5:$C$504,MATCH(_xlfn.MINIFS(SAISIE!$E$5:$E$504,SAISIE!$B$5:$B$504,"*Neige*",SAISIE!$B$5:$B$504,"&lt;&gt;*accidentel*",SAISIE!$F$5:$F$504,$G$461),SAISIE!$E$5:$E$504,0)),"-"))</f>
        <v/>
      </c>
      <c r="C471" s="6" t="str">
        <f>IF($G$461="","",IFERROR(INDEX(SAISIE!$D$5:$D$504,MATCH(_xlfn.MINIFS(SAISIE!$E$5:$E$504,SAISIE!$B$5:$B$504,"*Neige*",SAISIE!$B$5:$B$504,"&lt;&gt;*accidentel*",SAISIE!$F$5:$F$504,$G$461),SAISIE!$E$5:$E$504,0)),"-"))</f>
        <v/>
      </c>
      <c r="D471" s="6" t="str">
        <f>IF($G$461="","",IFERROR(INDEX(SAISIE!$E$5:$E$504,MATCH(_xlfn.MINIFS(SAISIE!$E$5:$E$504,SAISIE!$B$5:$B$504,"*Neige*",SAISIE!$B$5:$B$504,"&lt;&gt;*accidentel*",SAISIE!$F$5:$F$504,$G$461),SAISIE!$E$5:$E$504,0)),"-"))</f>
        <v/>
      </c>
      <c r="E471" s="6"/>
    </row>
    <row r="472" spans="1:7" x14ac:dyDescent="0.25">
      <c r="A472" s="5" t="s">
        <v>61</v>
      </c>
      <c r="B472" s="6" t="str">
        <f>IF($G$461="","",IFERROR(LOOKUP(2,1/((SAISIE!$F$5:$F$504=$G$461)*(ISNUMBER(SEARCH("accidentel",SAISIE!$B$5:$B$504)))),SAISIE!$C$5:$C$504),"-"))</f>
        <v/>
      </c>
      <c r="C472" s="6" t="str">
        <f>IF($G$461="","",IFERROR(LOOKUP(2,1/((SAISIE!$F$5:$F$504=$G$461)*(ISNUMBER(SEARCH("accidentel",SAISIE!$B$5:$B$504)))),SAISIE!$D$5:$D$504),"-"))</f>
        <v/>
      </c>
      <c r="D472" s="6" t="str">
        <f>IF($G$461="","",IFERROR(LOOKUP(2,1/((SAISIE!$F$5:$F$504=$G$461)*(ISNUMBER(SEARCH("accidentel",SAISIE!$B$5:$B$504)))),SAISIE!$E$5:$E$504),"-"))</f>
        <v/>
      </c>
      <c r="E472" s="6"/>
    </row>
    <row r="473" spans="1:7" ht="15.75" x14ac:dyDescent="0.25">
      <c r="A473" s="9" t="str">
        <f>IF($G$473="","","Noeud "&amp;$G$473)</f>
        <v/>
      </c>
      <c r="B473" s="10"/>
      <c r="C473" s="10"/>
      <c r="D473" s="10"/>
      <c r="E473" s="10"/>
      <c r="G473" t="str">
        <f>IFERROR(INDEX(SAISIE!$F$5:$F$504,_xlfn.AGGREGATE(15,6,ROW(SAISIE!$F$5:$F$504)-ROW(SAISIE!$F$5)+1/(SAISIE!$F$5:$F$504&lt;&gt;"")/(COUNTIF($G$4:G472,SAISIE!$F$5:$F$504)=0),1)),"")</f>
        <v/>
      </c>
    </row>
    <row r="474" spans="1:7" x14ac:dyDescent="0.25">
      <c r="A474" s="5" t="s">
        <v>49</v>
      </c>
      <c r="B474" s="6" t="str">
        <f>IF($G$473="","",IFERROR(IFERROR(LOOKUP(2,1/((SAISIE!$F$5:$F$504=$G$473)*(LEFT(SAISIE!$B$5:$B$504,2)="G ")),SAISIE!$C$5:$C$504),LOOKUP(2,1/((SAISIE!$F$5:$F$504=$G$473)*(ISNUMBER(SEARCH("Couverture",SAISIE!$B$5:$B$504)))),SAISIE!$C$5:$C$504)),"-"))</f>
        <v/>
      </c>
      <c r="C474" s="6" t="str">
        <f>IF($G$473="","",IFERROR(IFERROR(LOOKUP(2,1/((SAISIE!$F$5:$F$504=$G$473)*(LEFT(SAISIE!$B$5:$B$504,2)="G ")),SAISIE!$D$5:$D$504),LOOKUP(2,1/((SAISIE!$F$5:$F$504=$G$473)*(ISNUMBER(SEARCH("Couverture",SAISIE!$B$5:$B$504)))),SAISIE!$D$5:$D$504)),"-"))</f>
        <v/>
      </c>
      <c r="D474" s="6" t="str">
        <f>IF($G$473="","",IFERROR(IFERROR(LOOKUP(2,1/((SAISIE!$F$5:$F$504=$G$473)*(LEFT(SAISIE!$B$5:$B$504,2)="G ")),SAISIE!$E$5:$E$504),LOOKUP(2,1/((SAISIE!$F$5:$F$504=$G$473)*(ISNUMBER(SEARCH("Couverture",SAISIE!$B$5:$B$504)))),SAISIE!$E$5:$E$504)),"-"))</f>
        <v/>
      </c>
      <c r="E474" s="6"/>
    </row>
    <row r="475" spans="1:7" x14ac:dyDescent="0.25">
      <c r="A475" s="5" t="s">
        <v>50</v>
      </c>
      <c r="B475" s="6" t="str">
        <f>IF($G$473="","",IFERROR(IF(_xlfn.MINIFS(SAISIE!$E$5:$E$504,SAISIE!$B$5:$B$504,"*Vent G/D*",SAISIE!$F$5:$F$504,$G$473)&gt;=0,_xlfn.MAXIFS(SAISIE!$C$5:$C$504,SAISIE!$B$5:$B$504,"*Vent G/D*",SAISIE!$F$5:$F$504,$G$473),INDEX(SAISIE!$C$5:$C$504,MATCH(_xlfn.MINIFS(SAISIE!$E$5:$E$504,SAISIE!$B$5:$B$504,"*Vent G/D*",SAISIE!$F$5:$F$504,$G$473),SAISIE!$E$5:$E$504,0))),"-"))</f>
        <v/>
      </c>
      <c r="C475" s="6" t="str">
        <f>IF($G$473="","",IFERROR(IF(_xlfn.MINIFS(SAISIE!$E$5:$E$504,SAISIE!$B$5:$B$504,"*Vent G/D*",SAISIE!$F$5:$F$504,$G$473)&gt;=0,INDEX(SAISIE!$D$5:$D$504,MATCH(_xlfn.MAXIFS(SAISIE!$C$5:$C$504,SAISIE!$B$5:$B$504,"*Vent G/D*",SAISIE!$F$5:$F$504,$G$473),SAISIE!$C$5:$C$504,0)),INDEX(SAISIE!$D$5:$D$504,MATCH(_xlfn.MINIFS(SAISIE!$E$5:$E$504,SAISIE!$B$5:$B$504,"*Vent G/D*",SAISIE!$F$5:$F$504,$G$473),SAISIE!$E$5:$E$504,0))),"-"))</f>
        <v/>
      </c>
      <c r="D475" s="6" t="str">
        <f>IF($G$473="","",IFERROR(IF(_xlfn.MINIFS(SAISIE!$E$5:$E$504,SAISIE!$B$5:$B$504,"*Vent G/D*",SAISIE!$F$5:$F$504,$G$473)&gt;=0,0,_xlfn.MINIFS(SAISIE!$E$5:$E$504,SAISIE!$B$5:$B$504,"*Vent G/D*",SAISIE!$F$5:$F$504,$G$473)),"-"))</f>
        <v/>
      </c>
      <c r="E475" s="6" t="s">
        <v>51</v>
      </c>
    </row>
    <row r="476" spans="1:7" x14ac:dyDescent="0.25">
      <c r="A476" s="5" t="s">
        <v>52</v>
      </c>
      <c r="B476" s="6" t="str">
        <f>IF($G$473="","",IFERROR(INDEX(SAISIE!$C$5:$C$504,MATCH(_xlfn.MAXIFS(SAISIE!$E$5:$E$504,SAISIE!$B$5:$B$504,"*Vent G/D*",SAISIE!$F$5:$F$504,$G$473),SAISIE!$E$5:$E$504,0)),"-"))</f>
        <v/>
      </c>
      <c r="C476" s="6" t="str">
        <f>IF($G$473="","",IFERROR(INDEX(SAISIE!$D$5:$D$504,MATCH(_xlfn.MAXIFS(SAISIE!$E$5:$E$504,SAISIE!$B$5:$B$504,"*Vent G/D*",SAISIE!$F$5:$F$504,$G$473),SAISIE!$E$5:$E$504,0)),"-"))</f>
        <v/>
      </c>
      <c r="D476" s="6" t="str">
        <f>IF($G$473="","",IFERROR(_xlfn.MAXIFS(SAISIE!$E$5:$E$504,SAISIE!$B$5:$B$504,"*Vent G/D*",SAISIE!$F$5:$F$504,$G$473),"-"))</f>
        <v/>
      </c>
      <c r="E476" s="6" t="s">
        <v>53</v>
      </c>
    </row>
    <row r="477" spans="1:7" x14ac:dyDescent="0.25">
      <c r="A477" s="5" t="s">
        <v>54</v>
      </c>
      <c r="B477" s="6" t="str">
        <f>IF($G$473="","",IFERROR(IF(_xlfn.MINIFS(SAISIE!$E$5:$E$504,SAISIE!$B$5:$B$504,"*Vent D/G*",SAISIE!$F$5:$F$504,$G$473)&gt;=0,_xlfn.MAXIFS(SAISIE!$C$5:$C$504,SAISIE!$B$5:$B$504,"*Vent D/G*",SAISIE!$F$5:$F$504,$G$473),INDEX(SAISIE!$C$5:$C$504,MATCH(_xlfn.MINIFS(SAISIE!$E$5:$E$504,SAISIE!$B$5:$B$504,"*Vent D/G*",SAISIE!$F$5:$F$504,$G$473),SAISIE!$E$5:$E$504,0))),"-"))</f>
        <v/>
      </c>
      <c r="C477" s="6" t="str">
        <f>IF($G$473="","",IFERROR(IF(_xlfn.MINIFS(SAISIE!$E$5:$E$504,SAISIE!$B$5:$B$504,"*Vent D/G*",SAISIE!$F$5:$F$504,$G$473)&gt;=0,INDEX(SAISIE!$D$5:$D$504,MATCH(_xlfn.MAXIFS(SAISIE!$C$5:$C$504,SAISIE!$B$5:$B$504,"*Vent D/G*",SAISIE!$F$5:$F$504,$G$473),SAISIE!$C$5:$C$504,0)),INDEX(SAISIE!$D$5:$D$504,MATCH(_xlfn.MINIFS(SAISIE!$E$5:$E$504,SAISIE!$B$5:$B$504,"*Vent D/G*",SAISIE!$F$5:$F$504,$G$473),SAISIE!$E$5:$E$504,0))),"-"))</f>
        <v/>
      </c>
      <c r="D477" s="6" t="str">
        <f>IF($G$473="","",IFERROR(IF(_xlfn.MINIFS(SAISIE!$E$5:$E$504,SAISIE!$B$5:$B$504,"*Vent D/G*",SAISIE!$F$5:$F$504,$G$473)&gt;=0,0,_xlfn.MINIFS(SAISIE!$E$5:$E$504,SAISIE!$B$5:$B$504,"*Vent D/G*",SAISIE!$F$5:$F$504,$G$473)),"-"))</f>
        <v/>
      </c>
      <c r="E477" s="6" t="s">
        <v>51</v>
      </c>
    </row>
    <row r="478" spans="1:7" x14ac:dyDescent="0.25">
      <c r="A478" s="5" t="s">
        <v>55</v>
      </c>
      <c r="B478" s="6" t="str">
        <f>IF($G$473="","",IFERROR(INDEX(SAISIE!$C$5:$C$504,MATCH(_xlfn.MAXIFS(SAISIE!$E$5:$E$504,SAISIE!$B$5:$B$504,"*Vent D/G*",SAISIE!$F$5:$F$504,$G$473),SAISIE!$E$5:$E$504,0)),"-"))</f>
        <v/>
      </c>
      <c r="C478" s="6" t="str">
        <f>IF($G$473="","",IFERROR(INDEX(SAISIE!$D$5:$D$504,MATCH(_xlfn.MAXIFS(SAISIE!$E$5:$E$504,SAISIE!$B$5:$B$504,"*Vent D/G*",SAISIE!$F$5:$F$504,$G$473),SAISIE!$E$5:$E$504,0)),"-"))</f>
        <v/>
      </c>
      <c r="D478" s="6" t="str">
        <f>IF($G$473="","",IFERROR(_xlfn.MAXIFS(SAISIE!$E$5:$E$504,SAISIE!$B$5:$B$504,"*Vent D/G*",SAISIE!$F$5:$F$504,$G$473),"-"))</f>
        <v/>
      </c>
      <c r="E478" s="6" t="s">
        <v>53</v>
      </c>
    </row>
    <row r="479" spans="1:7" x14ac:dyDescent="0.25">
      <c r="A479" s="5" t="s">
        <v>56</v>
      </c>
      <c r="B479" s="6" t="str">
        <f>IF($G$473="","",IFERROR(IF(_xlfn.MINIFS(SAISIE!$E$5:$E$504,SAISIE!$B$5:$B$504,"*Vent Av./Arr.*",SAISIE!$F$5:$F$504,$G$473)&gt;=0,_xlfn.MAXIFS(SAISIE!$C$5:$C$504,SAISIE!$B$5:$B$504,"*Vent Av./Arr.*",SAISIE!$F$5:$F$504,$G$473),INDEX(SAISIE!$C$5:$C$504,MATCH(_xlfn.MINIFS(SAISIE!$E$5:$E$504,SAISIE!$B$5:$B$504,"*Vent Av./Arr.*",SAISIE!$F$5:$F$504,$G$473),SAISIE!$E$5:$E$504,0))),"-"))</f>
        <v/>
      </c>
      <c r="C479" s="6" t="str">
        <f>IF($G$473="","",IFERROR(IF(_xlfn.MINIFS(SAISIE!$E$5:$E$504,SAISIE!$B$5:$B$504,"*Vent Av./Arr.*",SAISIE!$F$5:$F$504,$G$473)&gt;=0,INDEX(SAISIE!$D$5:$D$504,MATCH(_xlfn.MAXIFS(SAISIE!$C$5:$C$504,SAISIE!$B$5:$B$504,"*Vent Av./Arr.*",SAISIE!$F$5:$F$504,$G$473),SAISIE!$C$5:$C$504,0)),INDEX(SAISIE!$D$5:$D$504,MATCH(_xlfn.MINIFS(SAISIE!$E$5:$E$504,SAISIE!$B$5:$B$504,"*Vent Av./Arr.*",SAISIE!$F$5:$F$504,$G$473),SAISIE!$E$5:$E$504,0))),"-"))</f>
        <v/>
      </c>
      <c r="D479" s="6" t="str">
        <f>IF($G$473="","",IFERROR(IF(_xlfn.MINIFS(SAISIE!$E$5:$E$504,SAISIE!$B$5:$B$504,"*Vent Av./Arr.*",SAISIE!$F$5:$F$504,$G$473)&gt;=0,0,_xlfn.MINIFS(SAISIE!$E$5:$E$504,SAISIE!$B$5:$B$504,"*Vent Av./Arr.*",SAISIE!$F$5:$F$504,$G$473)),"-"))</f>
        <v/>
      </c>
      <c r="E479" s="6" t="s">
        <v>51</v>
      </c>
    </row>
    <row r="480" spans="1:7" x14ac:dyDescent="0.25">
      <c r="A480" s="5" t="s">
        <v>57</v>
      </c>
      <c r="B480" s="6" t="str">
        <f>IF($G$473="","",IFERROR(INDEX(SAISIE!$C$5:$C$504,MATCH(_xlfn.MAXIFS(SAISIE!$E$5:$E$504,SAISIE!$B$5:$B$504,"*Vent Av./Arr.*",SAISIE!$F$5:$F$504,$G$473),SAISIE!$E$5:$E$504,0)),"-"))</f>
        <v/>
      </c>
      <c r="C480" s="6" t="str">
        <f>IF($G$473="","",IFERROR(INDEX(SAISIE!$D$5:$D$504,MATCH(_xlfn.MAXIFS(SAISIE!$E$5:$E$504,SAISIE!$B$5:$B$504,"*Vent Av./Arr.*",SAISIE!$F$5:$F$504,$G$473),SAISIE!$E$5:$E$504,0)),"-"))</f>
        <v/>
      </c>
      <c r="D480" s="6" t="str">
        <f>IF($G$473="","",IFERROR(_xlfn.MAXIFS(SAISIE!$E$5:$E$504,SAISIE!$B$5:$B$504,"*Vent Av./Arr.*",SAISIE!$F$5:$F$504,$G$473),"-"))</f>
        <v/>
      </c>
      <c r="E480" s="6" t="s">
        <v>53</v>
      </c>
    </row>
    <row r="481" spans="1:5" x14ac:dyDescent="0.25">
      <c r="A481" s="5" t="s">
        <v>58</v>
      </c>
      <c r="B481" s="6" t="str">
        <f>IF($G$473="","",IFERROR(IF(_xlfn.MINIFS(SAISIE!$E$5:$E$504,SAISIE!$B$5:$B$504,"*Vent Arr./Av.*",SAISIE!$F$5:$F$504,$G$473)&gt;=0,_xlfn.MAXIFS(SAISIE!$C$5:$C$504,SAISIE!$B$5:$B$504,"*Vent Arr./Av.*",SAISIE!$F$5:$F$504,$G$473),INDEX(SAISIE!$C$5:$C$504,MATCH(_xlfn.MINIFS(SAISIE!$E$5:$E$504,SAISIE!$B$5:$B$504,"*Vent Arr./Av.*",SAISIE!$F$5:$F$504,$G$473),SAISIE!$E$5:$E$504,0))),"-"))</f>
        <v/>
      </c>
      <c r="C481" s="6" t="str">
        <f>IF($G$473="","",IFERROR(IF(_xlfn.MINIFS(SAISIE!$E$5:$E$504,SAISIE!$B$5:$B$504,"*Vent Arr./Av.*",SAISIE!$F$5:$F$504,$G$473)&gt;=0,INDEX(SAISIE!$D$5:$D$504,MATCH(_xlfn.MAXIFS(SAISIE!$C$5:$C$504,SAISIE!$B$5:$B$504,"*Vent Arr./Av.*",SAISIE!$F$5:$F$504,$G$473),SAISIE!$C$5:$C$504,0)),INDEX(SAISIE!$D$5:$D$504,MATCH(_xlfn.MINIFS(SAISIE!$E$5:$E$504,SAISIE!$B$5:$B$504,"*Vent Arr./Av.*",SAISIE!$F$5:$F$504,$G$473),SAISIE!$E$5:$E$504,0))),"-"))</f>
        <v/>
      </c>
      <c r="D481" s="6" t="str">
        <f>IF($G$473="","",IFERROR(IF(_xlfn.MINIFS(SAISIE!$E$5:$E$504,SAISIE!$B$5:$B$504,"*Vent Arr./Av.*",SAISIE!$F$5:$F$504,$G$473)&gt;=0,0,_xlfn.MINIFS(SAISIE!$E$5:$E$504,SAISIE!$B$5:$B$504,"*Vent Arr./Av.*",SAISIE!$F$5:$F$504,$G$473)),"-"))</f>
        <v/>
      </c>
      <c r="E481" s="6" t="s">
        <v>51</v>
      </c>
    </row>
    <row r="482" spans="1:5" x14ac:dyDescent="0.25">
      <c r="A482" s="5" t="s">
        <v>59</v>
      </c>
      <c r="B482" s="6" t="str">
        <f>IF($G$473="","",IFERROR(INDEX(SAISIE!$C$5:$C$504,MATCH(_xlfn.MAXIFS(SAISIE!$E$5:$E$504,SAISIE!$B$5:$B$504,"*Vent Arr./Av.*",SAISIE!$F$5:$F$504,$G$473),SAISIE!$E$5:$E$504,0)),"-"))</f>
        <v/>
      </c>
      <c r="C482" s="6" t="str">
        <f>IF($G$473="","",IFERROR(INDEX(SAISIE!$D$5:$D$504,MATCH(_xlfn.MAXIFS(SAISIE!$E$5:$E$504,SAISIE!$B$5:$B$504,"*Vent Arr./Av.*",SAISIE!$F$5:$F$504,$G$473),SAISIE!$E$5:$E$504,0)),"-"))</f>
        <v/>
      </c>
      <c r="D482" s="6" t="str">
        <f>IF($G$473="","",IFERROR(_xlfn.MAXIFS(SAISIE!$E$5:$E$504,SAISIE!$B$5:$B$504,"*Vent Arr./Av.*",SAISIE!$F$5:$F$504,$G$473),"-"))</f>
        <v/>
      </c>
      <c r="E482" s="6" t="s">
        <v>53</v>
      </c>
    </row>
    <row r="483" spans="1:5" x14ac:dyDescent="0.25">
      <c r="A483" s="5" t="s">
        <v>60</v>
      </c>
      <c r="B483" s="6" t="str">
        <f>IF($G$473="","",IFERROR(INDEX(SAISIE!$C$5:$C$504,MATCH(_xlfn.MINIFS(SAISIE!$E$5:$E$504,SAISIE!$B$5:$B$504,"*Neige*",SAISIE!$B$5:$B$504,"&lt;&gt;*accidentel*",SAISIE!$F$5:$F$504,$G$473),SAISIE!$E$5:$E$504,0)),"-"))</f>
        <v/>
      </c>
      <c r="C483" s="6" t="str">
        <f>IF($G$473="","",IFERROR(INDEX(SAISIE!$D$5:$D$504,MATCH(_xlfn.MINIFS(SAISIE!$E$5:$E$504,SAISIE!$B$5:$B$504,"*Neige*",SAISIE!$B$5:$B$504,"&lt;&gt;*accidentel*",SAISIE!$F$5:$F$504,$G$473),SAISIE!$E$5:$E$504,0)),"-"))</f>
        <v/>
      </c>
      <c r="D483" s="6" t="str">
        <f>IF($G$473="","",IFERROR(INDEX(SAISIE!$E$5:$E$504,MATCH(_xlfn.MINIFS(SAISIE!$E$5:$E$504,SAISIE!$B$5:$B$504,"*Neige*",SAISIE!$B$5:$B$504,"&lt;&gt;*accidentel*",SAISIE!$F$5:$F$504,$G$473),SAISIE!$E$5:$E$504,0)),"-"))</f>
        <v/>
      </c>
      <c r="E483" s="6"/>
    </row>
    <row r="484" spans="1:5" x14ac:dyDescent="0.25">
      <c r="A484" s="5" t="s">
        <v>61</v>
      </c>
      <c r="B484" s="6" t="str">
        <f>IF($G$473="","",IFERROR(LOOKUP(2,1/((SAISIE!$F$5:$F$504=$G$473)*(ISNUMBER(SEARCH("accidentel",SAISIE!$B$5:$B$504)))),SAISIE!$C$5:$C$504),"-"))</f>
        <v/>
      </c>
      <c r="C484" s="6" t="str">
        <f>IF($G$473="","",IFERROR(LOOKUP(2,1/((SAISIE!$F$5:$F$504=$G$473)*(ISNUMBER(SEARCH("accidentel",SAISIE!$B$5:$B$504)))),SAISIE!$D$5:$D$504),"-"))</f>
        <v/>
      </c>
      <c r="D484" s="6" t="str">
        <f>IF($G$473="","",IFERROR(LOOKUP(2,1/((SAISIE!$F$5:$F$504=$G$473)*(ISNUMBER(SEARCH("accidentel",SAISIE!$B$5:$B$504)))),SAISIE!$E$5:$E$504),"-"))</f>
        <v/>
      </c>
      <c r="E484" s="6"/>
    </row>
  </sheetData>
  <mergeCells count="42">
    <mergeCell ref="A389:E389"/>
    <mergeCell ref="A125:E125"/>
    <mergeCell ref="A209:E209"/>
    <mergeCell ref="A161:E161"/>
    <mergeCell ref="A401:E401"/>
    <mergeCell ref="A293:E293"/>
    <mergeCell ref="A353:E353"/>
    <mergeCell ref="A329:E329"/>
    <mergeCell ref="A173:E173"/>
    <mergeCell ref="A245:E245"/>
    <mergeCell ref="A473:E473"/>
    <mergeCell ref="A65:E65"/>
    <mergeCell ref="A221:E221"/>
    <mergeCell ref="A41:E41"/>
    <mergeCell ref="A305:E305"/>
    <mergeCell ref="A137:E137"/>
    <mergeCell ref="A317:E317"/>
    <mergeCell ref="A89:E89"/>
    <mergeCell ref="A413:E413"/>
    <mergeCell ref="A149:E149"/>
    <mergeCell ref="A233:E233"/>
    <mergeCell ref="A365:E365"/>
    <mergeCell ref="A425:E425"/>
    <mergeCell ref="A341:E341"/>
    <mergeCell ref="A101:E101"/>
    <mergeCell ref="A113:E113"/>
    <mergeCell ref="A77:E77"/>
    <mergeCell ref="A437:E437"/>
    <mergeCell ref="A257:E257"/>
    <mergeCell ref="A1:E1"/>
    <mergeCell ref="A461:E461"/>
    <mergeCell ref="A281:E281"/>
    <mergeCell ref="A197:E197"/>
    <mergeCell ref="A2:E2"/>
    <mergeCell ref="A185:E185"/>
    <mergeCell ref="A449:E449"/>
    <mergeCell ref="A5:E5"/>
    <mergeCell ref="A269:E269"/>
    <mergeCell ref="A17:E17"/>
    <mergeCell ref="A377:E377"/>
    <mergeCell ref="A53:E53"/>
    <mergeCell ref="A29: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MODE EMPLOI</vt:lpstr>
      <vt:lpstr>SAISIE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Sylvain Rio</cp:lastModifiedBy>
  <dcterms:created xsi:type="dcterms:W3CDTF">2026-06-18T15:31:41Z</dcterms:created>
  <dcterms:modified xsi:type="dcterms:W3CDTF">2026-06-18T15:31:51Z</dcterms:modified>
</cp:coreProperties>
</file>