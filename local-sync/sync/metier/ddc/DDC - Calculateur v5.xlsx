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5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sChargesFY" displayName="CasChargesFY" ref="A4:F204" headerRowCount="1">
  <autoFilter ref="A4:F204"/>
  <tableColumns count="6">
    <tableColumn id="1" name="Noeud_Cas"/>
    <tableColumn id="2" name="Nom_cas"/>
    <tableColumn id="3" name="FX_daN"/>
    <tableColumn id="4" name="FY_daN"/>
    <tableColumn id="5" name="FZ_daN"/>
    <tableColumn id="6" name="Noeud"/>
  </tableColumns>
  <tableStyleInfo name="TableStyleMedium2" showRowStripes="1"/>
</table>
</file>

<file path=xl/tables/table2.xml><?xml version="1.0" encoding="utf-8"?>
<table xmlns="http://schemas.openxmlformats.org/spreadsheetml/2006/main" id="2" name="CasChargesNoFY" displayName="CasChargesNoFY" ref="A209:E409" headerRowCount="1">
  <autoFilter ref="A209:E409"/>
  <tableColumns count="5">
    <tableColumn id="1" name="Noeud_Cas"/>
    <tableColumn id="2" name="Nom_cas"/>
    <tableColumn id="3" name="FX_daN"/>
    <tableColumn id="4" name="FZ_daN"/>
    <tableColumn id="5" name="Noeu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DDC Calculateur — 2 tableaux (avec / sans FY)</t>
        </is>
      </c>
    </row>
    <row r="3">
      <c r="A3" s="2" t="inlineStr"/>
    </row>
    <row r="4">
      <c r="A4" s="2" t="inlineStr">
        <is>
          <t>CHOISISSEZ le tableau qui correspond a votre export Robot :</t>
        </is>
      </c>
    </row>
    <row r="5">
      <c r="A5" s="2" t="inlineStr"/>
    </row>
    <row r="6">
      <c r="A6" s="2" t="inlineStr">
        <is>
          <t xml:space="preserve">  TABLEAU 1 (lignes 5-204)  : avec FY — stabilite 3D (FX, FY, FZ)</t>
        </is>
      </c>
    </row>
    <row r="7">
      <c r="A7" s="2" t="inlineStr">
        <is>
          <t xml:space="preserve">  TABLEAU 2 (lignes 210-409): sans FY — FX et FZ seulement</t>
        </is>
      </c>
    </row>
    <row r="8">
      <c r="A8" s="2" t="inlineStr"/>
    </row>
    <row r="9">
      <c r="A9" s="2" t="inlineStr">
        <is>
          <t>Collez vos donnees dans UN seul tableau (pas les deux).</t>
        </is>
      </c>
    </row>
    <row r="10">
      <c r="A10" s="2" t="inlineStr">
        <is>
          <t>SYNTHESE : 2 zones miroir — resultats dans la zone correspondante.</t>
        </is>
      </c>
    </row>
    <row r="11">
      <c r="A11" s="2" t="inlineStr">
        <is>
          <t>Note dynamique : FZ &gt; 0 = soulèvement, FZ &lt; 0 = compression.</t>
        </is>
      </c>
    </row>
    <row r="12">
      <c r="A12" s="2" t="inlineStr">
        <is>
          <t>F9 pour forcer le recalcul si besoin. Excel 2019 ou 365 requis.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1" customWidth="1" min="3" max="3"/>
    <col width="11" customWidth="1" min="4" max="4"/>
    <col width="11" customWidth="1" min="5" max="5"/>
    <col width="8" customWidth="1" min="6" max="6"/>
  </cols>
  <sheetData>
    <row r="1">
      <c r="A1" s="1" t="inlineStr">
        <is>
          <t>SAISIE — Collez vos cas de charge</t>
        </is>
      </c>
    </row>
    <row r="2">
      <c r="A2" t="inlineStr">
        <is>
          <t>Utilisez le tableau AVEC FY ou SANS FY selon votre DDC Robot.</t>
        </is>
      </c>
    </row>
    <row r="3">
      <c r="A3" s="3" t="inlineStr">
        <is>
          <t>TABLEAU — AVEC FY</t>
        </is>
      </c>
    </row>
    <row r="4">
      <c r="A4" s="4" t="inlineStr">
        <is>
          <t>Noeud_Cas</t>
        </is>
      </c>
      <c r="B4" s="4" t="inlineStr">
        <is>
          <t>Nom_cas</t>
        </is>
      </c>
      <c r="C4" s="4" t="inlineStr">
        <is>
          <t>FX_daN</t>
        </is>
      </c>
      <c r="D4" s="4" t="inlineStr">
        <is>
          <t>FY_daN</t>
        </is>
      </c>
      <c r="E4" s="4" t="inlineStr">
        <is>
          <t>FZ_daN</t>
        </is>
      </c>
      <c r="F4" s="4" t="inlineStr">
        <is>
          <t>Noeud</t>
        </is>
      </c>
    </row>
    <row r="5">
      <c r="A5" s="5" t="inlineStr">
        <is>
          <t>47/1</t>
        </is>
      </c>
      <c r="B5" s="5" t="inlineStr">
        <is>
          <t>G : Couverture : PA 6 BS 10 PV15</t>
        </is>
      </c>
      <c r="C5" s="5" t="n">
        <v>-116</v>
      </c>
      <c r="D5" s="5" t="n">
        <v>7</v>
      </c>
      <c r="E5" s="5" t="n">
        <v>-1285</v>
      </c>
      <c r="F5">
        <f>IF(A5="","",VALUE(LEFT(A5,FIND("/",A5&amp;"/")-1)))</f>
        <v/>
      </c>
    </row>
    <row r="6">
      <c r="A6" s="5" t="inlineStr">
        <is>
          <t>47/2</t>
        </is>
      </c>
      <c r="B6" s="5" t="inlineStr">
        <is>
          <t>Vent G/D dep.(-) Portique 2</t>
        </is>
      </c>
      <c r="C6" s="5" t="n">
        <v>905</v>
      </c>
      <c r="D6" s="5" t="n">
        <v>40</v>
      </c>
      <c r="E6" s="5" t="n">
        <v>1422</v>
      </c>
      <c r="F6">
        <f>IF(A6="","",VALUE(LEFT(A6,FIND("/",A6&amp;"/")-1)))</f>
        <v/>
      </c>
    </row>
    <row r="7">
      <c r="A7" s="5" t="inlineStr">
        <is>
          <t>47/3</t>
        </is>
      </c>
      <c r="B7" s="5" t="inlineStr">
        <is>
          <t>Vent G/D sur.(+) Portique 2</t>
        </is>
      </c>
      <c r="C7" s="5" t="n">
        <v>900</v>
      </c>
      <c r="D7" s="5" t="n">
        <v>32</v>
      </c>
      <c r="E7" s="5" t="n">
        <v>1444</v>
      </c>
      <c r="F7">
        <f>IF(A7="","",VALUE(LEFT(A7,FIND("/",A7&amp;"/")-1)))</f>
        <v/>
      </c>
    </row>
    <row r="8">
      <c r="A8" s="5" t="inlineStr">
        <is>
          <t>47/4</t>
        </is>
      </c>
      <c r="B8" s="5" t="inlineStr">
        <is>
          <t>Vent D/G dep.(-) Cpe - Portique 2</t>
        </is>
      </c>
      <c r="C8" s="5" t="n">
        <v>-345</v>
      </c>
      <c r="D8" s="5" t="n">
        <v>5</v>
      </c>
      <c r="E8" s="5" t="n">
        <v>462</v>
      </c>
      <c r="F8">
        <f>IF(A8="","",VALUE(LEFT(A8,FIND("/",A8&amp;"/")-1)))</f>
        <v/>
      </c>
    </row>
    <row r="9">
      <c r="A9" s="5" t="inlineStr">
        <is>
          <t>47/5</t>
        </is>
      </c>
      <c r="B9" s="5" t="inlineStr">
        <is>
          <t>Vent D/G dep.(-) Cpe + Portique 2</t>
        </is>
      </c>
      <c r="C9" s="5" t="n">
        <v>-513</v>
      </c>
      <c r="D9" s="5" t="n">
        <v>-11</v>
      </c>
      <c r="E9" s="5" t="n">
        <v>-281</v>
      </c>
      <c r="F9">
        <f>IF(A9="","",VALUE(LEFT(A9,FIND("/",A9&amp;"/")-1)))</f>
        <v/>
      </c>
    </row>
    <row r="10">
      <c r="A10" s="5" t="inlineStr">
        <is>
          <t>47/6</t>
        </is>
      </c>
      <c r="B10" s="5" t="inlineStr">
        <is>
          <t>Vent D/G sur.(+) Cpe - Portique 2</t>
        </is>
      </c>
      <c r="C10" s="5" t="n">
        <v>-349</v>
      </c>
      <c r="D10" s="5" t="n">
        <v>-2</v>
      </c>
      <c r="E10" s="5" t="n">
        <v>485</v>
      </c>
      <c r="F10">
        <f>IF(A10="","",VALUE(LEFT(A10,FIND("/",A10&amp;"/")-1)))</f>
        <v/>
      </c>
    </row>
    <row r="11">
      <c r="A11" s="5" t="inlineStr">
        <is>
          <t>47/7</t>
        </is>
      </c>
      <c r="B11" s="5" t="inlineStr">
        <is>
          <t>Vent D/G sur.(+) Cpe + Portique 2</t>
        </is>
      </c>
      <c r="C11" s="5" t="n">
        <v>-518</v>
      </c>
      <c r="D11" s="5" t="n">
        <v>-22</v>
      </c>
      <c r="E11" s="5" t="n">
        <v>-258</v>
      </c>
      <c r="F11">
        <f>IF(A11="","",VALUE(LEFT(A11,FIND("/",A11&amp;"/")-1)))</f>
        <v/>
      </c>
    </row>
    <row r="12">
      <c r="A12" s="5" t="inlineStr">
        <is>
          <t>47/8</t>
        </is>
      </c>
      <c r="B12" s="5" t="inlineStr">
        <is>
          <t>Vent Av./Arr. dep.(-) Portique 2</t>
        </is>
      </c>
      <c r="C12" s="5" t="n">
        <v>-241</v>
      </c>
      <c r="D12" s="5" t="n">
        <v>205</v>
      </c>
      <c r="E12" s="5" t="n">
        <v>815</v>
      </c>
      <c r="F12">
        <f>IF(A12="","",VALUE(LEFT(A12,FIND("/",A12&amp;"/")-1)))</f>
        <v/>
      </c>
    </row>
    <row r="13">
      <c r="A13" s="5" t="inlineStr">
        <is>
          <t>47/9</t>
        </is>
      </c>
      <c r="B13" s="5" t="inlineStr">
        <is>
          <t>Vent Av./Arr. sur.(+) Portique 2</t>
        </is>
      </c>
      <c r="C13" s="5" t="n">
        <v>-198</v>
      </c>
      <c r="D13" s="5" t="n">
        <v>195</v>
      </c>
      <c r="E13" s="5" t="n">
        <v>598</v>
      </c>
      <c r="F13">
        <f>IF(A13="","",VALUE(LEFT(A13,FIND("/",A13&amp;"/")-1)))</f>
        <v/>
      </c>
    </row>
    <row r="14">
      <c r="A14" s="5" t="inlineStr">
        <is>
          <t>47/10</t>
        </is>
      </c>
      <c r="B14" s="5" t="inlineStr">
        <is>
          <t>Vent Arr./Av. dep.(-) Portique 2</t>
        </is>
      </c>
      <c r="C14" s="5" t="n">
        <v>-105</v>
      </c>
      <c r="D14" s="5" t="n">
        <v>0</v>
      </c>
      <c r="E14" s="5" t="n">
        <v>400</v>
      </c>
      <c r="F14">
        <f>IF(A14="","",VALUE(LEFT(A14,FIND("/",A14&amp;"/")-1)))</f>
        <v/>
      </c>
    </row>
    <row r="15">
      <c r="A15" s="5" t="inlineStr">
        <is>
          <t>47/11</t>
        </is>
      </c>
      <c r="B15" s="5" t="inlineStr">
        <is>
          <t>Vent Arr./Av. sur.(+) Portique 2</t>
        </is>
      </c>
      <c r="C15" s="5" t="n">
        <v>-37</v>
      </c>
      <c r="D15" s="5" t="n">
        <v>-11</v>
      </c>
      <c r="E15" s="5" t="n">
        <v>56</v>
      </c>
      <c r="F15">
        <f>IF(A15="","",VALUE(LEFT(A15,FIND("/",A15&amp;"/")-1)))</f>
        <v/>
      </c>
    </row>
    <row r="16">
      <c r="A16" s="5" t="inlineStr">
        <is>
          <t>47/12</t>
        </is>
      </c>
      <c r="B16" s="5" t="inlineStr">
        <is>
          <t>Neige cas I</t>
        </is>
      </c>
      <c r="C16" s="5" t="n">
        <v>-113</v>
      </c>
      <c r="D16" s="5" t="n">
        <v>0</v>
      </c>
      <c r="E16" s="5" t="n">
        <v>-1010</v>
      </c>
      <c r="F16">
        <f>IF(A16="","",VALUE(LEFT(A16,FIND("/",A16&amp;"/")-1)))</f>
        <v/>
      </c>
    </row>
    <row r="17">
      <c r="A17" s="5" t="inlineStr">
        <is>
          <t>47/13</t>
        </is>
      </c>
      <c r="B17" s="5" t="inlineStr">
        <is>
          <t>Neige cas II</t>
        </is>
      </c>
      <c r="C17" s="5" t="n">
        <v>-56</v>
      </c>
      <c r="D17" s="5" t="n">
        <v>0</v>
      </c>
      <c r="E17" s="5" t="n">
        <v>-505</v>
      </c>
      <c r="F17">
        <f>IF(A17="","",VALUE(LEFT(A17,FIND("/",A17&amp;"/")-1)))</f>
        <v/>
      </c>
    </row>
    <row r="18">
      <c r="A18" s="5" t="inlineStr">
        <is>
          <t>47/14</t>
        </is>
      </c>
      <c r="B18" s="5" t="inlineStr">
        <is>
          <t>Neige accidentel</t>
        </is>
      </c>
      <c r="C18" s="5" t="n">
        <v>-251</v>
      </c>
      <c r="D18" s="5" t="n">
        <v>0</v>
      </c>
      <c r="E18" s="5" t="n">
        <v>-2244</v>
      </c>
      <c r="F18">
        <f>IF(A18="","",VALUE(LEFT(A18,FIND("/",A18&amp;"/")-1)))</f>
        <v/>
      </c>
    </row>
    <row r="19">
      <c r="F19">
        <f>IF(A19="","",VALUE(LEFT(A19,FIND("/",A19&amp;"/")-1)))</f>
        <v/>
      </c>
    </row>
    <row r="20">
      <c r="F20">
        <f>IF(A20="","",VALUE(LEFT(A20,FIND("/",A20&amp;"/")-1)))</f>
        <v/>
      </c>
    </row>
    <row r="21">
      <c r="F21">
        <f>IF(A21="","",VALUE(LEFT(A21,FIND("/",A21&amp;"/")-1)))</f>
        <v/>
      </c>
    </row>
    <row r="22">
      <c r="F22">
        <f>IF(A22="","",VALUE(LEFT(A22,FIND("/",A22&amp;"/")-1)))</f>
        <v/>
      </c>
    </row>
    <row r="23">
      <c r="F23">
        <f>IF(A23="","",VALUE(LEFT(A23,FIND("/",A23&amp;"/")-1)))</f>
        <v/>
      </c>
    </row>
    <row r="24">
      <c r="F24">
        <f>IF(A24="","",VALUE(LEFT(A24,FIND("/",A24&amp;"/")-1)))</f>
        <v/>
      </c>
    </row>
    <row r="25">
      <c r="F25">
        <f>IF(A25="","",VALUE(LEFT(A25,FIND("/",A25&amp;"/")-1)))</f>
        <v/>
      </c>
    </row>
    <row r="26">
      <c r="F26">
        <f>IF(A26="","",VALUE(LEFT(A26,FIND("/",A26&amp;"/")-1)))</f>
        <v/>
      </c>
    </row>
    <row r="27">
      <c r="F27">
        <f>IF(A27="","",VALUE(LEFT(A27,FIND("/",A27&amp;"/")-1)))</f>
        <v/>
      </c>
    </row>
    <row r="28">
      <c r="F28">
        <f>IF(A28="","",VALUE(LEFT(A28,FIND("/",A28&amp;"/")-1)))</f>
        <v/>
      </c>
    </row>
    <row r="29">
      <c r="F29">
        <f>IF(A29="","",VALUE(LEFT(A29,FIND("/",A29&amp;"/")-1)))</f>
        <v/>
      </c>
    </row>
    <row r="30">
      <c r="F30">
        <f>IF(A30="","",VALUE(LEFT(A30,FIND("/",A30&amp;"/")-1)))</f>
        <v/>
      </c>
    </row>
    <row r="31">
      <c r="F31">
        <f>IF(A31="","",VALUE(LEFT(A31,FIND("/",A31&amp;"/")-1)))</f>
        <v/>
      </c>
    </row>
    <row r="32">
      <c r="F32">
        <f>IF(A32="","",VALUE(LEFT(A32,FIND("/",A32&amp;"/")-1)))</f>
        <v/>
      </c>
    </row>
    <row r="33">
      <c r="F33">
        <f>IF(A33="","",VALUE(LEFT(A33,FIND("/",A33&amp;"/")-1)))</f>
        <v/>
      </c>
    </row>
    <row r="34">
      <c r="F34">
        <f>IF(A34="","",VALUE(LEFT(A34,FIND("/",A34&amp;"/")-1)))</f>
        <v/>
      </c>
    </row>
    <row r="35">
      <c r="F35">
        <f>IF(A35="","",VALUE(LEFT(A35,FIND("/",A35&amp;"/")-1)))</f>
        <v/>
      </c>
    </row>
    <row r="36">
      <c r="F36">
        <f>IF(A36="","",VALUE(LEFT(A36,FIND("/",A36&amp;"/")-1)))</f>
        <v/>
      </c>
    </row>
    <row r="37">
      <c r="F37">
        <f>IF(A37="","",VALUE(LEFT(A37,FIND("/",A37&amp;"/")-1)))</f>
        <v/>
      </c>
    </row>
    <row r="38">
      <c r="F38">
        <f>IF(A38="","",VALUE(LEFT(A38,FIND("/",A38&amp;"/")-1)))</f>
        <v/>
      </c>
    </row>
    <row r="39">
      <c r="F39">
        <f>IF(A39="","",VALUE(LEFT(A39,FIND("/",A39&amp;"/")-1)))</f>
        <v/>
      </c>
    </row>
    <row r="40">
      <c r="F40">
        <f>IF(A40="","",VALUE(LEFT(A40,FIND("/",A40&amp;"/")-1)))</f>
        <v/>
      </c>
    </row>
    <row r="41">
      <c r="F41">
        <f>IF(A41="","",VALUE(LEFT(A41,FIND("/",A41&amp;"/")-1)))</f>
        <v/>
      </c>
    </row>
    <row r="42">
      <c r="F42">
        <f>IF(A42="","",VALUE(LEFT(A42,FIND("/",A42&amp;"/")-1)))</f>
        <v/>
      </c>
    </row>
    <row r="43">
      <c r="F43">
        <f>IF(A43="","",VALUE(LEFT(A43,FIND("/",A43&amp;"/")-1)))</f>
        <v/>
      </c>
    </row>
    <row r="44">
      <c r="F44">
        <f>IF(A44="","",VALUE(LEFT(A44,FIND("/",A44&amp;"/")-1)))</f>
        <v/>
      </c>
    </row>
    <row r="45">
      <c r="F45">
        <f>IF(A45="","",VALUE(LEFT(A45,FIND("/",A45&amp;"/")-1)))</f>
        <v/>
      </c>
    </row>
    <row r="46">
      <c r="F46">
        <f>IF(A46="","",VALUE(LEFT(A46,FIND("/",A46&amp;"/")-1)))</f>
        <v/>
      </c>
    </row>
    <row r="47">
      <c r="F47">
        <f>IF(A47="","",VALUE(LEFT(A47,FIND("/",A47&amp;"/")-1)))</f>
        <v/>
      </c>
    </row>
    <row r="48">
      <c r="F48">
        <f>IF(A48="","",VALUE(LEFT(A48,FIND("/",A48&amp;"/")-1)))</f>
        <v/>
      </c>
    </row>
    <row r="49">
      <c r="F49">
        <f>IF(A49="","",VALUE(LEFT(A49,FIND("/",A49&amp;"/")-1)))</f>
        <v/>
      </c>
    </row>
    <row r="50">
      <c r="F50">
        <f>IF(A50="","",VALUE(LEFT(A50,FIND("/",A50&amp;"/")-1)))</f>
        <v/>
      </c>
    </row>
    <row r="51">
      <c r="F51">
        <f>IF(A51="","",VALUE(LEFT(A51,FIND("/",A51&amp;"/")-1)))</f>
        <v/>
      </c>
    </row>
    <row r="52">
      <c r="F52">
        <f>IF(A52="","",VALUE(LEFT(A52,FIND("/",A52&amp;"/")-1)))</f>
        <v/>
      </c>
    </row>
    <row r="53">
      <c r="F53">
        <f>IF(A53="","",VALUE(LEFT(A53,FIND("/",A53&amp;"/")-1)))</f>
        <v/>
      </c>
    </row>
    <row r="54">
      <c r="F54">
        <f>IF(A54="","",VALUE(LEFT(A54,FIND("/",A54&amp;"/")-1)))</f>
        <v/>
      </c>
    </row>
    <row r="55">
      <c r="F55">
        <f>IF(A55="","",VALUE(LEFT(A55,FIND("/",A55&amp;"/")-1)))</f>
        <v/>
      </c>
    </row>
    <row r="56">
      <c r="F56">
        <f>IF(A56="","",VALUE(LEFT(A56,FIND("/",A56&amp;"/")-1)))</f>
        <v/>
      </c>
    </row>
    <row r="57">
      <c r="F57">
        <f>IF(A57="","",VALUE(LEFT(A57,FIND("/",A57&amp;"/")-1)))</f>
        <v/>
      </c>
    </row>
    <row r="58">
      <c r="F58">
        <f>IF(A58="","",VALUE(LEFT(A58,FIND("/",A58&amp;"/")-1)))</f>
        <v/>
      </c>
    </row>
    <row r="59">
      <c r="F59">
        <f>IF(A59="","",VALUE(LEFT(A59,FIND("/",A59&amp;"/")-1)))</f>
        <v/>
      </c>
    </row>
    <row r="60">
      <c r="F60">
        <f>IF(A60="","",VALUE(LEFT(A60,FIND("/",A60&amp;"/")-1)))</f>
        <v/>
      </c>
    </row>
    <row r="61">
      <c r="F61">
        <f>IF(A61="","",VALUE(LEFT(A61,FIND("/",A61&amp;"/")-1)))</f>
        <v/>
      </c>
    </row>
    <row r="62">
      <c r="F62">
        <f>IF(A62="","",VALUE(LEFT(A62,FIND("/",A62&amp;"/")-1)))</f>
        <v/>
      </c>
    </row>
    <row r="63">
      <c r="F63">
        <f>IF(A63="","",VALUE(LEFT(A63,FIND("/",A63&amp;"/")-1)))</f>
        <v/>
      </c>
    </row>
    <row r="64">
      <c r="F64">
        <f>IF(A64="","",VALUE(LEFT(A64,FIND("/",A64&amp;"/")-1)))</f>
        <v/>
      </c>
    </row>
    <row r="65">
      <c r="F65">
        <f>IF(A65="","",VALUE(LEFT(A65,FIND("/",A65&amp;"/")-1)))</f>
        <v/>
      </c>
    </row>
    <row r="66">
      <c r="F66">
        <f>IF(A66="","",VALUE(LEFT(A66,FIND("/",A66&amp;"/")-1)))</f>
        <v/>
      </c>
    </row>
    <row r="67">
      <c r="F67">
        <f>IF(A67="","",VALUE(LEFT(A67,FIND("/",A67&amp;"/")-1)))</f>
        <v/>
      </c>
    </row>
    <row r="68">
      <c r="F68">
        <f>IF(A68="","",VALUE(LEFT(A68,FIND("/",A68&amp;"/")-1)))</f>
        <v/>
      </c>
    </row>
    <row r="69">
      <c r="F69">
        <f>IF(A69="","",VALUE(LEFT(A69,FIND("/",A69&amp;"/")-1)))</f>
        <v/>
      </c>
    </row>
    <row r="70">
      <c r="F70">
        <f>IF(A70="","",VALUE(LEFT(A70,FIND("/",A70&amp;"/")-1)))</f>
        <v/>
      </c>
    </row>
    <row r="71">
      <c r="F71">
        <f>IF(A71="","",VALUE(LEFT(A71,FIND("/",A71&amp;"/")-1)))</f>
        <v/>
      </c>
    </row>
    <row r="72">
      <c r="F72">
        <f>IF(A72="","",VALUE(LEFT(A72,FIND("/",A72&amp;"/")-1)))</f>
        <v/>
      </c>
    </row>
    <row r="73">
      <c r="F73">
        <f>IF(A73="","",VALUE(LEFT(A73,FIND("/",A73&amp;"/")-1)))</f>
        <v/>
      </c>
    </row>
    <row r="74">
      <c r="F74">
        <f>IF(A74="","",VALUE(LEFT(A74,FIND("/",A74&amp;"/")-1)))</f>
        <v/>
      </c>
    </row>
    <row r="75">
      <c r="F75">
        <f>IF(A75="","",VALUE(LEFT(A75,FIND("/",A75&amp;"/")-1)))</f>
        <v/>
      </c>
    </row>
    <row r="76">
      <c r="F76">
        <f>IF(A76="","",VALUE(LEFT(A76,FIND("/",A76&amp;"/")-1)))</f>
        <v/>
      </c>
    </row>
    <row r="77">
      <c r="F77">
        <f>IF(A77="","",VALUE(LEFT(A77,FIND("/",A77&amp;"/")-1)))</f>
        <v/>
      </c>
    </row>
    <row r="78">
      <c r="F78">
        <f>IF(A78="","",VALUE(LEFT(A78,FIND("/",A78&amp;"/")-1)))</f>
        <v/>
      </c>
    </row>
    <row r="79">
      <c r="F79">
        <f>IF(A79="","",VALUE(LEFT(A79,FIND("/",A79&amp;"/")-1)))</f>
        <v/>
      </c>
    </row>
    <row r="80">
      <c r="F80">
        <f>IF(A80="","",VALUE(LEFT(A80,FIND("/",A80&amp;"/")-1)))</f>
        <v/>
      </c>
    </row>
    <row r="81">
      <c r="F81">
        <f>IF(A81="","",VALUE(LEFT(A81,FIND("/",A81&amp;"/")-1)))</f>
        <v/>
      </c>
    </row>
    <row r="82">
      <c r="F82">
        <f>IF(A82="","",VALUE(LEFT(A82,FIND("/",A82&amp;"/")-1)))</f>
        <v/>
      </c>
    </row>
    <row r="83">
      <c r="F83">
        <f>IF(A83="","",VALUE(LEFT(A83,FIND("/",A83&amp;"/")-1)))</f>
        <v/>
      </c>
    </row>
    <row r="84">
      <c r="F84">
        <f>IF(A84="","",VALUE(LEFT(A84,FIND("/",A84&amp;"/")-1)))</f>
        <v/>
      </c>
    </row>
    <row r="85">
      <c r="F85">
        <f>IF(A85="","",VALUE(LEFT(A85,FIND("/",A85&amp;"/")-1)))</f>
        <v/>
      </c>
    </row>
    <row r="86">
      <c r="F86">
        <f>IF(A86="","",VALUE(LEFT(A86,FIND("/",A86&amp;"/")-1)))</f>
        <v/>
      </c>
    </row>
    <row r="87">
      <c r="F87">
        <f>IF(A87="","",VALUE(LEFT(A87,FIND("/",A87&amp;"/")-1)))</f>
        <v/>
      </c>
    </row>
    <row r="88">
      <c r="F88">
        <f>IF(A88="","",VALUE(LEFT(A88,FIND("/",A88&amp;"/")-1)))</f>
        <v/>
      </c>
    </row>
    <row r="89">
      <c r="F89">
        <f>IF(A89="","",VALUE(LEFT(A89,FIND("/",A89&amp;"/")-1)))</f>
        <v/>
      </c>
    </row>
    <row r="90">
      <c r="F90">
        <f>IF(A90="","",VALUE(LEFT(A90,FIND("/",A90&amp;"/")-1)))</f>
        <v/>
      </c>
    </row>
    <row r="91">
      <c r="F91">
        <f>IF(A91="","",VALUE(LEFT(A91,FIND("/",A91&amp;"/")-1)))</f>
        <v/>
      </c>
    </row>
    <row r="92">
      <c r="F92">
        <f>IF(A92="","",VALUE(LEFT(A92,FIND("/",A92&amp;"/")-1)))</f>
        <v/>
      </c>
    </row>
    <row r="93">
      <c r="F93">
        <f>IF(A93="","",VALUE(LEFT(A93,FIND("/",A93&amp;"/")-1)))</f>
        <v/>
      </c>
    </row>
    <row r="94">
      <c r="F94">
        <f>IF(A94="","",VALUE(LEFT(A94,FIND("/",A94&amp;"/")-1)))</f>
        <v/>
      </c>
    </row>
    <row r="95">
      <c r="F95">
        <f>IF(A95="","",VALUE(LEFT(A95,FIND("/",A95&amp;"/")-1)))</f>
        <v/>
      </c>
    </row>
    <row r="96">
      <c r="F96">
        <f>IF(A96="","",VALUE(LEFT(A96,FIND("/",A96&amp;"/")-1)))</f>
        <v/>
      </c>
    </row>
    <row r="97">
      <c r="F97">
        <f>IF(A97="","",VALUE(LEFT(A97,FIND("/",A97&amp;"/")-1)))</f>
        <v/>
      </c>
    </row>
    <row r="98">
      <c r="F98">
        <f>IF(A98="","",VALUE(LEFT(A98,FIND("/",A98&amp;"/")-1)))</f>
        <v/>
      </c>
    </row>
    <row r="99">
      <c r="F99">
        <f>IF(A99="","",VALUE(LEFT(A99,FIND("/",A99&amp;"/")-1)))</f>
        <v/>
      </c>
    </row>
    <row r="100">
      <c r="F100">
        <f>IF(A100="","",VALUE(LEFT(A100,FIND("/",A100&amp;"/")-1)))</f>
        <v/>
      </c>
    </row>
    <row r="101">
      <c r="F101">
        <f>IF(A101="","",VALUE(LEFT(A101,FIND("/",A101&amp;"/")-1)))</f>
        <v/>
      </c>
    </row>
    <row r="102">
      <c r="F102">
        <f>IF(A102="","",VALUE(LEFT(A102,FIND("/",A102&amp;"/")-1)))</f>
        <v/>
      </c>
    </row>
    <row r="103">
      <c r="F103">
        <f>IF(A103="","",VALUE(LEFT(A103,FIND("/",A103&amp;"/")-1)))</f>
        <v/>
      </c>
    </row>
    <row r="104">
      <c r="F104">
        <f>IF(A104="","",VALUE(LEFT(A104,FIND("/",A104&amp;"/")-1)))</f>
        <v/>
      </c>
    </row>
    <row r="105">
      <c r="F105">
        <f>IF(A105="","",VALUE(LEFT(A105,FIND("/",A105&amp;"/")-1)))</f>
        <v/>
      </c>
    </row>
    <row r="106">
      <c r="F106">
        <f>IF(A106="","",VALUE(LEFT(A106,FIND("/",A106&amp;"/")-1)))</f>
        <v/>
      </c>
    </row>
    <row r="107">
      <c r="F107">
        <f>IF(A107="","",VALUE(LEFT(A107,FIND("/",A107&amp;"/")-1)))</f>
        <v/>
      </c>
    </row>
    <row r="108">
      <c r="F108">
        <f>IF(A108="","",VALUE(LEFT(A108,FIND("/",A108&amp;"/")-1)))</f>
        <v/>
      </c>
    </row>
    <row r="109">
      <c r="F109">
        <f>IF(A109="","",VALUE(LEFT(A109,FIND("/",A109&amp;"/")-1)))</f>
        <v/>
      </c>
    </row>
    <row r="110">
      <c r="F110">
        <f>IF(A110="","",VALUE(LEFT(A110,FIND("/",A110&amp;"/")-1)))</f>
        <v/>
      </c>
    </row>
    <row r="111">
      <c r="F111">
        <f>IF(A111="","",VALUE(LEFT(A111,FIND("/",A111&amp;"/")-1)))</f>
        <v/>
      </c>
    </row>
    <row r="112">
      <c r="F112">
        <f>IF(A112="","",VALUE(LEFT(A112,FIND("/",A112&amp;"/")-1)))</f>
        <v/>
      </c>
    </row>
    <row r="113">
      <c r="F113">
        <f>IF(A113="","",VALUE(LEFT(A113,FIND("/",A113&amp;"/")-1)))</f>
        <v/>
      </c>
    </row>
    <row r="114">
      <c r="F114">
        <f>IF(A114="","",VALUE(LEFT(A114,FIND("/",A114&amp;"/")-1)))</f>
        <v/>
      </c>
    </row>
    <row r="115">
      <c r="F115">
        <f>IF(A115="","",VALUE(LEFT(A115,FIND("/",A115&amp;"/")-1)))</f>
        <v/>
      </c>
    </row>
    <row r="116">
      <c r="F116">
        <f>IF(A116="","",VALUE(LEFT(A116,FIND("/",A116&amp;"/")-1)))</f>
        <v/>
      </c>
    </row>
    <row r="117">
      <c r="F117">
        <f>IF(A117="","",VALUE(LEFT(A117,FIND("/",A117&amp;"/")-1)))</f>
        <v/>
      </c>
    </row>
    <row r="118">
      <c r="F118">
        <f>IF(A118="","",VALUE(LEFT(A118,FIND("/",A118&amp;"/")-1)))</f>
        <v/>
      </c>
    </row>
    <row r="119">
      <c r="F119">
        <f>IF(A119="","",VALUE(LEFT(A119,FIND("/",A119&amp;"/")-1)))</f>
        <v/>
      </c>
    </row>
    <row r="120">
      <c r="F120">
        <f>IF(A120="","",VALUE(LEFT(A120,FIND("/",A120&amp;"/")-1)))</f>
        <v/>
      </c>
    </row>
    <row r="121">
      <c r="F121">
        <f>IF(A121="","",VALUE(LEFT(A121,FIND("/",A121&amp;"/")-1)))</f>
        <v/>
      </c>
    </row>
    <row r="122">
      <c r="F122">
        <f>IF(A122="","",VALUE(LEFT(A122,FIND("/",A122&amp;"/")-1)))</f>
        <v/>
      </c>
    </row>
    <row r="123">
      <c r="F123">
        <f>IF(A123="","",VALUE(LEFT(A123,FIND("/",A123&amp;"/")-1)))</f>
        <v/>
      </c>
    </row>
    <row r="124">
      <c r="F124">
        <f>IF(A124="","",VALUE(LEFT(A124,FIND("/",A124&amp;"/")-1)))</f>
        <v/>
      </c>
    </row>
    <row r="125">
      <c r="F125">
        <f>IF(A125="","",VALUE(LEFT(A125,FIND("/",A125&amp;"/")-1)))</f>
        <v/>
      </c>
    </row>
    <row r="126">
      <c r="F126">
        <f>IF(A126="","",VALUE(LEFT(A126,FIND("/",A126&amp;"/")-1)))</f>
        <v/>
      </c>
    </row>
    <row r="127">
      <c r="F127">
        <f>IF(A127="","",VALUE(LEFT(A127,FIND("/",A127&amp;"/")-1)))</f>
        <v/>
      </c>
    </row>
    <row r="128">
      <c r="F128">
        <f>IF(A128="","",VALUE(LEFT(A128,FIND("/",A128&amp;"/")-1)))</f>
        <v/>
      </c>
    </row>
    <row r="129">
      <c r="F129">
        <f>IF(A129="","",VALUE(LEFT(A129,FIND("/",A129&amp;"/")-1)))</f>
        <v/>
      </c>
    </row>
    <row r="130">
      <c r="F130">
        <f>IF(A130="","",VALUE(LEFT(A130,FIND("/",A130&amp;"/")-1)))</f>
        <v/>
      </c>
    </row>
    <row r="131">
      <c r="F131">
        <f>IF(A131="","",VALUE(LEFT(A131,FIND("/",A131&amp;"/")-1)))</f>
        <v/>
      </c>
    </row>
    <row r="132">
      <c r="F132">
        <f>IF(A132="","",VALUE(LEFT(A132,FIND("/",A132&amp;"/")-1)))</f>
        <v/>
      </c>
    </row>
    <row r="133">
      <c r="F133">
        <f>IF(A133="","",VALUE(LEFT(A133,FIND("/",A133&amp;"/")-1)))</f>
        <v/>
      </c>
    </row>
    <row r="134">
      <c r="F134">
        <f>IF(A134="","",VALUE(LEFT(A134,FIND("/",A134&amp;"/")-1)))</f>
        <v/>
      </c>
    </row>
    <row r="135">
      <c r="F135">
        <f>IF(A135="","",VALUE(LEFT(A135,FIND("/",A135&amp;"/")-1)))</f>
        <v/>
      </c>
    </row>
    <row r="136">
      <c r="F136">
        <f>IF(A136="","",VALUE(LEFT(A136,FIND("/",A136&amp;"/")-1)))</f>
        <v/>
      </c>
    </row>
    <row r="137">
      <c r="F137">
        <f>IF(A137="","",VALUE(LEFT(A137,FIND("/",A137&amp;"/")-1)))</f>
        <v/>
      </c>
    </row>
    <row r="138">
      <c r="F138">
        <f>IF(A138="","",VALUE(LEFT(A138,FIND("/",A138&amp;"/")-1)))</f>
        <v/>
      </c>
    </row>
    <row r="139">
      <c r="F139">
        <f>IF(A139="","",VALUE(LEFT(A139,FIND("/",A139&amp;"/")-1)))</f>
        <v/>
      </c>
    </row>
    <row r="140">
      <c r="F140">
        <f>IF(A140="","",VALUE(LEFT(A140,FIND("/",A140&amp;"/")-1)))</f>
        <v/>
      </c>
    </row>
    <row r="141">
      <c r="F141">
        <f>IF(A141="","",VALUE(LEFT(A141,FIND("/",A141&amp;"/")-1)))</f>
        <v/>
      </c>
    </row>
    <row r="142">
      <c r="F142">
        <f>IF(A142="","",VALUE(LEFT(A142,FIND("/",A142&amp;"/")-1)))</f>
        <v/>
      </c>
    </row>
    <row r="143">
      <c r="F143">
        <f>IF(A143="","",VALUE(LEFT(A143,FIND("/",A143&amp;"/")-1)))</f>
        <v/>
      </c>
    </row>
    <row r="144">
      <c r="F144">
        <f>IF(A144="","",VALUE(LEFT(A144,FIND("/",A144&amp;"/")-1)))</f>
        <v/>
      </c>
    </row>
    <row r="145">
      <c r="F145">
        <f>IF(A145="","",VALUE(LEFT(A145,FIND("/",A145&amp;"/")-1)))</f>
        <v/>
      </c>
    </row>
    <row r="146">
      <c r="F146">
        <f>IF(A146="","",VALUE(LEFT(A146,FIND("/",A146&amp;"/")-1)))</f>
        <v/>
      </c>
    </row>
    <row r="147">
      <c r="F147">
        <f>IF(A147="","",VALUE(LEFT(A147,FIND("/",A147&amp;"/")-1)))</f>
        <v/>
      </c>
    </row>
    <row r="148">
      <c r="F148">
        <f>IF(A148="","",VALUE(LEFT(A148,FIND("/",A148&amp;"/")-1)))</f>
        <v/>
      </c>
    </row>
    <row r="149">
      <c r="F149">
        <f>IF(A149="","",VALUE(LEFT(A149,FIND("/",A149&amp;"/")-1)))</f>
        <v/>
      </c>
    </row>
    <row r="150">
      <c r="F150">
        <f>IF(A150="","",VALUE(LEFT(A150,FIND("/",A150&amp;"/")-1)))</f>
        <v/>
      </c>
    </row>
    <row r="151">
      <c r="F151">
        <f>IF(A151="","",VALUE(LEFT(A151,FIND("/",A151&amp;"/")-1)))</f>
        <v/>
      </c>
    </row>
    <row r="152">
      <c r="F152">
        <f>IF(A152="","",VALUE(LEFT(A152,FIND("/",A152&amp;"/")-1)))</f>
        <v/>
      </c>
    </row>
    <row r="153">
      <c r="F153">
        <f>IF(A153="","",VALUE(LEFT(A153,FIND("/",A153&amp;"/")-1)))</f>
        <v/>
      </c>
    </row>
    <row r="154">
      <c r="F154">
        <f>IF(A154="","",VALUE(LEFT(A154,FIND("/",A154&amp;"/")-1)))</f>
        <v/>
      </c>
    </row>
    <row r="155">
      <c r="F155">
        <f>IF(A155="","",VALUE(LEFT(A155,FIND("/",A155&amp;"/")-1)))</f>
        <v/>
      </c>
    </row>
    <row r="156">
      <c r="F156">
        <f>IF(A156="","",VALUE(LEFT(A156,FIND("/",A156&amp;"/")-1)))</f>
        <v/>
      </c>
    </row>
    <row r="157">
      <c r="F157">
        <f>IF(A157="","",VALUE(LEFT(A157,FIND("/",A157&amp;"/")-1)))</f>
        <v/>
      </c>
    </row>
    <row r="158">
      <c r="F158">
        <f>IF(A158="","",VALUE(LEFT(A158,FIND("/",A158&amp;"/")-1)))</f>
        <v/>
      </c>
    </row>
    <row r="159">
      <c r="F159">
        <f>IF(A159="","",VALUE(LEFT(A159,FIND("/",A159&amp;"/")-1)))</f>
        <v/>
      </c>
    </row>
    <row r="160">
      <c r="F160">
        <f>IF(A160="","",VALUE(LEFT(A160,FIND("/",A160&amp;"/")-1)))</f>
        <v/>
      </c>
    </row>
    <row r="161">
      <c r="F161">
        <f>IF(A161="","",VALUE(LEFT(A161,FIND("/",A161&amp;"/")-1)))</f>
        <v/>
      </c>
    </row>
    <row r="162">
      <c r="F162">
        <f>IF(A162="","",VALUE(LEFT(A162,FIND("/",A162&amp;"/")-1)))</f>
        <v/>
      </c>
    </row>
    <row r="163">
      <c r="F163">
        <f>IF(A163="","",VALUE(LEFT(A163,FIND("/",A163&amp;"/")-1)))</f>
        <v/>
      </c>
    </row>
    <row r="164">
      <c r="F164">
        <f>IF(A164="","",VALUE(LEFT(A164,FIND("/",A164&amp;"/")-1)))</f>
        <v/>
      </c>
    </row>
    <row r="165">
      <c r="F165">
        <f>IF(A165="","",VALUE(LEFT(A165,FIND("/",A165&amp;"/")-1)))</f>
        <v/>
      </c>
    </row>
    <row r="166">
      <c r="F166">
        <f>IF(A166="","",VALUE(LEFT(A166,FIND("/",A166&amp;"/")-1)))</f>
        <v/>
      </c>
    </row>
    <row r="167">
      <c r="F167">
        <f>IF(A167="","",VALUE(LEFT(A167,FIND("/",A167&amp;"/")-1)))</f>
        <v/>
      </c>
    </row>
    <row r="168">
      <c r="F168">
        <f>IF(A168="","",VALUE(LEFT(A168,FIND("/",A168&amp;"/")-1)))</f>
        <v/>
      </c>
    </row>
    <row r="169">
      <c r="F169">
        <f>IF(A169="","",VALUE(LEFT(A169,FIND("/",A169&amp;"/")-1)))</f>
        <v/>
      </c>
    </row>
    <row r="170">
      <c r="F170">
        <f>IF(A170="","",VALUE(LEFT(A170,FIND("/",A170&amp;"/")-1)))</f>
        <v/>
      </c>
    </row>
    <row r="171">
      <c r="F171">
        <f>IF(A171="","",VALUE(LEFT(A171,FIND("/",A171&amp;"/")-1)))</f>
        <v/>
      </c>
    </row>
    <row r="172">
      <c r="F172">
        <f>IF(A172="","",VALUE(LEFT(A172,FIND("/",A172&amp;"/")-1)))</f>
        <v/>
      </c>
    </row>
    <row r="173">
      <c r="F173">
        <f>IF(A173="","",VALUE(LEFT(A173,FIND("/",A173&amp;"/")-1)))</f>
        <v/>
      </c>
    </row>
    <row r="174">
      <c r="F174">
        <f>IF(A174="","",VALUE(LEFT(A174,FIND("/",A174&amp;"/")-1)))</f>
        <v/>
      </c>
    </row>
    <row r="175">
      <c r="F175">
        <f>IF(A175="","",VALUE(LEFT(A175,FIND("/",A175&amp;"/")-1)))</f>
        <v/>
      </c>
    </row>
    <row r="176">
      <c r="F176">
        <f>IF(A176="","",VALUE(LEFT(A176,FIND("/",A176&amp;"/")-1)))</f>
        <v/>
      </c>
    </row>
    <row r="177">
      <c r="F177">
        <f>IF(A177="","",VALUE(LEFT(A177,FIND("/",A177&amp;"/")-1)))</f>
        <v/>
      </c>
    </row>
    <row r="178">
      <c r="F178">
        <f>IF(A178="","",VALUE(LEFT(A178,FIND("/",A178&amp;"/")-1)))</f>
        <v/>
      </c>
    </row>
    <row r="179">
      <c r="F179">
        <f>IF(A179="","",VALUE(LEFT(A179,FIND("/",A179&amp;"/")-1)))</f>
        <v/>
      </c>
    </row>
    <row r="180">
      <c r="F180">
        <f>IF(A180="","",VALUE(LEFT(A180,FIND("/",A180&amp;"/")-1)))</f>
        <v/>
      </c>
    </row>
    <row r="181">
      <c r="F181">
        <f>IF(A181="","",VALUE(LEFT(A181,FIND("/",A181&amp;"/")-1)))</f>
        <v/>
      </c>
    </row>
    <row r="182">
      <c r="F182">
        <f>IF(A182="","",VALUE(LEFT(A182,FIND("/",A182&amp;"/")-1)))</f>
        <v/>
      </c>
    </row>
    <row r="183">
      <c r="F183">
        <f>IF(A183="","",VALUE(LEFT(A183,FIND("/",A183&amp;"/")-1)))</f>
        <v/>
      </c>
    </row>
    <row r="184">
      <c r="F184">
        <f>IF(A184="","",VALUE(LEFT(A184,FIND("/",A184&amp;"/")-1)))</f>
        <v/>
      </c>
    </row>
    <row r="185">
      <c r="F185">
        <f>IF(A185="","",VALUE(LEFT(A185,FIND("/",A185&amp;"/")-1)))</f>
        <v/>
      </c>
    </row>
    <row r="186">
      <c r="F186">
        <f>IF(A186="","",VALUE(LEFT(A186,FIND("/",A186&amp;"/")-1)))</f>
        <v/>
      </c>
    </row>
    <row r="187">
      <c r="F187">
        <f>IF(A187="","",VALUE(LEFT(A187,FIND("/",A187&amp;"/")-1)))</f>
        <v/>
      </c>
    </row>
    <row r="188">
      <c r="F188">
        <f>IF(A188="","",VALUE(LEFT(A188,FIND("/",A188&amp;"/")-1)))</f>
        <v/>
      </c>
    </row>
    <row r="189">
      <c r="F189">
        <f>IF(A189="","",VALUE(LEFT(A189,FIND("/",A189&amp;"/")-1)))</f>
        <v/>
      </c>
    </row>
    <row r="190">
      <c r="F190">
        <f>IF(A190="","",VALUE(LEFT(A190,FIND("/",A190&amp;"/")-1)))</f>
        <v/>
      </c>
    </row>
    <row r="191">
      <c r="F191">
        <f>IF(A191="","",VALUE(LEFT(A191,FIND("/",A191&amp;"/")-1)))</f>
        <v/>
      </c>
    </row>
    <row r="192">
      <c r="F192">
        <f>IF(A192="","",VALUE(LEFT(A192,FIND("/",A192&amp;"/")-1)))</f>
        <v/>
      </c>
    </row>
    <row r="193">
      <c r="F193">
        <f>IF(A193="","",VALUE(LEFT(A193,FIND("/",A193&amp;"/")-1)))</f>
        <v/>
      </c>
    </row>
    <row r="194">
      <c r="F194">
        <f>IF(A194="","",VALUE(LEFT(A194,FIND("/",A194&amp;"/")-1)))</f>
        <v/>
      </c>
    </row>
    <row r="195">
      <c r="F195">
        <f>IF(A195="","",VALUE(LEFT(A195,FIND("/",A195&amp;"/")-1)))</f>
        <v/>
      </c>
    </row>
    <row r="196">
      <c r="F196">
        <f>IF(A196="","",VALUE(LEFT(A196,FIND("/",A196&amp;"/")-1)))</f>
        <v/>
      </c>
    </row>
    <row r="197">
      <c r="F197">
        <f>IF(A197="","",VALUE(LEFT(A197,FIND("/",A197&amp;"/")-1)))</f>
        <v/>
      </c>
    </row>
    <row r="198">
      <c r="F198">
        <f>IF(A198="","",VALUE(LEFT(A198,FIND("/",A198&amp;"/")-1)))</f>
        <v/>
      </c>
    </row>
    <row r="199">
      <c r="F199">
        <f>IF(A199="","",VALUE(LEFT(A199,FIND("/",A199&amp;"/")-1)))</f>
        <v/>
      </c>
    </row>
    <row r="200">
      <c r="F200">
        <f>IF(A200="","",VALUE(LEFT(A200,FIND("/",A200&amp;"/")-1)))</f>
        <v/>
      </c>
    </row>
    <row r="201">
      <c r="F201">
        <f>IF(A201="","",VALUE(LEFT(A201,FIND("/",A201&amp;"/")-1)))</f>
        <v/>
      </c>
    </row>
    <row r="202">
      <c r="F202">
        <f>IF(A202="","",VALUE(LEFT(A202,FIND("/",A202&amp;"/")-1)))</f>
        <v/>
      </c>
    </row>
    <row r="203">
      <c r="F203">
        <f>IF(A203="","",VALUE(LEFT(A203,FIND("/",A203&amp;"/")-1)))</f>
        <v/>
      </c>
    </row>
    <row r="204">
      <c r="F204">
        <f>IF(A204="","",VALUE(LEFT(A204,FIND("/",A204&amp;"/")-1)))</f>
        <v/>
      </c>
    </row>
    <row r="206">
      <c r="A206" s="2" t="inlineStr">
        <is>
          <t>↓ Ne pas remplir les deux tableaux — choisir celui qui correspond ↓</t>
        </is>
      </c>
    </row>
    <row r="207">
      <c r="A207" s="3" t="inlineStr">
        <is>
          <t>TABLEAU — SANS FY</t>
        </is>
      </c>
    </row>
    <row r="209">
      <c r="A209" s="4" t="inlineStr">
        <is>
          <t>Noeud_Cas</t>
        </is>
      </c>
      <c r="B209" s="4" t="inlineStr">
        <is>
          <t>Nom_cas</t>
        </is>
      </c>
      <c r="C209" s="4" t="inlineStr">
        <is>
          <t>FX_daN</t>
        </is>
      </c>
      <c r="D209" s="4" t="inlineStr">
        <is>
          <t>FZ_daN</t>
        </is>
      </c>
      <c r="E209" s="4" t="inlineStr">
        <is>
          <t>Noeud</t>
        </is>
      </c>
    </row>
    <row r="210">
      <c r="A210" s="5" t="n"/>
      <c r="B210" s="5" t="n"/>
      <c r="C210" s="5" t="n"/>
      <c r="D210" s="5" t="n"/>
      <c r="E210">
        <f>IF(A210="","",VALUE(LEFT(A210,FIND("/",A210&amp;"/")-1)))</f>
        <v/>
      </c>
    </row>
    <row r="211">
      <c r="A211" s="5" t="n"/>
      <c r="B211" s="5" t="n"/>
      <c r="C211" s="5" t="n"/>
      <c r="D211" s="5" t="n"/>
      <c r="E211">
        <f>IF(A211="","",VALUE(LEFT(A211,FIND("/",A211&amp;"/")-1)))</f>
        <v/>
      </c>
    </row>
    <row r="212">
      <c r="A212" s="5" t="n"/>
      <c r="B212" s="5" t="n"/>
      <c r="C212" s="5" t="n"/>
      <c r="D212" s="5" t="n"/>
      <c r="E212">
        <f>IF(A212="","",VALUE(LEFT(A212,FIND("/",A212&amp;"/")-1)))</f>
        <v/>
      </c>
    </row>
    <row r="213">
      <c r="A213" s="5" t="n"/>
      <c r="B213" s="5" t="n"/>
      <c r="C213" s="5" t="n"/>
      <c r="D213" s="5" t="n"/>
      <c r="E213">
        <f>IF(A213="","",VALUE(LEFT(A213,FIND("/",A213&amp;"/")-1)))</f>
        <v/>
      </c>
    </row>
    <row r="214">
      <c r="A214" s="5" t="n"/>
      <c r="B214" s="5" t="n"/>
      <c r="C214" s="5" t="n"/>
      <c r="D214" s="5" t="n"/>
      <c r="E214">
        <f>IF(A214="","",VALUE(LEFT(A214,FIND("/",A214&amp;"/")-1)))</f>
        <v/>
      </c>
    </row>
    <row r="215">
      <c r="A215" s="5" t="n"/>
      <c r="B215" s="5" t="n"/>
      <c r="C215" s="5" t="n"/>
      <c r="D215" s="5" t="n"/>
      <c r="E215">
        <f>IF(A215="","",VALUE(LEFT(A215,FIND("/",A215&amp;"/")-1)))</f>
        <v/>
      </c>
    </row>
    <row r="216">
      <c r="A216" s="5" t="n"/>
      <c r="B216" s="5" t="n"/>
      <c r="C216" s="5" t="n"/>
      <c r="D216" s="5" t="n"/>
      <c r="E216">
        <f>IF(A216="","",VALUE(LEFT(A216,FIND("/",A216&amp;"/")-1)))</f>
        <v/>
      </c>
    </row>
    <row r="217">
      <c r="A217" s="5" t="n"/>
      <c r="B217" s="5" t="n"/>
      <c r="C217" s="5" t="n"/>
      <c r="D217" s="5" t="n"/>
      <c r="E217">
        <f>IF(A217="","",VALUE(LEFT(A217,FIND("/",A217&amp;"/")-1)))</f>
        <v/>
      </c>
    </row>
    <row r="218">
      <c r="A218" s="5" t="n"/>
      <c r="B218" s="5" t="n"/>
      <c r="C218" s="5" t="n"/>
      <c r="D218" s="5" t="n"/>
      <c r="E218">
        <f>IF(A218="","",VALUE(LEFT(A218,FIND("/",A218&amp;"/")-1)))</f>
        <v/>
      </c>
    </row>
    <row r="219">
      <c r="A219" s="5" t="n"/>
      <c r="B219" s="5" t="n"/>
      <c r="C219" s="5" t="n"/>
      <c r="D219" s="5" t="n"/>
      <c r="E219">
        <f>IF(A219="","",VALUE(LEFT(A219,FIND("/",A219&amp;"/")-1)))</f>
        <v/>
      </c>
    </row>
    <row r="220">
      <c r="A220" s="5" t="n"/>
      <c r="B220" s="5" t="n"/>
      <c r="C220" s="5" t="n"/>
      <c r="D220" s="5" t="n"/>
      <c r="E220">
        <f>IF(A220="","",VALUE(LEFT(A220,FIND("/",A220&amp;"/")-1)))</f>
        <v/>
      </c>
    </row>
    <row r="221">
      <c r="A221" s="5" t="n"/>
      <c r="B221" s="5" t="n"/>
      <c r="C221" s="5" t="n"/>
      <c r="D221" s="5" t="n"/>
      <c r="E221">
        <f>IF(A221="","",VALUE(LEFT(A221,FIND("/",A221&amp;"/")-1)))</f>
        <v/>
      </c>
    </row>
    <row r="222">
      <c r="A222" s="5" t="n"/>
      <c r="B222" s="5" t="n"/>
      <c r="C222" s="5" t="n"/>
      <c r="D222" s="5" t="n"/>
      <c r="E222">
        <f>IF(A222="","",VALUE(LEFT(A222,FIND("/",A222&amp;"/")-1)))</f>
        <v/>
      </c>
    </row>
    <row r="223">
      <c r="A223" s="5" t="n"/>
      <c r="B223" s="5" t="n"/>
      <c r="C223" s="5" t="n"/>
      <c r="D223" s="5" t="n"/>
      <c r="E223">
        <f>IF(A223="","",VALUE(LEFT(A223,FIND("/",A223&amp;"/")-1)))</f>
        <v/>
      </c>
    </row>
    <row r="224">
      <c r="E224">
        <f>IF(A224="","",VALUE(LEFT(A224,FIND("/",A224&amp;"/")-1)))</f>
        <v/>
      </c>
    </row>
    <row r="225">
      <c r="E225">
        <f>IF(A225="","",VALUE(LEFT(A225,FIND("/",A225&amp;"/")-1)))</f>
        <v/>
      </c>
    </row>
    <row r="226">
      <c r="E226">
        <f>IF(A226="","",VALUE(LEFT(A226,FIND("/",A226&amp;"/")-1)))</f>
        <v/>
      </c>
    </row>
    <row r="227">
      <c r="E227">
        <f>IF(A227="","",VALUE(LEFT(A227,FIND("/",A227&amp;"/")-1)))</f>
        <v/>
      </c>
    </row>
    <row r="228">
      <c r="E228">
        <f>IF(A228="","",VALUE(LEFT(A228,FIND("/",A228&amp;"/")-1)))</f>
        <v/>
      </c>
    </row>
    <row r="229">
      <c r="E229">
        <f>IF(A229="","",VALUE(LEFT(A229,FIND("/",A229&amp;"/")-1)))</f>
        <v/>
      </c>
    </row>
    <row r="230">
      <c r="E230">
        <f>IF(A230="","",VALUE(LEFT(A230,FIND("/",A230&amp;"/")-1)))</f>
        <v/>
      </c>
    </row>
    <row r="231">
      <c r="E231">
        <f>IF(A231="","",VALUE(LEFT(A231,FIND("/",A231&amp;"/")-1)))</f>
        <v/>
      </c>
    </row>
    <row r="232">
      <c r="E232">
        <f>IF(A232="","",VALUE(LEFT(A232,FIND("/",A232&amp;"/")-1)))</f>
        <v/>
      </c>
    </row>
    <row r="233">
      <c r="E233">
        <f>IF(A233="","",VALUE(LEFT(A233,FIND("/",A233&amp;"/")-1)))</f>
        <v/>
      </c>
    </row>
    <row r="234">
      <c r="E234">
        <f>IF(A234="","",VALUE(LEFT(A234,FIND("/",A234&amp;"/")-1)))</f>
        <v/>
      </c>
    </row>
    <row r="235">
      <c r="E235">
        <f>IF(A235="","",VALUE(LEFT(A235,FIND("/",A235&amp;"/")-1)))</f>
        <v/>
      </c>
    </row>
    <row r="236">
      <c r="E236">
        <f>IF(A236="","",VALUE(LEFT(A236,FIND("/",A236&amp;"/")-1)))</f>
        <v/>
      </c>
    </row>
    <row r="237">
      <c r="E237">
        <f>IF(A237="","",VALUE(LEFT(A237,FIND("/",A237&amp;"/")-1)))</f>
        <v/>
      </c>
    </row>
    <row r="238">
      <c r="E238">
        <f>IF(A238="","",VALUE(LEFT(A238,FIND("/",A238&amp;"/")-1)))</f>
        <v/>
      </c>
    </row>
    <row r="239">
      <c r="E239">
        <f>IF(A239="","",VALUE(LEFT(A239,FIND("/",A239&amp;"/")-1)))</f>
        <v/>
      </c>
    </row>
    <row r="240">
      <c r="E240">
        <f>IF(A240="","",VALUE(LEFT(A240,FIND("/",A240&amp;"/")-1)))</f>
        <v/>
      </c>
    </row>
    <row r="241">
      <c r="E241">
        <f>IF(A241="","",VALUE(LEFT(A241,FIND("/",A241&amp;"/")-1)))</f>
        <v/>
      </c>
    </row>
    <row r="242">
      <c r="E242">
        <f>IF(A242="","",VALUE(LEFT(A242,FIND("/",A242&amp;"/")-1)))</f>
        <v/>
      </c>
    </row>
    <row r="243">
      <c r="E243">
        <f>IF(A243="","",VALUE(LEFT(A243,FIND("/",A243&amp;"/")-1)))</f>
        <v/>
      </c>
    </row>
    <row r="244">
      <c r="E244">
        <f>IF(A244="","",VALUE(LEFT(A244,FIND("/",A244&amp;"/")-1)))</f>
        <v/>
      </c>
    </row>
    <row r="245">
      <c r="E245">
        <f>IF(A245="","",VALUE(LEFT(A245,FIND("/",A245&amp;"/")-1)))</f>
        <v/>
      </c>
    </row>
    <row r="246">
      <c r="E246">
        <f>IF(A246="","",VALUE(LEFT(A246,FIND("/",A246&amp;"/")-1)))</f>
        <v/>
      </c>
    </row>
    <row r="247">
      <c r="E247">
        <f>IF(A247="","",VALUE(LEFT(A247,FIND("/",A247&amp;"/")-1)))</f>
        <v/>
      </c>
    </row>
    <row r="248">
      <c r="E248">
        <f>IF(A248="","",VALUE(LEFT(A248,FIND("/",A248&amp;"/")-1)))</f>
        <v/>
      </c>
    </row>
    <row r="249">
      <c r="E249">
        <f>IF(A249="","",VALUE(LEFT(A249,FIND("/",A249&amp;"/")-1)))</f>
        <v/>
      </c>
    </row>
    <row r="250">
      <c r="E250">
        <f>IF(A250="","",VALUE(LEFT(A250,FIND("/",A250&amp;"/")-1)))</f>
        <v/>
      </c>
    </row>
    <row r="251">
      <c r="E251">
        <f>IF(A251="","",VALUE(LEFT(A251,FIND("/",A251&amp;"/")-1)))</f>
        <v/>
      </c>
    </row>
    <row r="252">
      <c r="E252">
        <f>IF(A252="","",VALUE(LEFT(A252,FIND("/",A252&amp;"/")-1)))</f>
        <v/>
      </c>
    </row>
    <row r="253">
      <c r="E253">
        <f>IF(A253="","",VALUE(LEFT(A253,FIND("/",A253&amp;"/")-1)))</f>
        <v/>
      </c>
    </row>
    <row r="254">
      <c r="E254">
        <f>IF(A254="","",VALUE(LEFT(A254,FIND("/",A254&amp;"/")-1)))</f>
        <v/>
      </c>
    </row>
    <row r="255">
      <c r="E255">
        <f>IF(A255="","",VALUE(LEFT(A255,FIND("/",A255&amp;"/")-1)))</f>
        <v/>
      </c>
    </row>
    <row r="256">
      <c r="E256">
        <f>IF(A256="","",VALUE(LEFT(A256,FIND("/",A256&amp;"/")-1)))</f>
        <v/>
      </c>
    </row>
    <row r="257">
      <c r="E257">
        <f>IF(A257="","",VALUE(LEFT(A257,FIND("/",A257&amp;"/")-1)))</f>
        <v/>
      </c>
    </row>
    <row r="258">
      <c r="E258">
        <f>IF(A258="","",VALUE(LEFT(A258,FIND("/",A258&amp;"/")-1)))</f>
        <v/>
      </c>
    </row>
    <row r="259">
      <c r="E259">
        <f>IF(A259="","",VALUE(LEFT(A259,FIND("/",A259&amp;"/")-1)))</f>
        <v/>
      </c>
    </row>
    <row r="260">
      <c r="E260">
        <f>IF(A260="","",VALUE(LEFT(A260,FIND("/",A260&amp;"/")-1)))</f>
        <v/>
      </c>
    </row>
    <row r="261">
      <c r="E261">
        <f>IF(A261="","",VALUE(LEFT(A261,FIND("/",A261&amp;"/")-1)))</f>
        <v/>
      </c>
    </row>
    <row r="262">
      <c r="E262">
        <f>IF(A262="","",VALUE(LEFT(A262,FIND("/",A262&amp;"/")-1)))</f>
        <v/>
      </c>
    </row>
    <row r="263">
      <c r="E263">
        <f>IF(A263="","",VALUE(LEFT(A263,FIND("/",A263&amp;"/")-1)))</f>
        <v/>
      </c>
    </row>
    <row r="264">
      <c r="E264">
        <f>IF(A264="","",VALUE(LEFT(A264,FIND("/",A264&amp;"/")-1)))</f>
        <v/>
      </c>
    </row>
    <row r="265">
      <c r="E265">
        <f>IF(A265="","",VALUE(LEFT(A265,FIND("/",A265&amp;"/")-1)))</f>
        <v/>
      </c>
    </row>
    <row r="266">
      <c r="E266">
        <f>IF(A266="","",VALUE(LEFT(A266,FIND("/",A266&amp;"/")-1)))</f>
        <v/>
      </c>
    </row>
    <row r="267">
      <c r="E267">
        <f>IF(A267="","",VALUE(LEFT(A267,FIND("/",A267&amp;"/")-1)))</f>
        <v/>
      </c>
    </row>
    <row r="268">
      <c r="E268">
        <f>IF(A268="","",VALUE(LEFT(A268,FIND("/",A268&amp;"/")-1)))</f>
        <v/>
      </c>
    </row>
    <row r="269">
      <c r="E269">
        <f>IF(A269="","",VALUE(LEFT(A269,FIND("/",A269&amp;"/")-1)))</f>
        <v/>
      </c>
    </row>
    <row r="270">
      <c r="E270">
        <f>IF(A270="","",VALUE(LEFT(A270,FIND("/",A270&amp;"/")-1)))</f>
        <v/>
      </c>
    </row>
    <row r="271">
      <c r="E271">
        <f>IF(A271="","",VALUE(LEFT(A271,FIND("/",A271&amp;"/")-1)))</f>
        <v/>
      </c>
    </row>
    <row r="272">
      <c r="E272">
        <f>IF(A272="","",VALUE(LEFT(A272,FIND("/",A272&amp;"/")-1)))</f>
        <v/>
      </c>
    </row>
    <row r="273">
      <c r="E273">
        <f>IF(A273="","",VALUE(LEFT(A273,FIND("/",A273&amp;"/")-1)))</f>
        <v/>
      </c>
    </row>
    <row r="274">
      <c r="E274">
        <f>IF(A274="","",VALUE(LEFT(A274,FIND("/",A274&amp;"/")-1)))</f>
        <v/>
      </c>
    </row>
    <row r="275">
      <c r="E275">
        <f>IF(A275="","",VALUE(LEFT(A275,FIND("/",A275&amp;"/")-1)))</f>
        <v/>
      </c>
    </row>
    <row r="276">
      <c r="E276">
        <f>IF(A276="","",VALUE(LEFT(A276,FIND("/",A276&amp;"/")-1)))</f>
        <v/>
      </c>
    </row>
    <row r="277">
      <c r="E277">
        <f>IF(A277="","",VALUE(LEFT(A277,FIND("/",A277&amp;"/")-1)))</f>
        <v/>
      </c>
    </row>
    <row r="278">
      <c r="E278">
        <f>IF(A278="","",VALUE(LEFT(A278,FIND("/",A278&amp;"/")-1)))</f>
        <v/>
      </c>
    </row>
    <row r="279">
      <c r="E279">
        <f>IF(A279="","",VALUE(LEFT(A279,FIND("/",A279&amp;"/")-1)))</f>
        <v/>
      </c>
    </row>
    <row r="280">
      <c r="E280">
        <f>IF(A280="","",VALUE(LEFT(A280,FIND("/",A280&amp;"/")-1)))</f>
        <v/>
      </c>
    </row>
    <row r="281">
      <c r="E281">
        <f>IF(A281="","",VALUE(LEFT(A281,FIND("/",A281&amp;"/")-1)))</f>
        <v/>
      </c>
    </row>
    <row r="282">
      <c r="E282">
        <f>IF(A282="","",VALUE(LEFT(A282,FIND("/",A282&amp;"/")-1)))</f>
        <v/>
      </c>
    </row>
    <row r="283">
      <c r="E283">
        <f>IF(A283="","",VALUE(LEFT(A283,FIND("/",A283&amp;"/")-1)))</f>
        <v/>
      </c>
    </row>
    <row r="284">
      <c r="E284">
        <f>IF(A284="","",VALUE(LEFT(A284,FIND("/",A284&amp;"/")-1)))</f>
        <v/>
      </c>
    </row>
    <row r="285">
      <c r="E285">
        <f>IF(A285="","",VALUE(LEFT(A285,FIND("/",A285&amp;"/")-1)))</f>
        <v/>
      </c>
    </row>
    <row r="286">
      <c r="E286">
        <f>IF(A286="","",VALUE(LEFT(A286,FIND("/",A286&amp;"/")-1)))</f>
        <v/>
      </c>
    </row>
    <row r="287">
      <c r="E287">
        <f>IF(A287="","",VALUE(LEFT(A287,FIND("/",A287&amp;"/")-1)))</f>
        <v/>
      </c>
    </row>
    <row r="288">
      <c r="E288">
        <f>IF(A288="","",VALUE(LEFT(A288,FIND("/",A288&amp;"/")-1)))</f>
        <v/>
      </c>
    </row>
    <row r="289">
      <c r="E289">
        <f>IF(A289="","",VALUE(LEFT(A289,FIND("/",A289&amp;"/")-1)))</f>
        <v/>
      </c>
    </row>
    <row r="290">
      <c r="E290">
        <f>IF(A290="","",VALUE(LEFT(A290,FIND("/",A290&amp;"/")-1)))</f>
        <v/>
      </c>
    </row>
    <row r="291">
      <c r="E291">
        <f>IF(A291="","",VALUE(LEFT(A291,FIND("/",A291&amp;"/")-1)))</f>
        <v/>
      </c>
    </row>
    <row r="292">
      <c r="E292">
        <f>IF(A292="","",VALUE(LEFT(A292,FIND("/",A292&amp;"/")-1)))</f>
        <v/>
      </c>
    </row>
    <row r="293">
      <c r="E293">
        <f>IF(A293="","",VALUE(LEFT(A293,FIND("/",A293&amp;"/")-1)))</f>
        <v/>
      </c>
    </row>
    <row r="294">
      <c r="E294">
        <f>IF(A294="","",VALUE(LEFT(A294,FIND("/",A294&amp;"/")-1)))</f>
        <v/>
      </c>
    </row>
    <row r="295">
      <c r="E295">
        <f>IF(A295="","",VALUE(LEFT(A295,FIND("/",A295&amp;"/")-1)))</f>
        <v/>
      </c>
    </row>
    <row r="296">
      <c r="E296">
        <f>IF(A296="","",VALUE(LEFT(A296,FIND("/",A296&amp;"/")-1)))</f>
        <v/>
      </c>
    </row>
    <row r="297">
      <c r="E297">
        <f>IF(A297="","",VALUE(LEFT(A297,FIND("/",A297&amp;"/")-1)))</f>
        <v/>
      </c>
    </row>
    <row r="298">
      <c r="E298">
        <f>IF(A298="","",VALUE(LEFT(A298,FIND("/",A298&amp;"/")-1)))</f>
        <v/>
      </c>
    </row>
    <row r="299">
      <c r="E299">
        <f>IF(A299="","",VALUE(LEFT(A299,FIND("/",A299&amp;"/")-1)))</f>
        <v/>
      </c>
    </row>
    <row r="300">
      <c r="E300">
        <f>IF(A300="","",VALUE(LEFT(A300,FIND("/",A300&amp;"/")-1)))</f>
        <v/>
      </c>
    </row>
    <row r="301">
      <c r="E301">
        <f>IF(A301="","",VALUE(LEFT(A301,FIND("/",A301&amp;"/")-1)))</f>
        <v/>
      </c>
    </row>
    <row r="302">
      <c r="E302">
        <f>IF(A302="","",VALUE(LEFT(A302,FIND("/",A302&amp;"/")-1)))</f>
        <v/>
      </c>
    </row>
    <row r="303">
      <c r="E303">
        <f>IF(A303="","",VALUE(LEFT(A303,FIND("/",A303&amp;"/")-1)))</f>
        <v/>
      </c>
    </row>
    <row r="304">
      <c r="E304">
        <f>IF(A304="","",VALUE(LEFT(A304,FIND("/",A304&amp;"/")-1)))</f>
        <v/>
      </c>
    </row>
    <row r="305">
      <c r="E305">
        <f>IF(A305="","",VALUE(LEFT(A305,FIND("/",A305&amp;"/")-1)))</f>
        <v/>
      </c>
    </row>
    <row r="306">
      <c r="E306">
        <f>IF(A306="","",VALUE(LEFT(A306,FIND("/",A306&amp;"/")-1)))</f>
        <v/>
      </c>
    </row>
    <row r="307">
      <c r="E307">
        <f>IF(A307="","",VALUE(LEFT(A307,FIND("/",A307&amp;"/")-1)))</f>
        <v/>
      </c>
    </row>
    <row r="308">
      <c r="E308">
        <f>IF(A308="","",VALUE(LEFT(A308,FIND("/",A308&amp;"/")-1)))</f>
        <v/>
      </c>
    </row>
    <row r="309">
      <c r="E309">
        <f>IF(A309="","",VALUE(LEFT(A309,FIND("/",A309&amp;"/")-1)))</f>
        <v/>
      </c>
    </row>
    <row r="310">
      <c r="E310">
        <f>IF(A310="","",VALUE(LEFT(A310,FIND("/",A310&amp;"/")-1)))</f>
        <v/>
      </c>
    </row>
    <row r="311">
      <c r="E311">
        <f>IF(A311="","",VALUE(LEFT(A311,FIND("/",A311&amp;"/")-1)))</f>
        <v/>
      </c>
    </row>
    <row r="312">
      <c r="E312">
        <f>IF(A312="","",VALUE(LEFT(A312,FIND("/",A312&amp;"/")-1)))</f>
        <v/>
      </c>
    </row>
    <row r="313">
      <c r="E313">
        <f>IF(A313="","",VALUE(LEFT(A313,FIND("/",A313&amp;"/")-1)))</f>
        <v/>
      </c>
    </row>
    <row r="314">
      <c r="E314">
        <f>IF(A314="","",VALUE(LEFT(A314,FIND("/",A314&amp;"/")-1)))</f>
        <v/>
      </c>
    </row>
    <row r="315">
      <c r="E315">
        <f>IF(A315="","",VALUE(LEFT(A315,FIND("/",A315&amp;"/")-1)))</f>
        <v/>
      </c>
    </row>
    <row r="316">
      <c r="E316">
        <f>IF(A316="","",VALUE(LEFT(A316,FIND("/",A316&amp;"/")-1)))</f>
        <v/>
      </c>
    </row>
    <row r="317">
      <c r="E317">
        <f>IF(A317="","",VALUE(LEFT(A317,FIND("/",A317&amp;"/")-1)))</f>
        <v/>
      </c>
    </row>
    <row r="318">
      <c r="E318">
        <f>IF(A318="","",VALUE(LEFT(A318,FIND("/",A318&amp;"/")-1)))</f>
        <v/>
      </c>
    </row>
    <row r="319">
      <c r="E319">
        <f>IF(A319="","",VALUE(LEFT(A319,FIND("/",A319&amp;"/")-1)))</f>
        <v/>
      </c>
    </row>
    <row r="320">
      <c r="E320">
        <f>IF(A320="","",VALUE(LEFT(A320,FIND("/",A320&amp;"/")-1)))</f>
        <v/>
      </c>
    </row>
    <row r="321">
      <c r="E321">
        <f>IF(A321="","",VALUE(LEFT(A321,FIND("/",A321&amp;"/")-1)))</f>
        <v/>
      </c>
    </row>
    <row r="322">
      <c r="E322">
        <f>IF(A322="","",VALUE(LEFT(A322,FIND("/",A322&amp;"/")-1)))</f>
        <v/>
      </c>
    </row>
    <row r="323">
      <c r="E323">
        <f>IF(A323="","",VALUE(LEFT(A323,FIND("/",A323&amp;"/")-1)))</f>
        <v/>
      </c>
    </row>
    <row r="324">
      <c r="E324">
        <f>IF(A324="","",VALUE(LEFT(A324,FIND("/",A324&amp;"/")-1)))</f>
        <v/>
      </c>
    </row>
    <row r="325">
      <c r="E325">
        <f>IF(A325="","",VALUE(LEFT(A325,FIND("/",A325&amp;"/")-1)))</f>
        <v/>
      </c>
    </row>
    <row r="326">
      <c r="E326">
        <f>IF(A326="","",VALUE(LEFT(A326,FIND("/",A326&amp;"/")-1)))</f>
        <v/>
      </c>
    </row>
    <row r="327">
      <c r="E327">
        <f>IF(A327="","",VALUE(LEFT(A327,FIND("/",A327&amp;"/")-1)))</f>
        <v/>
      </c>
    </row>
    <row r="328">
      <c r="E328">
        <f>IF(A328="","",VALUE(LEFT(A328,FIND("/",A328&amp;"/")-1)))</f>
        <v/>
      </c>
    </row>
    <row r="329">
      <c r="E329">
        <f>IF(A329="","",VALUE(LEFT(A329,FIND("/",A329&amp;"/")-1)))</f>
        <v/>
      </c>
    </row>
    <row r="330">
      <c r="E330">
        <f>IF(A330="","",VALUE(LEFT(A330,FIND("/",A330&amp;"/")-1)))</f>
        <v/>
      </c>
    </row>
    <row r="331">
      <c r="E331">
        <f>IF(A331="","",VALUE(LEFT(A331,FIND("/",A331&amp;"/")-1)))</f>
        <v/>
      </c>
    </row>
    <row r="332">
      <c r="E332">
        <f>IF(A332="","",VALUE(LEFT(A332,FIND("/",A332&amp;"/")-1)))</f>
        <v/>
      </c>
    </row>
    <row r="333">
      <c r="E333">
        <f>IF(A333="","",VALUE(LEFT(A333,FIND("/",A333&amp;"/")-1)))</f>
        <v/>
      </c>
    </row>
    <row r="334">
      <c r="E334">
        <f>IF(A334="","",VALUE(LEFT(A334,FIND("/",A334&amp;"/")-1)))</f>
        <v/>
      </c>
    </row>
    <row r="335">
      <c r="E335">
        <f>IF(A335="","",VALUE(LEFT(A335,FIND("/",A335&amp;"/")-1)))</f>
        <v/>
      </c>
    </row>
    <row r="336">
      <c r="E336">
        <f>IF(A336="","",VALUE(LEFT(A336,FIND("/",A336&amp;"/")-1)))</f>
        <v/>
      </c>
    </row>
    <row r="337">
      <c r="E337">
        <f>IF(A337="","",VALUE(LEFT(A337,FIND("/",A337&amp;"/")-1)))</f>
        <v/>
      </c>
    </row>
    <row r="338">
      <c r="E338">
        <f>IF(A338="","",VALUE(LEFT(A338,FIND("/",A338&amp;"/")-1)))</f>
        <v/>
      </c>
    </row>
    <row r="339">
      <c r="E339">
        <f>IF(A339="","",VALUE(LEFT(A339,FIND("/",A339&amp;"/")-1)))</f>
        <v/>
      </c>
    </row>
    <row r="340">
      <c r="E340">
        <f>IF(A340="","",VALUE(LEFT(A340,FIND("/",A340&amp;"/")-1)))</f>
        <v/>
      </c>
    </row>
    <row r="341">
      <c r="E341">
        <f>IF(A341="","",VALUE(LEFT(A341,FIND("/",A341&amp;"/")-1)))</f>
        <v/>
      </c>
    </row>
    <row r="342">
      <c r="E342">
        <f>IF(A342="","",VALUE(LEFT(A342,FIND("/",A342&amp;"/")-1)))</f>
        <v/>
      </c>
    </row>
    <row r="343">
      <c r="E343">
        <f>IF(A343="","",VALUE(LEFT(A343,FIND("/",A343&amp;"/")-1)))</f>
        <v/>
      </c>
    </row>
    <row r="344">
      <c r="E344">
        <f>IF(A344="","",VALUE(LEFT(A344,FIND("/",A344&amp;"/")-1)))</f>
        <v/>
      </c>
    </row>
    <row r="345">
      <c r="E345">
        <f>IF(A345="","",VALUE(LEFT(A345,FIND("/",A345&amp;"/")-1)))</f>
        <v/>
      </c>
    </row>
    <row r="346">
      <c r="E346">
        <f>IF(A346="","",VALUE(LEFT(A346,FIND("/",A346&amp;"/")-1)))</f>
        <v/>
      </c>
    </row>
    <row r="347">
      <c r="E347">
        <f>IF(A347="","",VALUE(LEFT(A347,FIND("/",A347&amp;"/")-1)))</f>
        <v/>
      </c>
    </row>
    <row r="348">
      <c r="E348">
        <f>IF(A348="","",VALUE(LEFT(A348,FIND("/",A348&amp;"/")-1)))</f>
        <v/>
      </c>
    </row>
    <row r="349">
      <c r="E349">
        <f>IF(A349="","",VALUE(LEFT(A349,FIND("/",A349&amp;"/")-1)))</f>
        <v/>
      </c>
    </row>
    <row r="350">
      <c r="E350">
        <f>IF(A350="","",VALUE(LEFT(A350,FIND("/",A350&amp;"/")-1)))</f>
        <v/>
      </c>
    </row>
    <row r="351">
      <c r="E351">
        <f>IF(A351="","",VALUE(LEFT(A351,FIND("/",A351&amp;"/")-1)))</f>
        <v/>
      </c>
    </row>
    <row r="352">
      <c r="E352">
        <f>IF(A352="","",VALUE(LEFT(A352,FIND("/",A352&amp;"/")-1)))</f>
        <v/>
      </c>
    </row>
    <row r="353">
      <c r="E353">
        <f>IF(A353="","",VALUE(LEFT(A353,FIND("/",A353&amp;"/")-1)))</f>
        <v/>
      </c>
    </row>
    <row r="354">
      <c r="E354">
        <f>IF(A354="","",VALUE(LEFT(A354,FIND("/",A354&amp;"/")-1)))</f>
        <v/>
      </c>
    </row>
    <row r="355">
      <c r="E355">
        <f>IF(A355="","",VALUE(LEFT(A355,FIND("/",A355&amp;"/")-1)))</f>
        <v/>
      </c>
    </row>
    <row r="356">
      <c r="E356">
        <f>IF(A356="","",VALUE(LEFT(A356,FIND("/",A356&amp;"/")-1)))</f>
        <v/>
      </c>
    </row>
    <row r="357">
      <c r="E357">
        <f>IF(A357="","",VALUE(LEFT(A357,FIND("/",A357&amp;"/")-1)))</f>
        <v/>
      </c>
    </row>
    <row r="358">
      <c r="E358">
        <f>IF(A358="","",VALUE(LEFT(A358,FIND("/",A358&amp;"/")-1)))</f>
        <v/>
      </c>
    </row>
    <row r="359">
      <c r="E359">
        <f>IF(A359="","",VALUE(LEFT(A359,FIND("/",A359&amp;"/")-1)))</f>
        <v/>
      </c>
    </row>
    <row r="360">
      <c r="E360">
        <f>IF(A360="","",VALUE(LEFT(A360,FIND("/",A360&amp;"/")-1)))</f>
        <v/>
      </c>
    </row>
    <row r="361">
      <c r="E361">
        <f>IF(A361="","",VALUE(LEFT(A361,FIND("/",A361&amp;"/")-1)))</f>
        <v/>
      </c>
    </row>
    <row r="362">
      <c r="E362">
        <f>IF(A362="","",VALUE(LEFT(A362,FIND("/",A362&amp;"/")-1)))</f>
        <v/>
      </c>
    </row>
    <row r="363">
      <c r="E363">
        <f>IF(A363="","",VALUE(LEFT(A363,FIND("/",A363&amp;"/")-1)))</f>
        <v/>
      </c>
    </row>
    <row r="364">
      <c r="E364">
        <f>IF(A364="","",VALUE(LEFT(A364,FIND("/",A364&amp;"/")-1)))</f>
        <v/>
      </c>
    </row>
    <row r="365">
      <c r="E365">
        <f>IF(A365="","",VALUE(LEFT(A365,FIND("/",A365&amp;"/")-1)))</f>
        <v/>
      </c>
    </row>
    <row r="366">
      <c r="E366">
        <f>IF(A366="","",VALUE(LEFT(A366,FIND("/",A366&amp;"/")-1)))</f>
        <v/>
      </c>
    </row>
    <row r="367">
      <c r="E367">
        <f>IF(A367="","",VALUE(LEFT(A367,FIND("/",A367&amp;"/")-1)))</f>
        <v/>
      </c>
    </row>
    <row r="368">
      <c r="E368">
        <f>IF(A368="","",VALUE(LEFT(A368,FIND("/",A368&amp;"/")-1)))</f>
        <v/>
      </c>
    </row>
    <row r="369">
      <c r="E369">
        <f>IF(A369="","",VALUE(LEFT(A369,FIND("/",A369&amp;"/")-1)))</f>
        <v/>
      </c>
    </row>
    <row r="370">
      <c r="E370">
        <f>IF(A370="","",VALUE(LEFT(A370,FIND("/",A370&amp;"/")-1)))</f>
        <v/>
      </c>
    </row>
    <row r="371">
      <c r="E371">
        <f>IF(A371="","",VALUE(LEFT(A371,FIND("/",A371&amp;"/")-1)))</f>
        <v/>
      </c>
    </row>
    <row r="372">
      <c r="E372">
        <f>IF(A372="","",VALUE(LEFT(A372,FIND("/",A372&amp;"/")-1)))</f>
        <v/>
      </c>
    </row>
    <row r="373">
      <c r="E373">
        <f>IF(A373="","",VALUE(LEFT(A373,FIND("/",A373&amp;"/")-1)))</f>
        <v/>
      </c>
    </row>
    <row r="374">
      <c r="E374">
        <f>IF(A374="","",VALUE(LEFT(A374,FIND("/",A374&amp;"/")-1)))</f>
        <v/>
      </c>
    </row>
    <row r="375">
      <c r="E375">
        <f>IF(A375="","",VALUE(LEFT(A375,FIND("/",A375&amp;"/")-1)))</f>
        <v/>
      </c>
    </row>
    <row r="376">
      <c r="E376">
        <f>IF(A376="","",VALUE(LEFT(A376,FIND("/",A376&amp;"/")-1)))</f>
        <v/>
      </c>
    </row>
    <row r="377">
      <c r="E377">
        <f>IF(A377="","",VALUE(LEFT(A377,FIND("/",A377&amp;"/")-1)))</f>
        <v/>
      </c>
    </row>
    <row r="378">
      <c r="E378">
        <f>IF(A378="","",VALUE(LEFT(A378,FIND("/",A378&amp;"/")-1)))</f>
        <v/>
      </c>
    </row>
    <row r="379">
      <c r="E379">
        <f>IF(A379="","",VALUE(LEFT(A379,FIND("/",A379&amp;"/")-1)))</f>
        <v/>
      </c>
    </row>
    <row r="380">
      <c r="E380">
        <f>IF(A380="","",VALUE(LEFT(A380,FIND("/",A380&amp;"/")-1)))</f>
        <v/>
      </c>
    </row>
    <row r="381">
      <c r="E381">
        <f>IF(A381="","",VALUE(LEFT(A381,FIND("/",A381&amp;"/")-1)))</f>
        <v/>
      </c>
    </row>
    <row r="382">
      <c r="E382">
        <f>IF(A382="","",VALUE(LEFT(A382,FIND("/",A382&amp;"/")-1)))</f>
        <v/>
      </c>
    </row>
    <row r="383">
      <c r="E383">
        <f>IF(A383="","",VALUE(LEFT(A383,FIND("/",A383&amp;"/")-1)))</f>
        <v/>
      </c>
    </row>
    <row r="384">
      <c r="E384">
        <f>IF(A384="","",VALUE(LEFT(A384,FIND("/",A384&amp;"/")-1)))</f>
        <v/>
      </c>
    </row>
    <row r="385">
      <c r="E385">
        <f>IF(A385="","",VALUE(LEFT(A385,FIND("/",A385&amp;"/")-1)))</f>
        <v/>
      </c>
    </row>
    <row r="386">
      <c r="E386">
        <f>IF(A386="","",VALUE(LEFT(A386,FIND("/",A386&amp;"/")-1)))</f>
        <v/>
      </c>
    </row>
    <row r="387">
      <c r="E387">
        <f>IF(A387="","",VALUE(LEFT(A387,FIND("/",A387&amp;"/")-1)))</f>
        <v/>
      </c>
    </row>
    <row r="388">
      <c r="E388">
        <f>IF(A388="","",VALUE(LEFT(A388,FIND("/",A388&amp;"/")-1)))</f>
        <v/>
      </c>
    </row>
    <row r="389">
      <c r="E389">
        <f>IF(A389="","",VALUE(LEFT(A389,FIND("/",A389&amp;"/")-1)))</f>
        <v/>
      </c>
    </row>
    <row r="390">
      <c r="E390">
        <f>IF(A390="","",VALUE(LEFT(A390,FIND("/",A390&amp;"/")-1)))</f>
        <v/>
      </c>
    </row>
    <row r="391">
      <c r="E391">
        <f>IF(A391="","",VALUE(LEFT(A391,FIND("/",A391&amp;"/")-1)))</f>
        <v/>
      </c>
    </row>
    <row r="392">
      <c r="E392">
        <f>IF(A392="","",VALUE(LEFT(A392,FIND("/",A392&amp;"/")-1)))</f>
        <v/>
      </c>
    </row>
    <row r="393">
      <c r="E393">
        <f>IF(A393="","",VALUE(LEFT(A393,FIND("/",A393&amp;"/")-1)))</f>
        <v/>
      </c>
    </row>
    <row r="394">
      <c r="E394">
        <f>IF(A394="","",VALUE(LEFT(A394,FIND("/",A394&amp;"/")-1)))</f>
        <v/>
      </c>
    </row>
    <row r="395">
      <c r="E395">
        <f>IF(A395="","",VALUE(LEFT(A395,FIND("/",A395&amp;"/")-1)))</f>
        <v/>
      </c>
    </row>
    <row r="396">
      <c r="E396">
        <f>IF(A396="","",VALUE(LEFT(A396,FIND("/",A396&amp;"/")-1)))</f>
        <v/>
      </c>
    </row>
    <row r="397">
      <c r="E397">
        <f>IF(A397="","",VALUE(LEFT(A397,FIND("/",A397&amp;"/")-1)))</f>
        <v/>
      </c>
    </row>
    <row r="398">
      <c r="E398">
        <f>IF(A398="","",VALUE(LEFT(A398,FIND("/",A398&amp;"/")-1)))</f>
        <v/>
      </c>
    </row>
    <row r="399">
      <c r="E399">
        <f>IF(A399="","",VALUE(LEFT(A399,FIND("/",A399&amp;"/")-1)))</f>
        <v/>
      </c>
    </row>
    <row r="400">
      <c r="E400">
        <f>IF(A400="","",VALUE(LEFT(A400,FIND("/",A400&amp;"/")-1)))</f>
        <v/>
      </c>
    </row>
    <row r="401">
      <c r="E401">
        <f>IF(A401="","",VALUE(LEFT(A401,FIND("/",A401&amp;"/")-1)))</f>
        <v/>
      </c>
    </row>
    <row r="402">
      <c r="E402">
        <f>IF(A402="","",VALUE(LEFT(A402,FIND("/",A402&amp;"/")-1)))</f>
        <v/>
      </c>
    </row>
    <row r="403">
      <c r="E403">
        <f>IF(A403="","",VALUE(LEFT(A403,FIND("/",A403&amp;"/")-1)))</f>
        <v/>
      </c>
    </row>
    <row r="404">
      <c r="E404">
        <f>IF(A404="","",VALUE(LEFT(A404,FIND("/",A404&amp;"/")-1)))</f>
        <v/>
      </c>
    </row>
    <row r="405">
      <c r="E405">
        <f>IF(A405="","",VALUE(LEFT(A405,FIND("/",A405&amp;"/")-1)))</f>
        <v/>
      </c>
    </row>
    <row r="406">
      <c r="E406">
        <f>IF(A406="","",VALUE(LEFT(A406,FIND("/",A406&amp;"/")-1)))</f>
        <v/>
      </c>
    </row>
    <row r="407">
      <c r="E407">
        <f>IF(A407="","",VALUE(LEFT(A407,FIND("/",A407&amp;"/")-1)))</f>
        <v/>
      </c>
    </row>
    <row r="408">
      <c r="E408">
        <f>IF(A408="","",VALUE(LEFT(A408,FIND("/",A408&amp;"/")-1)))</f>
        <v/>
      </c>
    </row>
    <row r="409">
      <c r="E409">
        <f>IF(A409="","",VALUE(LEFT(A409,FIND("/",A409&amp;"/")-1)))</f>
        <v/>
      </c>
    </row>
  </sheetData>
  <mergeCells count="5">
    <mergeCell ref="A2:F2"/>
    <mergeCell ref="A1:F1"/>
    <mergeCell ref="A207:E207"/>
    <mergeCell ref="A206:F206"/>
    <mergeCell ref="A3:F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hidden="1" width="13" customWidth="1" min="7" max="7"/>
    <col hidden="1" width="13" customWidth="1" min="8" max="8"/>
  </cols>
  <sheetData>
    <row r="1">
      <c r="A1" s="1" t="inlineStr">
        <is>
          <t>SYNTHESE — Calcul automatique</t>
        </is>
      </c>
    </row>
    <row r="2">
      <c r="A2" s="2">
        <f>"Avec FY : "&amp;COUNTA(SAISIE!$A$5:$A$204)&amp;" cas | "&amp;SUMPRODUCT(--(MOD(ROW($G$7:$G$246)-7,12)=0)*($G$7:$G$246&lt;&gt;""))&amp;" noeud(s)  ||  "&amp;"Sans FY : "&amp;COUNTA(SAISIE!$A$210:$A$409)&amp;" cas | "&amp;SUMPRODUCT(--(MOD(ROW($H$251:$H$490)-251,12)=0)*($H$251:$H$490&lt;&gt;""))&amp;" noeud(s)"</f>
        <v/>
      </c>
    </row>
    <row r="5">
      <c r="A5" s="3" t="inlineStr">
        <is>
          <t>SYNTHESE — AVEC FY</t>
        </is>
      </c>
    </row>
    <row r="6">
      <c r="A6" s="4" t="inlineStr">
        <is>
          <t>Nom du cas</t>
        </is>
      </c>
      <c r="B6" s="4" t="inlineStr">
        <is>
          <t>FX [daN]</t>
        </is>
      </c>
      <c r="C6" s="4" t="inlineStr">
        <is>
          <t>FY [daN]</t>
        </is>
      </c>
      <c r="D6" s="4" t="inlineStr">
        <is>
          <t>FZ [daN]</t>
        </is>
      </c>
      <c r="E6" s="4" t="inlineStr">
        <is>
          <t>Note</t>
        </is>
      </c>
    </row>
    <row r="7">
      <c r="A7" s="6">
        <f>IF($G$7="","","Noeud "&amp;$G$7)</f>
        <v/>
      </c>
      <c r="B7" s="7" t="n"/>
      <c r="C7" s="7" t="n"/>
      <c r="D7" s="7" t="n"/>
      <c r="E7" s="7" t="n"/>
      <c r="G7">
        <f>IFERROR(INDEX(SAISIE!$F$5:$F$204,AGGREGATE(15,6,ROW(SAISIE!$F$5:$F$204)-ROW(SAISIE!$F$5)+1/(SAISIE!$F$5:$F$204&lt;&gt;"")/(COUNTIF($G$4:G6,SAISIE!$F$5:$F$204)=0),1)),"")</f>
        <v/>
      </c>
    </row>
    <row r="8">
      <c r="A8" s="8">
        <f>IF(OR($G$7="",NOT(TRUE)),"","Couverture")</f>
        <v/>
      </c>
      <c r="B8" s="9">
        <f>IF($G$7="","",IFERROR(IFERROR(LOOKUP(2,1/((SAISIE!$F$5:$F$204=$G$7)*(LEFT(SAISIE!$B$5:$B$204,2)="G ")),SAISIE!$C$5:$C$204),LOOKUP(2,1/((SAISIE!$F$5:$F$204=$G$7)*(ISNUMBER(SEARCH("Couverture",SAISIE!$B$5:$B$204)))),SAISIE!$C$5:$C$204)),"-"))</f>
        <v/>
      </c>
      <c r="C8" s="9">
        <f>IF($G$7="","",IFERROR(IFERROR(LOOKUP(2,1/((SAISIE!$F$5:$F$204=$G$7)*(LEFT(SAISIE!$B$5:$B$204,2)="G ")),SAISIE!$D$5:$D$204),LOOKUP(2,1/((SAISIE!$F$5:$F$204=$G$7)*(ISNUMBER(SEARCH("Couverture",SAISIE!$B$5:$B$204)))),SAISIE!$D$5:$D$204)),"-"))</f>
        <v/>
      </c>
      <c r="D8" s="9">
        <f>IF($G$7="","",IFERROR(IFERROR(LOOKUP(2,1/((SAISIE!$F$5:$F$204=$G$7)*(LEFT(SAISIE!$B$5:$B$204,2)="G ")),SAISIE!$E$5:$E$204),LOOKUP(2,1/((SAISIE!$F$5:$F$204=$G$7)*(ISNUMBER(SEARCH("Couverture",SAISIE!$B$5:$B$204)))),SAISIE!$E$5:$E$204)),"-"))</f>
        <v/>
      </c>
      <c r="E8" s="9">
        <f>IF($G$7="","",IF(OR(D8="",D8="-"),"",IF(D8&gt;0,"(soulevement)",IF(D8&lt;0,"(compression)","-"))))</f>
        <v/>
      </c>
    </row>
    <row r="9">
      <c r="A9" s="8">
        <f>IF(OR($G$7="",NOT(COUNTIFS(SAISIE!$B$5:$B$204,"*Vent G/D*",SAISIE!$F$5:$F$204,$G$7)&gt;0)),"","Vent G/D")</f>
        <v/>
      </c>
      <c r="B9" s="9">
        <f>IF(OR($G$7="",NOT(COUNTIFS(SAISIE!$B$5:$B$204,"*Vent G/D*",SAISIE!$F$5:$F$204,$G$7)&gt;0)),"",IFERROR(IF(MINIFS(SAISIE!$E$5:$E$204,SAISIE!$B$5:$B$204,"*Vent G/D*",SAISIE!$F$5:$F$204,$G$7)&gt;=0,MAXIFS(SAISIE!$C$5:$C$204,SAISIE!$B$5:$B$204,"*Vent G/D*",SAISIE!$F$5:$F$204,$G$7),INDEX(SAISIE!$C$5:$C$204,MATCH(MINIFS(SAISIE!$E$5:$E$204,SAISIE!$B$5:$B$204,"*Vent G/D*",SAISIE!$F$5:$F$204,$G$7),SAISIE!$E$5:$E$204,0))),"-"))</f>
        <v/>
      </c>
      <c r="C9" s="9">
        <f>IF(OR($G$7="",NOT(COUNTIFS(SAISIE!$B$5:$B$204,"*Vent G/D*",SAISIE!$F$5:$F$204,$G$7)&gt;0)),"",IFERROR(IF(MINIFS(SAISIE!$E$5:$E$204,SAISIE!$B$5:$B$204,"*Vent G/D*",SAISIE!$F$5:$F$204,$G$7)&gt;=0,INDEX(SAISIE!$D$5:$D$204,MATCH(MAXIFS(SAISIE!$C$5:$C$204,SAISIE!$B$5:$B$204,"*Vent G/D*",SAISIE!$F$5:$F$204,$G$7),SAISIE!$C$5:$C$204,0)),INDEX(SAISIE!$D$5:$D$204,MATCH(MINIFS(SAISIE!$E$5:$E$204,SAISIE!$B$5:$B$204,"*Vent G/D*",SAISIE!$F$5:$F$204,$G$7),SAISIE!$E$5:$E$204,0))),"-"))</f>
        <v/>
      </c>
      <c r="D9" s="9">
        <f>IF(OR($G$7="",NOT(COUNTIFS(SAISIE!$B$5:$B$204,"*Vent G/D*",SAISIE!$F$5:$F$204,$G$7)&gt;0)),"",IFERROR(IF(MINIFS(SAISIE!$E$5:$E$204,SAISIE!$B$5:$B$204,"*Vent G/D*",SAISIE!$F$5:$F$204,$G$7)&gt;=0,0,MINIFS(SAISIE!$E$5:$E$204,SAISIE!$B$5:$B$204,"*Vent G/D*",SAISIE!$F$5:$F$204,$G$7)),"-"))</f>
        <v/>
      </c>
      <c r="E9" s="9">
        <f>IF($G$7="","",IF(OR(D9="",D9="-"),"",IF(D9&gt;0,"(soulevement)",IF(D9&lt;0,"(compression)","-"))))</f>
        <v/>
      </c>
    </row>
    <row r="10">
      <c r="A10" s="8">
        <f>IF(OR($G$7="",NOT(MAXIFS(SAISIE!$E$5:$E$204,SAISIE!$B$5:$B$204,"*Vent G/D*",SAISIE!$F$5:$F$204,$G$7)&gt;0)),"","Vent G/D")</f>
        <v/>
      </c>
      <c r="B10" s="9">
        <f>IF(OR($G$7="",NOT(MAXIFS(SAISIE!$E$5:$E$204,SAISIE!$B$5:$B$204,"*Vent G/D*",SAISIE!$F$5:$F$204,$G$7)&gt;0)),"",IFERROR(INDEX(SAISIE!$C$5:$C$204,MATCH(MAXIFS(SAISIE!$E$5:$E$204,SAISIE!$B$5:$B$204,"*Vent G/D*",SAISIE!$F$5:$F$204,$G$7),SAISIE!$E$5:$E$204,0)),"-"))</f>
        <v/>
      </c>
      <c r="C10" s="9">
        <f>IF(OR($G$7="",NOT(MAXIFS(SAISIE!$E$5:$E$204,SAISIE!$B$5:$B$204,"*Vent G/D*",SAISIE!$F$5:$F$204,$G$7)&gt;0)),"",IFERROR(INDEX(SAISIE!$D$5:$D$204,MATCH(MAXIFS(SAISIE!$E$5:$E$204,SAISIE!$B$5:$B$204,"*Vent G/D*",SAISIE!$F$5:$F$204,$G$7),SAISIE!$E$5:$E$204,0)),"-"))</f>
        <v/>
      </c>
      <c r="D10" s="9">
        <f>IF(OR($G$7="",NOT(MAXIFS(SAISIE!$E$5:$E$204,SAISIE!$B$5:$B$204,"*Vent G/D*",SAISIE!$F$5:$F$204,$G$7)&gt;0)),"",IFERROR(MAXIFS(SAISIE!$E$5:$E$204,SAISIE!$B$5:$B$204,"*Vent G/D*",SAISIE!$F$5:$F$204,$G$7),"-"))</f>
        <v/>
      </c>
      <c r="E10" s="9">
        <f>IF($G$7="","",IF(OR(D10="",D10="-"),"",IF(D10&gt;0,"(soulevement)",IF(D10&lt;0,"(compression)","-"))))</f>
        <v/>
      </c>
    </row>
    <row r="11">
      <c r="A11" s="8">
        <f>IF(OR($G$7="",NOT(COUNTIFS(SAISIE!$B$5:$B$204,"*Vent D/G*",SAISIE!$F$5:$F$204,$G$7)&gt;0)),"","Vent D/G")</f>
        <v/>
      </c>
      <c r="B11" s="9">
        <f>IF(OR($G$7="",NOT(COUNTIFS(SAISIE!$B$5:$B$204,"*Vent D/G*",SAISIE!$F$5:$F$204,$G$7)&gt;0)),"",IFERROR(IF(MINIFS(SAISIE!$E$5:$E$204,SAISIE!$B$5:$B$204,"*Vent D/G*",SAISIE!$F$5:$F$204,$G$7)&gt;=0,MAXIFS(SAISIE!$C$5:$C$204,SAISIE!$B$5:$B$204,"*Vent D/G*",SAISIE!$F$5:$F$204,$G$7),INDEX(SAISIE!$C$5:$C$204,MATCH(MINIFS(SAISIE!$E$5:$E$204,SAISIE!$B$5:$B$204,"*Vent D/G*",SAISIE!$F$5:$F$204,$G$7),SAISIE!$E$5:$E$204,0))),"-"))</f>
        <v/>
      </c>
      <c r="C11" s="9">
        <f>IF(OR($G$7="",NOT(COUNTIFS(SAISIE!$B$5:$B$204,"*Vent D/G*",SAISIE!$F$5:$F$204,$G$7)&gt;0)),"",IFERROR(IF(MINIFS(SAISIE!$E$5:$E$204,SAISIE!$B$5:$B$204,"*Vent D/G*",SAISIE!$F$5:$F$204,$G$7)&gt;=0,INDEX(SAISIE!$D$5:$D$204,MATCH(MAXIFS(SAISIE!$C$5:$C$204,SAISIE!$B$5:$B$204,"*Vent D/G*",SAISIE!$F$5:$F$204,$G$7),SAISIE!$C$5:$C$204,0)),INDEX(SAISIE!$D$5:$D$204,MATCH(MINIFS(SAISIE!$E$5:$E$204,SAISIE!$B$5:$B$204,"*Vent D/G*",SAISIE!$F$5:$F$204,$G$7),SAISIE!$E$5:$E$204,0))),"-"))</f>
        <v/>
      </c>
      <c r="D11" s="9">
        <f>IF(OR($G$7="",NOT(COUNTIFS(SAISIE!$B$5:$B$204,"*Vent D/G*",SAISIE!$F$5:$F$204,$G$7)&gt;0)),"",IFERROR(IF(MINIFS(SAISIE!$E$5:$E$204,SAISIE!$B$5:$B$204,"*Vent D/G*",SAISIE!$F$5:$F$204,$G$7)&gt;=0,0,MINIFS(SAISIE!$E$5:$E$204,SAISIE!$B$5:$B$204,"*Vent D/G*",SAISIE!$F$5:$F$204,$G$7)),"-"))</f>
        <v/>
      </c>
      <c r="E11" s="9">
        <f>IF($G$7="","",IF(OR(D11="",D11="-"),"",IF(D11&gt;0,"(soulevement)",IF(D11&lt;0,"(compression)","-"))))</f>
        <v/>
      </c>
    </row>
    <row r="12">
      <c r="A12" s="8">
        <f>IF(OR($G$7="",NOT(MAXIFS(SAISIE!$E$5:$E$204,SAISIE!$B$5:$B$204,"*Vent D/G*",SAISIE!$F$5:$F$204,$G$7)&gt;0)),"","Vent D/G")</f>
        <v/>
      </c>
      <c r="B12" s="9">
        <f>IF(OR($G$7="",NOT(MAXIFS(SAISIE!$E$5:$E$204,SAISIE!$B$5:$B$204,"*Vent D/G*",SAISIE!$F$5:$F$204,$G$7)&gt;0)),"",IFERROR(INDEX(SAISIE!$C$5:$C$204,MATCH(MAXIFS(SAISIE!$E$5:$E$204,SAISIE!$B$5:$B$204,"*Vent D/G*",SAISIE!$F$5:$F$204,$G$7),SAISIE!$E$5:$E$204,0)),"-"))</f>
        <v/>
      </c>
      <c r="C12" s="9">
        <f>IF(OR($G$7="",NOT(MAXIFS(SAISIE!$E$5:$E$204,SAISIE!$B$5:$B$204,"*Vent D/G*",SAISIE!$F$5:$F$204,$G$7)&gt;0)),"",IFERROR(INDEX(SAISIE!$D$5:$D$204,MATCH(MAXIFS(SAISIE!$E$5:$E$204,SAISIE!$B$5:$B$204,"*Vent D/G*",SAISIE!$F$5:$F$204,$G$7),SAISIE!$E$5:$E$204,0)),"-"))</f>
        <v/>
      </c>
      <c r="D12" s="9">
        <f>IF(OR($G$7="",NOT(MAXIFS(SAISIE!$E$5:$E$204,SAISIE!$B$5:$B$204,"*Vent D/G*",SAISIE!$F$5:$F$204,$G$7)&gt;0)),"",IFERROR(MAXIFS(SAISIE!$E$5:$E$204,SAISIE!$B$5:$B$204,"*Vent D/G*",SAISIE!$F$5:$F$204,$G$7),"-"))</f>
        <v/>
      </c>
      <c r="E12" s="9">
        <f>IF($G$7="","",IF(OR(D12="",D12="-"),"",IF(D12&gt;0,"(soulevement)",IF(D12&lt;0,"(compression)","-"))))</f>
        <v/>
      </c>
    </row>
    <row r="13">
      <c r="A13" s="8">
        <f>IF(OR($G$7="",NOT(COUNTIFS(SAISIE!$B$5:$B$204,"*Vent Av./Arr.*",SAISIE!$F$5:$F$204,$G$7)&gt;0)),"","Vent Av./Arr.")</f>
        <v/>
      </c>
      <c r="B13" s="9">
        <f>IF(OR($G$7="",NOT(COUNTIFS(SAISIE!$B$5:$B$204,"*Vent Av./Arr.*",SAISIE!$F$5:$F$204,$G$7)&gt;0)),"",IFERROR(IF(MINIFS(SAISIE!$E$5:$E$204,SAISIE!$B$5:$B$204,"*Vent Av./Arr.*",SAISIE!$F$5:$F$204,$G$7)&gt;=0,MAXIFS(SAISIE!$C$5:$C$204,SAISIE!$B$5:$B$204,"*Vent Av./Arr.*",SAISIE!$F$5:$F$204,$G$7),INDEX(SAISIE!$C$5:$C$204,MATCH(MINIFS(SAISIE!$E$5:$E$204,SAISIE!$B$5:$B$204,"*Vent Av./Arr.*",SAISIE!$F$5:$F$204,$G$7),SAISIE!$E$5:$E$204,0))),"-"))</f>
        <v/>
      </c>
      <c r="C13" s="9">
        <f>IF(OR($G$7="",NOT(COUNTIFS(SAISIE!$B$5:$B$204,"*Vent Av./Arr.*",SAISIE!$F$5:$F$204,$G$7)&gt;0)),"",IFERROR(IF(MINIFS(SAISIE!$E$5:$E$204,SAISIE!$B$5:$B$204,"*Vent Av./Arr.*",SAISIE!$F$5:$F$204,$G$7)&gt;=0,INDEX(SAISIE!$D$5:$D$204,MATCH(MAXIFS(SAISIE!$C$5:$C$204,SAISIE!$B$5:$B$204,"*Vent Av./Arr.*",SAISIE!$F$5:$F$204,$G$7),SAISIE!$C$5:$C$204,0)),INDEX(SAISIE!$D$5:$D$204,MATCH(MINIFS(SAISIE!$E$5:$E$204,SAISIE!$B$5:$B$204,"*Vent Av./Arr.*",SAISIE!$F$5:$F$204,$G$7),SAISIE!$E$5:$E$204,0))),"-"))</f>
        <v/>
      </c>
      <c r="D13" s="9">
        <f>IF(OR($G$7="",NOT(COUNTIFS(SAISIE!$B$5:$B$204,"*Vent Av./Arr.*",SAISIE!$F$5:$F$204,$G$7)&gt;0)),"",IFERROR(IF(MINIFS(SAISIE!$E$5:$E$204,SAISIE!$B$5:$B$204,"*Vent Av./Arr.*",SAISIE!$F$5:$F$204,$G$7)&gt;=0,0,MINIFS(SAISIE!$E$5:$E$204,SAISIE!$B$5:$B$204,"*Vent Av./Arr.*",SAISIE!$F$5:$F$204,$G$7)),"-"))</f>
        <v/>
      </c>
      <c r="E13" s="9">
        <f>IF($G$7="","",IF(OR(D13="",D13="-"),"",IF(D13&gt;0,"(soulevement)",IF(D13&lt;0,"(compression)","-"))))</f>
        <v/>
      </c>
    </row>
    <row r="14">
      <c r="A14" s="8">
        <f>IF(OR($G$7="",NOT(MAXIFS(SAISIE!$E$5:$E$204,SAISIE!$B$5:$B$204,"*Vent Av./Arr.*",SAISIE!$F$5:$F$204,$G$7)&gt;0)),"","Vent Av./Arr.")</f>
        <v/>
      </c>
      <c r="B14" s="9">
        <f>IF(OR($G$7="",NOT(MAXIFS(SAISIE!$E$5:$E$204,SAISIE!$B$5:$B$204,"*Vent Av./Arr.*",SAISIE!$F$5:$F$204,$G$7)&gt;0)),"",IFERROR(INDEX(SAISIE!$C$5:$C$204,MATCH(MAXIFS(SAISIE!$E$5:$E$204,SAISIE!$B$5:$B$204,"*Vent Av./Arr.*",SAISIE!$F$5:$F$204,$G$7),SAISIE!$E$5:$E$204,0)),"-"))</f>
        <v/>
      </c>
      <c r="C14" s="9">
        <f>IF(OR($G$7="",NOT(MAXIFS(SAISIE!$E$5:$E$204,SAISIE!$B$5:$B$204,"*Vent Av./Arr.*",SAISIE!$F$5:$F$204,$G$7)&gt;0)),"",IFERROR(INDEX(SAISIE!$D$5:$D$204,MATCH(MAXIFS(SAISIE!$E$5:$E$204,SAISIE!$B$5:$B$204,"*Vent Av./Arr.*",SAISIE!$F$5:$F$204,$G$7),SAISIE!$E$5:$E$204,0)),"-"))</f>
        <v/>
      </c>
      <c r="D14" s="9">
        <f>IF(OR($G$7="",NOT(MAXIFS(SAISIE!$E$5:$E$204,SAISIE!$B$5:$B$204,"*Vent Av./Arr.*",SAISIE!$F$5:$F$204,$G$7)&gt;0)),"",IFERROR(MAXIFS(SAISIE!$E$5:$E$204,SAISIE!$B$5:$B$204,"*Vent Av./Arr.*",SAISIE!$F$5:$F$204,$G$7),"-"))</f>
        <v/>
      </c>
      <c r="E14" s="9">
        <f>IF($G$7="","",IF(OR(D14="",D14="-"),"",IF(D14&gt;0,"(soulevement)",IF(D14&lt;0,"(compression)","-"))))</f>
        <v/>
      </c>
    </row>
    <row r="15">
      <c r="A15" s="8">
        <f>IF(OR($G$7="",NOT(COUNTIFS(SAISIE!$B$5:$B$204,"*Vent Arr./Av.*",SAISIE!$F$5:$F$204,$G$7)&gt;0)),"","Vent Arr./Av.")</f>
        <v/>
      </c>
      <c r="B15" s="9">
        <f>IF(OR($G$7="",NOT(COUNTIFS(SAISIE!$B$5:$B$204,"*Vent Arr./Av.*",SAISIE!$F$5:$F$204,$G$7)&gt;0)),"",IFERROR(IF(MINIFS(SAISIE!$E$5:$E$204,SAISIE!$B$5:$B$204,"*Vent Arr./Av.*",SAISIE!$F$5:$F$204,$G$7)&gt;=0,MAXIFS(SAISIE!$C$5:$C$204,SAISIE!$B$5:$B$204,"*Vent Arr./Av.*",SAISIE!$F$5:$F$204,$G$7),INDEX(SAISIE!$C$5:$C$204,MATCH(MINIFS(SAISIE!$E$5:$E$204,SAISIE!$B$5:$B$204,"*Vent Arr./Av.*",SAISIE!$F$5:$F$204,$G$7),SAISIE!$E$5:$E$204,0))),"-"))</f>
        <v/>
      </c>
      <c r="C15" s="9">
        <f>IF(OR($G$7="",NOT(COUNTIFS(SAISIE!$B$5:$B$204,"*Vent Arr./Av.*",SAISIE!$F$5:$F$204,$G$7)&gt;0)),"",IFERROR(IF(MINIFS(SAISIE!$E$5:$E$204,SAISIE!$B$5:$B$204,"*Vent Arr./Av.*",SAISIE!$F$5:$F$204,$G$7)&gt;=0,INDEX(SAISIE!$D$5:$D$204,MATCH(MAXIFS(SAISIE!$C$5:$C$204,SAISIE!$B$5:$B$204,"*Vent Arr./Av.*",SAISIE!$F$5:$F$204,$G$7),SAISIE!$C$5:$C$204,0)),INDEX(SAISIE!$D$5:$D$204,MATCH(MINIFS(SAISIE!$E$5:$E$204,SAISIE!$B$5:$B$204,"*Vent Arr./Av.*",SAISIE!$F$5:$F$204,$G$7),SAISIE!$E$5:$E$204,0))),"-"))</f>
        <v/>
      </c>
      <c r="D15" s="9">
        <f>IF(OR($G$7="",NOT(COUNTIFS(SAISIE!$B$5:$B$204,"*Vent Arr./Av.*",SAISIE!$F$5:$F$204,$G$7)&gt;0)),"",IFERROR(IF(MINIFS(SAISIE!$E$5:$E$204,SAISIE!$B$5:$B$204,"*Vent Arr./Av.*",SAISIE!$F$5:$F$204,$G$7)&gt;=0,0,MINIFS(SAISIE!$E$5:$E$204,SAISIE!$B$5:$B$204,"*Vent Arr./Av.*",SAISIE!$F$5:$F$204,$G$7)),"-"))</f>
        <v/>
      </c>
      <c r="E15" s="9">
        <f>IF($G$7="","",IF(OR(D15="",D15="-"),"",IF(D15&gt;0,"(soulevement)",IF(D15&lt;0,"(compression)","-"))))</f>
        <v/>
      </c>
    </row>
    <row r="16">
      <c r="A16" s="8">
        <f>IF(OR($G$7="",NOT(MAXIFS(SAISIE!$E$5:$E$204,SAISIE!$B$5:$B$204,"*Vent Arr./Av.*",SAISIE!$F$5:$F$204,$G$7)&gt;0)),"","Vent Arr./Av.")</f>
        <v/>
      </c>
      <c r="B16" s="9">
        <f>IF(OR($G$7="",NOT(MAXIFS(SAISIE!$E$5:$E$204,SAISIE!$B$5:$B$204,"*Vent Arr./Av.*",SAISIE!$F$5:$F$204,$G$7)&gt;0)),"",IFERROR(INDEX(SAISIE!$C$5:$C$204,MATCH(MAXIFS(SAISIE!$E$5:$E$204,SAISIE!$B$5:$B$204,"*Vent Arr./Av.*",SAISIE!$F$5:$F$204,$G$7),SAISIE!$E$5:$E$204,0)),"-"))</f>
        <v/>
      </c>
      <c r="C16" s="9">
        <f>IF(OR($G$7="",NOT(MAXIFS(SAISIE!$E$5:$E$204,SAISIE!$B$5:$B$204,"*Vent Arr./Av.*",SAISIE!$F$5:$F$204,$G$7)&gt;0)),"",IFERROR(INDEX(SAISIE!$D$5:$D$204,MATCH(MAXIFS(SAISIE!$E$5:$E$204,SAISIE!$B$5:$B$204,"*Vent Arr./Av.*",SAISIE!$F$5:$F$204,$G$7),SAISIE!$E$5:$E$204,0)),"-"))</f>
        <v/>
      </c>
      <c r="D16" s="9">
        <f>IF(OR($G$7="",NOT(MAXIFS(SAISIE!$E$5:$E$204,SAISIE!$B$5:$B$204,"*Vent Arr./Av.*",SAISIE!$F$5:$F$204,$G$7)&gt;0)),"",IFERROR(MAXIFS(SAISIE!$E$5:$E$204,SAISIE!$B$5:$B$204,"*Vent Arr./Av.*",SAISIE!$F$5:$F$204,$G$7),"-"))</f>
        <v/>
      </c>
      <c r="E16" s="9">
        <f>IF($G$7="","",IF(OR(D16="",D16="-"),"",IF(D16&gt;0,"(soulevement)",IF(D16&lt;0,"(compression)","-"))))</f>
        <v/>
      </c>
    </row>
    <row r="17">
      <c r="A17" s="8">
        <f>IF(OR($G$7="",NOT(TRUE)),"","Neige normale")</f>
        <v/>
      </c>
      <c r="B17" s="9">
        <f>IF($G$7="","",IFERROR(INDEX(SAISIE!$C$5:$C$204,MATCH(MINIFS(SAISIE!$E$5:$E$204,SAISIE!$B$5:$B$204,"*Neige*",SAISIE!$B$5:$B$204,"&lt;&gt;*accidentel*",SAISIE!$F$5:$F$204,$G$7),SAISIE!$E$5:$E$204,0)),"-"))</f>
        <v/>
      </c>
      <c r="C17" s="9">
        <f>IF($G$7="","",IFERROR(INDEX(SAISIE!$D$5:$D$204,MATCH(MINIFS(SAISIE!$E$5:$E$204,SAISIE!$B$5:$B$204,"*Neige*",SAISIE!$B$5:$B$204,"&lt;&gt;*accidentel*",SAISIE!$F$5:$F$204,$G$7),SAISIE!$E$5:$E$204,0)),"-"))</f>
        <v/>
      </c>
      <c r="D17" s="9">
        <f>IF($G$7="","",IFERROR(INDEX(SAISIE!$E$5:$E$204,MATCH(MINIFS(SAISIE!$E$5:$E$204,SAISIE!$B$5:$B$204,"*Neige*",SAISIE!$B$5:$B$204,"&lt;&gt;*accidentel*",SAISIE!$F$5:$F$204,$G$7),SAISIE!$E$5:$E$204,0)),"-"))</f>
        <v/>
      </c>
      <c r="E17" s="9">
        <f>IF($G$7="","",IF(OR(D17="",D17="-"),"",IF(D17&gt;0,"(soulevement)",IF(D17&lt;0,"(compression)","-"))))</f>
        <v/>
      </c>
    </row>
    <row r="18">
      <c r="A18" s="8">
        <f>IF(OR($G$7="",NOT(TRUE)),"","Neige accidentelle")</f>
        <v/>
      </c>
      <c r="B18" s="9">
        <f>IF($G$7="","",IFERROR(LOOKUP(2,1/((SAISIE!$F$5:$F$204=$G$7)*(ISNUMBER(SEARCH("accidentel",SAISIE!$B$5:$B$204)))),SAISIE!$C$5:$C$204),"-"))</f>
        <v/>
      </c>
      <c r="C18" s="9">
        <f>IF($G$7="","",IFERROR(LOOKUP(2,1/((SAISIE!$F$5:$F$204=$G$7)*(ISNUMBER(SEARCH("accidentel",SAISIE!$B$5:$B$204)))),SAISIE!$D$5:$D$204),"-"))</f>
        <v/>
      </c>
      <c r="D18" s="9">
        <f>IF($G$7="","",IFERROR(LOOKUP(2,1/((SAISIE!$F$5:$F$204=$G$7)*(ISNUMBER(SEARCH("accidentel",SAISIE!$B$5:$B$204)))),SAISIE!$E$5:$E$204),"-"))</f>
        <v/>
      </c>
      <c r="E18" s="9">
        <f>IF($G$7="","",IF(OR(D18="",D18="-"),"",IF(D18&gt;0,"(soulevement)",IF(D18&lt;0,"(compression)","-"))))</f>
        <v/>
      </c>
    </row>
    <row r="19">
      <c r="A19" s="6">
        <f>IF($G$19="","","Noeud "&amp;$G$19)</f>
        <v/>
      </c>
      <c r="B19" s="7" t="n"/>
      <c r="C19" s="7" t="n"/>
      <c r="D19" s="7" t="n"/>
      <c r="E19" s="7" t="n"/>
      <c r="G19">
        <f>IFERROR(INDEX(SAISIE!$F$5:$F$204,AGGREGATE(15,6,ROW(SAISIE!$F$5:$F$204)-ROW(SAISIE!$F$5)+1/(SAISIE!$F$5:$F$204&lt;&gt;"")/(COUNTIF($G$4:G18,SAISIE!$F$5:$F$204)=0),1)),"")</f>
        <v/>
      </c>
    </row>
    <row r="20">
      <c r="A20" s="8">
        <f>IF(OR($G$19="",NOT(TRUE)),"","Couverture")</f>
        <v/>
      </c>
      <c r="B20" s="9">
        <f>IF($G$19="","",IFERROR(IFERROR(LOOKUP(2,1/((SAISIE!$F$5:$F$204=$G$19)*(LEFT(SAISIE!$B$5:$B$204,2)="G ")),SAISIE!$C$5:$C$204),LOOKUP(2,1/((SAISIE!$F$5:$F$204=$G$19)*(ISNUMBER(SEARCH("Couverture",SAISIE!$B$5:$B$204)))),SAISIE!$C$5:$C$204)),"-"))</f>
        <v/>
      </c>
      <c r="C20" s="9">
        <f>IF($G$19="","",IFERROR(IFERROR(LOOKUP(2,1/((SAISIE!$F$5:$F$204=$G$19)*(LEFT(SAISIE!$B$5:$B$204,2)="G ")),SAISIE!$D$5:$D$204),LOOKUP(2,1/((SAISIE!$F$5:$F$204=$G$19)*(ISNUMBER(SEARCH("Couverture",SAISIE!$B$5:$B$204)))),SAISIE!$D$5:$D$204)),"-"))</f>
        <v/>
      </c>
      <c r="D20" s="9">
        <f>IF($G$19="","",IFERROR(IFERROR(LOOKUP(2,1/((SAISIE!$F$5:$F$204=$G$19)*(LEFT(SAISIE!$B$5:$B$204,2)="G ")),SAISIE!$E$5:$E$204),LOOKUP(2,1/((SAISIE!$F$5:$F$204=$G$19)*(ISNUMBER(SEARCH("Couverture",SAISIE!$B$5:$B$204)))),SAISIE!$E$5:$E$204)),"-"))</f>
        <v/>
      </c>
      <c r="E20" s="9">
        <f>IF($G$19="","",IF(OR(D20="",D20="-"),"",IF(D20&gt;0,"(soulevement)",IF(D20&lt;0,"(compression)","-"))))</f>
        <v/>
      </c>
    </row>
    <row r="21">
      <c r="A21" s="8">
        <f>IF(OR($G$19="",NOT(COUNTIFS(SAISIE!$B$5:$B$204,"*Vent G/D*",SAISIE!$F$5:$F$204,$G$19)&gt;0)),"","Vent G/D")</f>
        <v/>
      </c>
      <c r="B21" s="9">
        <f>IF(OR($G$19="",NOT(COUNTIFS(SAISIE!$B$5:$B$204,"*Vent G/D*",SAISIE!$F$5:$F$204,$G$19)&gt;0)),"",IFERROR(IF(MINIFS(SAISIE!$E$5:$E$204,SAISIE!$B$5:$B$204,"*Vent G/D*",SAISIE!$F$5:$F$204,$G$19)&gt;=0,MAXIFS(SAISIE!$C$5:$C$204,SAISIE!$B$5:$B$204,"*Vent G/D*",SAISIE!$F$5:$F$204,$G$19),INDEX(SAISIE!$C$5:$C$204,MATCH(MINIFS(SAISIE!$E$5:$E$204,SAISIE!$B$5:$B$204,"*Vent G/D*",SAISIE!$F$5:$F$204,$G$19),SAISIE!$E$5:$E$204,0))),"-"))</f>
        <v/>
      </c>
      <c r="C21" s="9">
        <f>IF(OR($G$19="",NOT(COUNTIFS(SAISIE!$B$5:$B$204,"*Vent G/D*",SAISIE!$F$5:$F$204,$G$19)&gt;0)),"",IFERROR(IF(MINIFS(SAISIE!$E$5:$E$204,SAISIE!$B$5:$B$204,"*Vent G/D*",SAISIE!$F$5:$F$204,$G$19)&gt;=0,INDEX(SAISIE!$D$5:$D$204,MATCH(MAXIFS(SAISIE!$C$5:$C$204,SAISIE!$B$5:$B$204,"*Vent G/D*",SAISIE!$F$5:$F$204,$G$19),SAISIE!$C$5:$C$204,0)),INDEX(SAISIE!$D$5:$D$204,MATCH(MINIFS(SAISIE!$E$5:$E$204,SAISIE!$B$5:$B$204,"*Vent G/D*",SAISIE!$F$5:$F$204,$G$19),SAISIE!$E$5:$E$204,0))),"-"))</f>
        <v/>
      </c>
      <c r="D21" s="9">
        <f>IF(OR($G$19="",NOT(COUNTIFS(SAISIE!$B$5:$B$204,"*Vent G/D*",SAISIE!$F$5:$F$204,$G$19)&gt;0)),"",IFERROR(IF(MINIFS(SAISIE!$E$5:$E$204,SAISIE!$B$5:$B$204,"*Vent G/D*",SAISIE!$F$5:$F$204,$G$19)&gt;=0,0,MINIFS(SAISIE!$E$5:$E$204,SAISIE!$B$5:$B$204,"*Vent G/D*",SAISIE!$F$5:$F$204,$G$19)),"-"))</f>
        <v/>
      </c>
      <c r="E21" s="9">
        <f>IF($G$19="","",IF(OR(D21="",D21="-"),"",IF(D21&gt;0,"(soulevement)",IF(D21&lt;0,"(compression)","-"))))</f>
        <v/>
      </c>
    </row>
    <row r="22">
      <c r="A22" s="8">
        <f>IF(OR($G$19="",NOT(MAXIFS(SAISIE!$E$5:$E$204,SAISIE!$B$5:$B$204,"*Vent G/D*",SAISIE!$F$5:$F$204,$G$19)&gt;0)),"","Vent G/D")</f>
        <v/>
      </c>
      <c r="B22" s="9">
        <f>IF(OR($G$19="",NOT(MAXIFS(SAISIE!$E$5:$E$204,SAISIE!$B$5:$B$204,"*Vent G/D*",SAISIE!$F$5:$F$204,$G$19)&gt;0)),"",IFERROR(INDEX(SAISIE!$C$5:$C$204,MATCH(MAXIFS(SAISIE!$E$5:$E$204,SAISIE!$B$5:$B$204,"*Vent G/D*",SAISIE!$F$5:$F$204,$G$19),SAISIE!$E$5:$E$204,0)),"-"))</f>
        <v/>
      </c>
      <c r="C22" s="9">
        <f>IF(OR($G$19="",NOT(MAXIFS(SAISIE!$E$5:$E$204,SAISIE!$B$5:$B$204,"*Vent G/D*",SAISIE!$F$5:$F$204,$G$19)&gt;0)),"",IFERROR(INDEX(SAISIE!$D$5:$D$204,MATCH(MAXIFS(SAISIE!$E$5:$E$204,SAISIE!$B$5:$B$204,"*Vent G/D*",SAISIE!$F$5:$F$204,$G$19),SAISIE!$E$5:$E$204,0)),"-"))</f>
        <v/>
      </c>
      <c r="D22" s="9">
        <f>IF(OR($G$19="",NOT(MAXIFS(SAISIE!$E$5:$E$204,SAISIE!$B$5:$B$204,"*Vent G/D*",SAISIE!$F$5:$F$204,$G$19)&gt;0)),"",IFERROR(MAXIFS(SAISIE!$E$5:$E$204,SAISIE!$B$5:$B$204,"*Vent G/D*",SAISIE!$F$5:$F$204,$G$19),"-"))</f>
        <v/>
      </c>
      <c r="E22" s="9">
        <f>IF($G$19="","",IF(OR(D22="",D22="-"),"",IF(D22&gt;0,"(soulevement)",IF(D22&lt;0,"(compression)","-"))))</f>
        <v/>
      </c>
    </row>
    <row r="23">
      <c r="A23" s="8">
        <f>IF(OR($G$19="",NOT(COUNTIFS(SAISIE!$B$5:$B$204,"*Vent D/G*",SAISIE!$F$5:$F$204,$G$19)&gt;0)),"","Vent D/G")</f>
        <v/>
      </c>
      <c r="B23" s="9">
        <f>IF(OR($G$19="",NOT(COUNTIFS(SAISIE!$B$5:$B$204,"*Vent D/G*",SAISIE!$F$5:$F$204,$G$19)&gt;0)),"",IFERROR(IF(MINIFS(SAISIE!$E$5:$E$204,SAISIE!$B$5:$B$204,"*Vent D/G*",SAISIE!$F$5:$F$204,$G$19)&gt;=0,MAXIFS(SAISIE!$C$5:$C$204,SAISIE!$B$5:$B$204,"*Vent D/G*",SAISIE!$F$5:$F$204,$G$19),INDEX(SAISIE!$C$5:$C$204,MATCH(MINIFS(SAISIE!$E$5:$E$204,SAISIE!$B$5:$B$204,"*Vent D/G*",SAISIE!$F$5:$F$204,$G$19),SAISIE!$E$5:$E$204,0))),"-"))</f>
        <v/>
      </c>
      <c r="C23" s="9">
        <f>IF(OR($G$19="",NOT(COUNTIFS(SAISIE!$B$5:$B$204,"*Vent D/G*",SAISIE!$F$5:$F$204,$G$19)&gt;0)),"",IFERROR(IF(MINIFS(SAISIE!$E$5:$E$204,SAISIE!$B$5:$B$204,"*Vent D/G*",SAISIE!$F$5:$F$204,$G$19)&gt;=0,INDEX(SAISIE!$D$5:$D$204,MATCH(MAXIFS(SAISIE!$C$5:$C$204,SAISIE!$B$5:$B$204,"*Vent D/G*",SAISIE!$F$5:$F$204,$G$19),SAISIE!$C$5:$C$204,0)),INDEX(SAISIE!$D$5:$D$204,MATCH(MINIFS(SAISIE!$E$5:$E$204,SAISIE!$B$5:$B$204,"*Vent D/G*",SAISIE!$F$5:$F$204,$G$19),SAISIE!$E$5:$E$204,0))),"-"))</f>
        <v/>
      </c>
      <c r="D23" s="9">
        <f>IF(OR($G$19="",NOT(COUNTIFS(SAISIE!$B$5:$B$204,"*Vent D/G*",SAISIE!$F$5:$F$204,$G$19)&gt;0)),"",IFERROR(IF(MINIFS(SAISIE!$E$5:$E$204,SAISIE!$B$5:$B$204,"*Vent D/G*",SAISIE!$F$5:$F$204,$G$19)&gt;=0,0,MINIFS(SAISIE!$E$5:$E$204,SAISIE!$B$5:$B$204,"*Vent D/G*",SAISIE!$F$5:$F$204,$G$19)),"-"))</f>
        <v/>
      </c>
      <c r="E23" s="9">
        <f>IF($G$19="","",IF(OR(D23="",D23="-"),"",IF(D23&gt;0,"(soulevement)",IF(D23&lt;0,"(compression)","-"))))</f>
        <v/>
      </c>
    </row>
    <row r="24">
      <c r="A24" s="8">
        <f>IF(OR($G$19="",NOT(MAXIFS(SAISIE!$E$5:$E$204,SAISIE!$B$5:$B$204,"*Vent D/G*",SAISIE!$F$5:$F$204,$G$19)&gt;0)),"","Vent D/G")</f>
        <v/>
      </c>
      <c r="B24" s="9">
        <f>IF(OR($G$19="",NOT(MAXIFS(SAISIE!$E$5:$E$204,SAISIE!$B$5:$B$204,"*Vent D/G*",SAISIE!$F$5:$F$204,$G$19)&gt;0)),"",IFERROR(INDEX(SAISIE!$C$5:$C$204,MATCH(MAXIFS(SAISIE!$E$5:$E$204,SAISIE!$B$5:$B$204,"*Vent D/G*",SAISIE!$F$5:$F$204,$G$19),SAISIE!$E$5:$E$204,0)),"-"))</f>
        <v/>
      </c>
      <c r="C24" s="9">
        <f>IF(OR($G$19="",NOT(MAXIFS(SAISIE!$E$5:$E$204,SAISIE!$B$5:$B$204,"*Vent D/G*",SAISIE!$F$5:$F$204,$G$19)&gt;0)),"",IFERROR(INDEX(SAISIE!$D$5:$D$204,MATCH(MAXIFS(SAISIE!$E$5:$E$204,SAISIE!$B$5:$B$204,"*Vent D/G*",SAISIE!$F$5:$F$204,$G$19),SAISIE!$E$5:$E$204,0)),"-"))</f>
        <v/>
      </c>
      <c r="D24" s="9">
        <f>IF(OR($G$19="",NOT(MAXIFS(SAISIE!$E$5:$E$204,SAISIE!$B$5:$B$204,"*Vent D/G*",SAISIE!$F$5:$F$204,$G$19)&gt;0)),"",IFERROR(MAXIFS(SAISIE!$E$5:$E$204,SAISIE!$B$5:$B$204,"*Vent D/G*",SAISIE!$F$5:$F$204,$G$19),"-"))</f>
        <v/>
      </c>
      <c r="E24" s="9">
        <f>IF($G$19="","",IF(OR(D24="",D24="-"),"",IF(D24&gt;0,"(soulevement)",IF(D24&lt;0,"(compression)","-"))))</f>
        <v/>
      </c>
    </row>
    <row r="25">
      <c r="A25" s="8">
        <f>IF(OR($G$19="",NOT(COUNTIFS(SAISIE!$B$5:$B$204,"*Vent Av./Arr.*",SAISIE!$F$5:$F$204,$G$19)&gt;0)),"","Vent Av./Arr.")</f>
        <v/>
      </c>
      <c r="B25" s="9">
        <f>IF(OR($G$19="",NOT(COUNTIFS(SAISIE!$B$5:$B$204,"*Vent Av./Arr.*",SAISIE!$F$5:$F$204,$G$19)&gt;0)),"",IFERROR(IF(MINIFS(SAISIE!$E$5:$E$204,SAISIE!$B$5:$B$204,"*Vent Av./Arr.*",SAISIE!$F$5:$F$204,$G$19)&gt;=0,MAXIFS(SAISIE!$C$5:$C$204,SAISIE!$B$5:$B$204,"*Vent Av./Arr.*",SAISIE!$F$5:$F$204,$G$19),INDEX(SAISIE!$C$5:$C$204,MATCH(MINIFS(SAISIE!$E$5:$E$204,SAISIE!$B$5:$B$204,"*Vent Av./Arr.*",SAISIE!$F$5:$F$204,$G$19),SAISIE!$E$5:$E$204,0))),"-"))</f>
        <v/>
      </c>
      <c r="C25" s="9">
        <f>IF(OR($G$19="",NOT(COUNTIFS(SAISIE!$B$5:$B$204,"*Vent Av./Arr.*",SAISIE!$F$5:$F$204,$G$19)&gt;0)),"",IFERROR(IF(MINIFS(SAISIE!$E$5:$E$204,SAISIE!$B$5:$B$204,"*Vent Av./Arr.*",SAISIE!$F$5:$F$204,$G$19)&gt;=0,INDEX(SAISIE!$D$5:$D$204,MATCH(MAXIFS(SAISIE!$C$5:$C$204,SAISIE!$B$5:$B$204,"*Vent Av./Arr.*",SAISIE!$F$5:$F$204,$G$19),SAISIE!$C$5:$C$204,0)),INDEX(SAISIE!$D$5:$D$204,MATCH(MINIFS(SAISIE!$E$5:$E$204,SAISIE!$B$5:$B$204,"*Vent Av./Arr.*",SAISIE!$F$5:$F$204,$G$19),SAISIE!$E$5:$E$204,0))),"-"))</f>
        <v/>
      </c>
      <c r="D25" s="9">
        <f>IF(OR($G$19="",NOT(COUNTIFS(SAISIE!$B$5:$B$204,"*Vent Av./Arr.*",SAISIE!$F$5:$F$204,$G$19)&gt;0)),"",IFERROR(IF(MINIFS(SAISIE!$E$5:$E$204,SAISIE!$B$5:$B$204,"*Vent Av./Arr.*",SAISIE!$F$5:$F$204,$G$19)&gt;=0,0,MINIFS(SAISIE!$E$5:$E$204,SAISIE!$B$5:$B$204,"*Vent Av./Arr.*",SAISIE!$F$5:$F$204,$G$19)),"-"))</f>
        <v/>
      </c>
      <c r="E25" s="9">
        <f>IF($G$19="","",IF(OR(D25="",D25="-"),"",IF(D25&gt;0,"(soulevement)",IF(D25&lt;0,"(compression)","-"))))</f>
        <v/>
      </c>
    </row>
    <row r="26">
      <c r="A26" s="8">
        <f>IF(OR($G$19="",NOT(MAXIFS(SAISIE!$E$5:$E$204,SAISIE!$B$5:$B$204,"*Vent Av./Arr.*",SAISIE!$F$5:$F$204,$G$19)&gt;0)),"","Vent Av./Arr.")</f>
        <v/>
      </c>
      <c r="B26" s="9">
        <f>IF(OR($G$19="",NOT(MAXIFS(SAISIE!$E$5:$E$204,SAISIE!$B$5:$B$204,"*Vent Av./Arr.*",SAISIE!$F$5:$F$204,$G$19)&gt;0)),"",IFERROR(INDEX(SAISIE!$C$5:$C$204,MATCH(MAXIFS(SAISIE!$E$5:$E$204,SAISIE!$B$5:$B$204,"*Vent Av./Arr.*",SAISIE!$F$5:$F$204,$G$19),SAISIE!$E$5:$E$204,0)),"-"))</f>
        <v/>
      </c>
      <c r="C26" s="9">
        <f>IF(OR($G$19="",NOT(MAXIFS(SAISIE!$E$5:$E$204,SAISIE!$B$5:$B$204,"*Vent Av./Arr.*",SAISIE!$F$5:$F$204,$G$19)&gt;0)),"",IFERROR(INDEX(SAISIE!$D$5:$D$204,MATCH(MAXIFS(SAISIE!$E$5:$E$204,SAISIE!$B$5:$B$204,"*Vent Av./Arr.*",SAISIE!$F$5:$F$204,$G$19),SAISIE!$E$5:$E$204,0)),"-"))</f>
        <v/>
      </c>
      <c r="D26" s="9">
        <f>IF(OR($G$19="",NOT(MAXIFS(SAISIE!$E$5:$E$204,SAISIE!$B$5:$B$204,"*Vent Av./Arr.*",SAISIE!$F$5:$F$204,$G$19)&gt;0)),"",IFERROR(MAXIFS(SAISIE!$E$5:$E$204,SAISIE!$B$5:$B$204,"*Vent Av./Arr.*",SAISIE!$F$5:$F$204,$G$19),"-"))</f>
        <v/>
      </c>
      <c r="E26" s="9">
        <f>IF($G$19="","",IF(OR(D26="",D26="-"),"",IF(D26&gt;0,"(soulevement)",IF(D26&lt;0,"(compression)","-"))))</f>
        <v/>
      </c>
    </row>
    <row r="27">
      <c r="A27" s="8">
        <f>IF(OR($G$19="",NOT(COUNTIFS(SAISIE!$B$5:$B$204,"*Vent Arr./Av.*",SAISIE!$F$5:$F$204,$G$19)&gt;0)),"","Vent Arr./Av.")</f>
        <v/>
      </c>
      <c r="B27" s="9">
        <f>IF(OR($G$19="",NOT(COUNTIFS(SAISIE!$B$5:$B$204,"*Vent Arr./Av.*",SAISIE!$F$5:$F$204,$G$19)&gt;0)),"",IFERROR(IF(MINIFS(SAISIE!$E$5:$E$204,SAISIE!$B$5:$B$204,"*Vent Arr./Av.*",SAISIE!$F$5:$F$204,$G$19)&gt;=0,MAXIFS(SAISIE!$C$5:$C$204,SAISIE!$B$5:$B$204,"*Vent Arr./Av.*",SAISIE!$F$5:$F$204,$G$19),INDEX(SAISIE!$C$5:$C$204,MATCH(MINIFS(SAISIE!$E$5:$E$204,SAISIE!$B$5:$B$204,"*Vent Arr./Av.*",SAISIE!$F$5:$F$204,$G$19),SAISIE!$E$5:$E$204,0))),"-"))</f>
        <v/>
      </c>
      <c r="C27" s="9">
        <f>IF(OR($G$19="",NOT(COUNTIFS(SAISIE!$B$5:$B$204,"*Vent Arr./Av.*",SAISIE!$F$5:$F$204,$G$19)&gt;0)),"",IFERROR(IF(MINIFS(SAISIE!$E$5:$E$204,SAISIE!$B$5:$B$204,"*Vent Arr./Av.*",SAISIE!$F$5:$F$204,$G$19)&gt;=0,INDEX(SAISIE!$D$5:$D$204,MATCH(MAXIFS(SAISIE!$C$5:$C$204,SAISIE!$B$5:$B$204,"*Vent Arr./Av.*",SAISIE!$F$5:$F$204,$G$19),SAISIE!$C$5:$C$204,0)),INDEX(SAISIE!$D$5:$D$204,MATCH(MINIFS(SAISIE!$E$5:$E$204,SAISIE!$B$5:$B$204,"*Vent Arr./Av.*",SAISIE!$F$5:$F$204,$G$19),SAISIE!$E$5:$E$204,0))),"-"))</f>
        <v/>
      </c>
      <c r="D27" s="9">
        <f>IF(OR($G$19="",NOT(COUNTIFS(SAISIE!$B$5:$B$204,"*Vent Arr./Av.*",SAISIE!$F$5:$F$204,$G$19)&gt;0)),"",IFERROR(IF(MINIFS(SAISIE!$E$5:$E$204,SAISIE!$B$5:$B$204,"*Vent Arr./Av.*",SAISIE!$F$5:$F$204,$G$19)&gt;=0,0,MINIFS(SAISIE!$E$5:$E$204,SAISIE!$B$5:$B$204,"*Vent Arr./Av.*",SAISIE!$F$5:$F$204,$G$19)),"-"))</f>
        <v/>
      </c>
      <c r="E27" s="9">
        <f>IF($G$19="","",IF(OR(D27="",D27="-"),"",IF(D27&gt;0,"(soulevement)",IF(D27&lt;0,"(compression)","-"))))</f>
        <v/>
      </c>
    </row>
    <row r="28">
      <c r="A28" s="8">
        <f>IF(OR($G$19="",NOT(MAXIFS(SAISIE!$E$5:$E$204,SAISIE!$B$5:$B$204,"*Vent Arr./Av.*",SAISIE!$F$5:$F$204,$G$19)&gt;0)),"","Vent Arr./Av.")</f>
        <v/>
      </c>
      <c r="B28" s="9">
        <f>IF(OR($G$19="",NOT(MAXIFS(SAISIE!$E$5:$E$204,SAISIE!$B$5:$B$204,"*Vent Arr./Av.*",SAISIE!$F$5:$F$204,$G$19)&gt;0)),"",IFERROR(INDEX(SAISIE!$C$5:$C$204,MATCH(MAXIFS(SAISIE!$E$5:$E$204,SAISIE!$B$5:$B$204,"*Vent Arr./Av.*",SAISIE!$F$5:$F$204,$G$19),SAISIE!$E$5:$E$204,0)),"-"))</f>
        <v/>
      </c>
      <c r="C28" s="9">
        <f>IF(OR($G$19="",NOT(MAXIFS(SAISIE!$E$5:$E$204,SAISIE!$B$5:$B$204,"*Vent Arr./Av.*",SAISIE!$F$5:$F$204,$G$19)&gt;0)),"",IFERROR(INDEX(SAISIE!$D$5:$D$204,MATCH(MAXIFS(SAISIE!$E$5:$E$204,SAISIE!$B$5:$B$204,"*Vent Arr./Av.*",SAISIE!$F$5:$F$204,$G$19),SAISIE!$E$5:$E$204,0)),"-"))</f>
        <v/>
      </c>
      <c r="D28" s="9">
        <f>IF(OR($G$19="",NOT(MAXIFS(SAISIE!$E$5:$E$204,SAISIE!$B$5:$B$204,"*Vent Arr./Av.*",SAISIE!$F$5:$F$204,$G$19)&gt;0)),"",IFERROR(MAXIFS(SAISIE!$E$5:$E$204,SAISIE!$B$5:$B$204,"*Vent Arr./Av.*",SAISIE!$F$5:$F$204,$G$19),"-"))</f>
        <v/>
      </c>
      <c r="E28" s="9">
        <f>IF($G$19="","",IF(OR(D28="",D28="-"),"",IF(D28&gt;0,"(soulevement)",IF(D28&lt;0,"(compression)","-"))))</f>
        <v/>
      </c>
    </row>
    <row r="29">
      <c r="A29" s="8">
        <f>IF(OR($G$19="",NOT(TRUE)),"","Neige normale")</f>
        <v/>
      </c>
      <c r="B29" s="9">
        <f>IF($G$19="","",IFERROR(INDEX(SAISIE!$C$5:$C$204,MATCH(MINIFS(SAISIE!$E$5:$E$204,SAISIE!$B$5:$B$204,"*Neige*",SAISIE!$B$5:$B$204,"&lt;&gt;*accidentel*",SAISIE!$F$5:$F$204,$G$19),SAISIE!$E$5:$E$204,0)),"-"))</f>
        <v/>
      </c>
      <c r="C29" s="9">
        <f>IF($G$19="","",IFERROR(INDEX(SAISIE!$D$5:$D$204,MATCH(MINIFS(SAISIE!$E$5:$E$204,SAISIE!$B$5:$B$204,"*Neige*",SAISIE!$B$5:$B$204,"&lt;&gt;*accidentel*",SAISIE!$F$5:$F$204,$G$19),SAISIE!$E$5:$E$204,0)),"-"))</f>
        <v/>
      </c>
      <c r="D29" s="9">
        <f>IF($G$19="","",IFERROR(INDEX(SAISIE!$E$5:$E$204,MATCH(MINIFS(SAISIE!$E$5:$E$204,SAISIE!$B$5:$B$204,"*Neige*",SAISIE!$B$5:$B$204,"&lt;&gt;*accidentel*",SAISIE!$F$5:$F$204,$G$19),SAISIE!$E$5:$E$204,0)),"-"))</f>
        <v/>
      </c>
      <c r="E29" s="9">
        <f>IF($G$19="","",IF(OR(D29="",D29="-"),"",IF(D29&gt;0,"(soulevement)",IF(D29&lt;0,"(compression)","-"))))</f>
        <v/>
      </c>
    </row>
    <row r="30">
      <c r="A30" s="8">
        <f>IF(OR($G$19="",NOT(TRUE)),"","Neige accidentelle")</f>
        <v/>
      </c>
      <c r="B30" s="9">
        <f>IF($G$19="","",IFERROR(LOOKUP(2,1/((SAISIE!$F$5:$F$204=$G$19)*(ISNUMBER(SEARCH("accidentel",SAISIE!$B$5:$B$204)))),SAISIE!$C$5:$C$204),"-"))</f>
        <v/>
      </c>
      <c r="C30" s="9">
        <f>IF($G$19="","",IFERROR(LOOKUP(2,1/((SAISIE!$F$5:$F$204=$G$19)*(ISNUMBER(SEARCH("accidentel",SAISIE!$B$5:$B$204)))),SAISIE!$D$5:$D$204),"-"))</f>
        <v/>
      </c>
      <c r="D30" s="9">
        <f>IF($G$19="","",IFERROR(LOOKUP(2,1/((SAISIE!$F$5:$F$204=$G$19)*(ISNUMBER(SEARCH("accidentel",SAISIE!$B$5:$B$204)))),SAISIE!$E$5:$E$204),"-"))</f>
        <v/>
      </c>
      <c r="E30" s="9">
        <f>IF($G$19="","",IF(OR(D30="",D30="-"),"",IF(D30&gt;0,"(soulevement)",IF(D30&lt;0,"(compression)","-"))))</f>
        <v/>
      </c>
    </row>
    <row r="31">
      <c r="A31" s="6">
        <f>IF($G$31="","","Noeud "&amp;$G$31)</f>
        <v/>
      </c>
      <c r="B31" s="7" t="n"/>
      <c r="C31" s="7" t="n"/>
      <c r="D31" s="7" t="n"/>
      <c r="E31" s="7" t="n"/>
      <c r="G31">
        <f>IFERROR(INDEX(SAISIE!$F$5:$F$204,AGGREGATE(15,6,ROW(SAISIE!$F$5:$F$204)-ROW(SAISIE!$F$5)+1/(SAISIE!$F$5:$F$204&lt;&gt;"")/(COUNTIF($G$4:G30,SAISIE!$F$5:$F$204)=0),1)),"")</f>
        <v/>
      </c>
    </row>
    <row r="32">
      <c r="A32" s="8">
        <f>IF(OR($G$31="",NOT(TRUE)),"","Couverture")</f>
        <v/>
      </c>
      <c r="B32" s="9">
        <f>IF($G$31="","",IFERROR(IFERROR(LOOKUP(2,1/((SAISIE!$F$5:$F$204=$G$31)*(LEFT(SAISIE!$B$5:$B$204,2)="G ")),SAISIE!$C$5:$C$204),LOOKUP(2,1/((SAISIE!$F$5:$F$204=$G$31)*(ISNUMBER(SEARCH("Couverture",SAISIE!$B$5:$B$204)))),SAISIE!$C$5:$C$204)),"-"))</f>
        <v/>
      </c>
      <c r="C32" s="9">
        <f>IF($G$31="","",IFERROR(IFERROR(LOOKUP(2,1/((SAISIE!$F$5:$F$204=$G$31)*(LEFT(SAISIE!$B$5:$B$204,2)="G ")),SAISIE!$D$5:$D$204),LOOKUP(2,1/((SAISIE!$F$5:$F$204=$G$31)*(ISNUMBER(SEARCH("Couverture",SAISIE!$B$5:$B$204)))),SAISIE!$D$5:$D$204)),"-"))</f>
        <v/>
      </c>
      <c r="D32" s="9">
        <f>IF($G$31="","",IFERROR(IFERROR(LOOKUP(2,1/((SAISIE!$F$5:$F$204=$G$31)*(LEFT(SAISIE!$B$5:$B$204,2)="G ")),SAISIE!$E$5:$E$204),LOOKUP(2,1/((SAISIE!$F$5:$F$204=$G$31)*(ISNUMBER(SEARCH("Couverture",SAISIE!$B$5:$B$204)))),SAISIE!$E$5:$E$204)),"-"))</f>
        <v/>
      </c>
      <c r="E32" s="9">
        <f>IF($G$31="","",IF(OR(D32="",D32="-"),"",IF(D32&gt;0,"(soulevement)",IF(D32&lt;0,"(compression)","-"))))</f>
        <v/>
      </c>
    </row>
    <row r="33">
      <c r="A33" s="8">
        <f>IF(OR($G$31="",NOT(COUNTIFS(SAISIE!$B$5:$B$204,"*Vent G/D*",SAISIE!$F$5:$F$204,$G$31)&gt;0)),"","Vent G/D")</f>
        <v/>
      </c>
      <c r="B33" s="9">
        <f>IF(OR($G$31="",NOT(COUNTIFS(SAISIE!$B$5:$B$204,"*Vent G/D*",SAISIE!$F$5:$F$204,$G$31)&gt;0)),"",IFERROR(IF(MINIFS(SAISIE!$E$5:$E$204,SAISIE!$B$5:$B$204,"*Vent G/D*",SAISIE!$F$5:$F$204,$G$31)&gt;=0,MAXIFS(SAISIE!$C$5:$C$204,SAISIE!$B$5:$B$204,"*Vent G/D*",SAISIE!$F$5:$F$204,$G$31),INDEX(SAISIE!$C$5:$C$204,MATCH(MINIFS(SAISIE!$E$5:$E$204,SAISIE!$B$5:$B$204,"*Vent G/D*",SAISIE!$F$5:$F$204,$G$31),SAISIE!$E$5:$E$204,0))),"-"))</f>
        <v/>
      </c>
      <c r="C33" s="9">
        <f>IF(OR($G$31="",NOT(COUNTIFS(SAISIE!$B$5:$B$204,"*Vent G/D*",SAISIE!$F$5:$F$204,$G$31)&gt;0)),"",IFERROR(IF(MINIFS(SAISIE!$E$5:$E$204,SAISIE!$B$5:$B$204,"*Vent G/D*",SAISIE!$F$5:$F$204,$G$31)&gt;=0,INDEX(SAISIE!$D$5:$D$204,MATCH(MAXIFS(SAISIE!$C$5:$C$204,SAISIE!$B$5:$B$204,"*Vent G/D*",SAISIE!$F$5:$F$204,$G$31),SAISIE!$C$5:$C$204,0)),INDEX(SAISIE!$D$5:$D$204,MATCH(MINIFS(SAISIE!$E$5:$E$204,SAISIE!$B$5:$B$204,"*Vent G/D*",SAISIE!$F$5:$F$204,$G$31),SAISIE!$E$5:$E$204,0))),"-"))</f>
        <v/>
      </c>
      <c r="D33" s="9">
        <f>IF(OR($G$31="",NOT(COUNTIFS(SAISIE!$B$5:$B$204,"*Vent G/D*",SAISIE!$F$5:$F$204,$G$31)&gt;0)),"",IFERROR(IF(MINIFS(SAISIE!$E$5:$E$204,SAISIE!$B$5:$B$204,"*Vent G/D*",SAISIE!$F$5:$F$204,$G$31)&gt;=0,0,MINIFS(SAISIE!$E$5:$E$204,SAISIE!$B$5:$B$204,"*Vent G/D*",SAISIE!$F$5:$F$204,$G$31)),"-"))</f>
        <v/>
      </c>
      <c r="E33" s="9">
        <f>IF($G$31="","",IF(OR(D33="",D33="-"),"",IF(D33&gt;0,"(soulevement)",IF(D33&lt;0,"(compression)","-"))))</f>
        <v/>
      </c>
    </row>
    <row r="34">
      <c r="A34" s="8">
        <f>IF(OR($G$31="",NOT(MAXIFS(SAISIE!$E$5:$E$204,SAISIE!$B$5:$B$204,"*Vent G/D*",SAISIE!$F$5:$F$204,$G$31)&gt;0)),"","Vent G/D")</f>
        <v/>
      </c>
      <c r="B34" s="9">
        <f>IF(OR($G$31="",NOT(MAXIFS(SAISIE!$E$5:$E$204,SAISIE!$B$5:$B$204,"*Vent G/D*",SAISIE!$F$5:$F$204,$G$31)&gt;0)),"",IFERROR(INDEX(SAISIE!$C$5:$C$204,MATCH(MAXIFS(SAISIE!$E$5:$E$204,SAISIE!$B$5:$B$204,"*Vent G/D*",SAISIE!$F$5:$F$204,$G$31),SAISIE!$E$5:$E$204,0)),"-"))</f>
        <v/>
      </c>
      <c r="C34" s="9">
        <f>IF(OR($G$31="",NOT(MAXIFS(SAISIE!$E$5:$E$204,SAISIE!$B$5:$B$204,"*Vent G/D*",SAISIE!$F$5:$F$204,$G$31)&gt;0)),"",IFERROR(INDEX(SAISIE!$D$5:$D$204,MATCH(MAXIFS(SAISIE!$E$5:$E$204,SAISIE!$B$5:$B$204,"*Vent G/D*",SAISIE!$F$5:$F$204,$G$31),SAISIE!$E$5:$E$204,0)),"-"))</f>
        <v/>
      </c>
      <c r="D34" s="9">
        <f>IF(OR($G$31="",NOT(MAXIFS(SAISIE!$E$5:$E$204,SAISIE!$B$5:$B$204,"*Vent G/D*",SAISIE!$F$5:$F$204,$G$31)&gt;0)),"",IFERROR(MAXIFS(SAISIE!$E$5:$E$204,SAISIE!$B$5:$B$204,"*Vent G/D*",SAISIE!$F$5:$F$204,$G$31),"-"))</f>
        <v/>
      </c>
      <c r="E34" s="9">
        <f>IF($G$31="","",IF(OR(D34="",D34="-"),"",IF(D34&gt;0,"(soulevement)",IF(D34&lt;0,"(compression)","-"))))</f>
        <v/>
      </c>
    </row>
    <row r="35">
      <c r="A35" s="8">
        <f>IF(OR($G$31="",NOT(COUNTIFS(SAISIE!$B$5:$B$204,"*Vent D/G*",SAISIE!$F$5:$F$204,$G$31)&gt;0)),"","Vent D/G")</f>
        <v/>
      </c>
      <c r="B35" s="9">
        <f>IF(OR($G$31="",NOT(COUNTIFS(SAISIE!$B$5:$B$204,"*Vent D/G*",SAISIE!$F$5:$F$204,$G$31)&gt;0)),"",IFERROR(IF(MINIFS(SAISIE!$E$5:$E$204,SAISIE!$B$5:$B$204,"*Vent D/G*",SAISIE!$F$5:$F$204,$G$31)&gt;=0,MAXIFS(SAISIE!$C$5:$C$204,SAISIE!$B$5:$B$204,"*Vent D/G*",SAISIE!$F$5:$F$204,$G$31),INDEX(SAISIE!$C$5:$C$204,MATCH(MINIFS(SAISIE!$E$5:$E$204,SAISIE!$B$5:$B$204,"*Vent D/G*",SAISIE!$F$5:$F$204,$G$31),SAISIE!$E$5:$E$204,0))),"-"))</f>
        <v/>
      </c>
      <c r="C35" s="9">
        <f>IF(OR($G$31="",NOT(COUNTIFS(SAISIE!$B$5:$B$204,"*Vent D/G*",SAISIE!$F$5:$F$204,$G$31)&gt;0)),"",IFERROR(IF(MINIFS(SAISIE!$E$5:$E$204,SAISIE!$B$5:$B$204,"*Vent D/G*",SAISIE!$F$5:$F$204,$G$31)&gt;=0,INDEX(SAISIE!$D$5:$D$204,MATCH(MAXIFS(SAISIE!$C$5:$C$204,SAISIE!$B$5:$B$204,"*Vent D/G*",SAISIE!$F$5:$F$204,$G$31),SAISIE!$C$5:$C$204,0)),INDEX(SAISIE!$D$5:$D$204,MATCH(MINIFS(SAISIE!$E$5:$E$204,SAISIE!$B$5:$B$204,"*Vent D/G*",SAISIE!$F$5:$F$204,$G$31),SAISIE!$E$5:$E$204,0))),"-"))</f>
        <v/>
      </c>
      <c r="D35" s="9">
        <f>IF(OR($G$31="",NOT(COUNTIFS(SAISIE!$B$5:$B$204,"*Vent D/G*",SAISIE!$F$5:$F$204,$G$31)&gt;0)),"",IFERROR(IF(MINIFS(SAISIE!$E$5:$E$204,SAISIE!$B$5:$B$204,"*Vent D/G*",SAISIE!$F$5:$F$204,$G$31)&gt;=0,0,MINIFS(SAISIE!$E$5:$E$204,SAISIE!$B$5:$B$204,"*Vent D/G*",SAISIE!$F$5:$F$204,$G$31)),"-"))</f>
        <v/>
      </c>
      <c r="E35" s="9">
        <f>IF($G$31="","",IF(OR(D35="",D35="-"),"",IF(D35&gt;0,"(soulevement)",IF(D35&lt;0,"(compression)","-"))))</f>
        <v/>
      </c>
    </row>
    <row r="36">
      <c r="A36" s="8">
        <f>IF(OR($G$31="",NOT(MAXIFS(SAISIE!$E$5:$E$204,SAISIE!$B$5:$B$204,"*Vent D/G*",SAISIE!$F$5:$F$204,$G$31)&gt;0)),"","Vent D/G")</f>
        <v/>
      </c>
      <c r="B36" s="9">
        <f>IF(OR($G$31="",NOT(MAXIFS(SAISIE!$E$5:$E$204,SAISIE!$B$5:$B$204,"*Vent D/G*",SAISIE!$F$5:$F$204,$G$31)&gt;0)),"",IFERROR(INDEX(SAISIE!$C$5:$C$204,MATCH(MAXIFS(SAISIE!$E$5:$E$204,SAISIE!$B$5:$B$204,"*Vent D/G*",SAISIE!$F$5:$F$204,$G$31),SAISIE!$E$5:$E$204,0)),"-"))</f>
        <v/>
      </c>
      <c r="C36" s="9">
        <f>IF(OR($G$31="",NOT(MAXIFS(SAISIE!$E$5:$E$204,SAISIE!$B$5:$B$204,"*Vent D/G*",SAISIE!$F$5:$F$204,$G$31)&gt;0)),"",IFERROR(INDEX(SAISIE!$D$5:$D$204,MATCH(MAXIFS(SAISIE!$E$5:$E$204,SAISIE!$B$5:$B$204,"*Vent D/G*",SAISIE!$F$5:$F$204,$G$31),SAISIE!$E$5:$E$204,0)),"-"))</f>
        <v/>
      </c>
      <c r="D36" s="9">
        <f>IF(OR($G$31="",NOT(MAXIFS(SAISIE!$E$5:$E$204,SAISIE!$B$5:$B$204,"*Vent D/G*",SAISIE!$F$5:$F$204,$G$31)&gt;0)),"",IFERROR(MAXIFS(SAISIE!$E$5:$E$204,SAISIE!$B$5:$B$204,"*Vent D/G*",SAISIE!$F$5:$F$204,$G$31),"-"))</f>
        <v/>
      </c>
      <c r="E36" s="9">
        <f>IF($G$31="","",IF(OR(D36="",D36="-"),"",IF(D36&gt;0,"(soulevement)",IF(D36&lt;0,"(compression)","-"))))</f>
        <v/>
      </c>
    </row>
    <row r="37">
      <c r="A37" s="8">
        <f>IF(OR($G$31="",NOT(COUNTIFS(SAISIE!$B$5:$B$204,"*Vent Av./Arr.*",SAISIE!$F$5:$F$204,$G$31)&gt;0)),"","Vent Av./Arr.")</f>
        <v/>
      </c>
      <c r="B37" s="9">
        <f>IF(OR($G$31="",NOT(COUNTIFS(SAISIE!$B$5:$B$204,"*Vent Av./Arr.*",SAISIE!$F$5:$F$204,$G$31)&gt;0)),"",IFERROR(IF(MINIFS(SAISIE!$E$5:$E$204,SAISIE!$B$5:$B$204,"*Vent Av./Arr.*",SAISIE!$F$5:$F$204,$G$31)&gt;=0,MAXIFS(SAISIE!$C$5:$C$204,SAISIE!$B$5:$B$204,"*Vent Av./Arr.*",SAISIE!$F$5:$F$204,$G$31),INDEX(SAISIE!$C$5:$C$204,MATCH(MINIFS(SAISIE!$E$5:$E$204,SAISIE!$B$5:$B$204,"*Vent Av./Arr.*",SAISIE!$F$5:$F$204,$G$31),SAISIE!$E$5:$E$204,0))),"-"))</f>
        <v/>
      </c>
      <c r="C37" s="9">
        <f>IF(OR($G$31="",NOT(COUNTIFS(SAISIE!$B$5:$B$204,"*Vent Av./Arr.*",SAISIE!$F$5:$F$204,$G$31)&gt;0)),"",IFERROR(IF(MINIFS(SAISIE!$E$5:$E$204,SAISIE!$B$5:$B$204,"*Vent Av./Arr.*",SAISIE!$F$5:$F$204,$G$31)&gt;=0,INDEX(SAISIE!$D$5:$D$204,MATCH(MAXIFS(SAISIE!$C$5:$C$204,SAISIE!$B$5:$B$204,"*Vent Av./Arr.*",SAISIE!$F$5:$F$204,$G$31),SAISIE!$C$5:$C$204,0)),INDEX(SAISIE!$D$5:$D$204,MATCH(MINIFS(SAISIE!$E$5:$E$204,SAISIE!$B$5:$B$204,"*Vent Av./Arr.*",SAISIE!$F$5:$F$204,$G$31),SAISIE!$E$5:$E$204,0))),"-"))</f>
        <v/>
      </c>
      <c r="D37" s="9">
        <f>IF(OR($G$31="",NOT(COUNTIFS(SAISIE!$B$5:$B$204,"*Vent Av./Arr.*",SAISIE!$F$5:$F$204,$G$31)&gt;0)),"",IFERROR(IF(MINIFS(SAISIE!$E$5:$E$204,SAISIE!$B$5:$B$204,"*Vent Av./Arr.*",SAISIE!$F$5:$F$204,$G$31)&gt;=0,0,MINIFS(SAISIE!$E$5:$E$204,SAISIE!$B$5:$B$204,"*Vent Av./Arr.*",SAISIE!$F$5:$F$204,$G$31)),"-"))</f>
        <v/>
      </c>
      <c r="E37" s="9">
        <f>IF($G$31="","",IF(OR(D37="",D37="-"),"",IF(D37&gt;0,"(soulevement)",IF(D37&lt;0,"(compression)","-"))))</f>
        <v/>
      </c>
    </row>
    <row r="38">
      <c r="A38" s="8">
        <f>IF(OR($G$31="",NOT(MAXIFS(SAISIE!$E$5:$E$204,SAISIE!$B$5:$B$204,"*Vent Av./Arr.*",SAISIE!$F$5:$F$204,$G$31)&gt;0)),"","Vent Av./Arr.")</f>
        <v/>
      </c>
      <c r="B38" s="9">
        <f>IF(OR($G$31="",NOT(MAXIFS(SAISIE!$E$5:$E$204,SAISIE!$B$5:$B$204,"*Vent Av./Arr.*",SAISIE!$F$5:$F$204,$G$31)&gt;0)),"",IFERROR(INDEX(SAISIE!$C$5:$C$204,MATCH(MAXIFS(SAISIE!$E$5:$E$204,SAISIE!$B$5:$B$204,"*Vent Av./Arr.*",SAISIE!$F$5:$F$204,$G$31),SAISIE!$E$5:$E$204,0)),"-"))</f>
        <v/>
      </c>
      <c r="C38" s="9">
        <f>IF(OR($G$31="",NOT(MAXIFS(SAISIE!$E$5:$E$204,SAISIE!$B$5:$B$204,"*Vent Av./Arr.*",SAISIE!$F$5:$F$204,$G$31)&gt;0)),"",IFERROR(INDEX(SAISIE!$D$5:$D$204,MATCH(MAXIFS(SAISIE!$E$5:$E$204,SAISIE!$B$5:$B$204,"*Vent Av./Arr.*",SAISIE!$F$5:$F$204,$G$31),SAISIE!$E$5:$E$204,0)),"-"))</f>
        <v/>
      </c>
      <c r="D38" s="9">
        <f>IF(OR($G$31="",NOT(MAXIFS(SAISIE!$E$5:$E$204,SAISIE!$B$5:$B$204,"*Vent Av./Arr.*",SAISIE!$F$5:$F$204,$G$31)&gt;0)),"",IFERROR(MAXIFS(SAISIE!$E$5:$E$204,SAISIE!$B$5:$B$204,"*Vent Av./Arr.*",SAISIE!$F$5:$F$204,$G$31),"-"))</f>
        <v/>
      </c>
      <c r="E38" s="9">
        <f>IF($G$31="","",IF(OR(D38="",D38="-"),"",IF(D38&gt;0,"(soulevement)",IF(D38&lt;0,"(compression)","-"))))</f>
        <v/>
      </c>
    </row>
    <row r="39">
      <c r="A39" s="8">
        <f>IF(OR($G$31="",NOT(COUNTIFS(SAISIE!$B$5:$B$204,"*Vent Arr./Av.*",SAISIE!$F$5:$F$204,$G$31)&gt;0)),"","Vent Arr./Av.")</f>
        <v/>
      </c>
      <c r="B39" s="9">
        <f>IF(OR($G$31="",NOT(COUNTIFS(SAISIE!$B$5:$B$204,"*Vent Arr./Av.*",SAISIE!$F$5:$F$204,$G$31)&gt;0)),"",IFERROR(IF(MINIFS(SAISIE!$E$5:$E$204,SAISIE!$B$5:$B$204,"*Vent Arr./Av.*",SAISIE!$F$5:$F$204,$G$31)&gt;=0,MAXIFS(SAISIE!$C$5:$C$204,SAISIE!$B$5:$B$204,"*Vent Arr./Av.*",SAISIE!$F$5:$F$204,$G$31),INDEX(SAISIE!$C$5:$C$204,MATCH(MINIFS(SAISIE!$E$5:$E$204,SAISIE!$B$5:$B$204,"*Vent Arr./Av.*",SAISIE!$F$5:$F$204,$G$31),SAISIE!$E$5:$E$204,0))),"-"))</f>
        <v/>
      </c>
      <c r="C39" s="9">
        <f>IF(OR($G$31="",NOT(COUNTIFS(SAISIE!$B$5:$B$204,"*Vent Arr./Av.*",SAISIE!$F$5:$F$204,$G$31)&gt;0)),"",IFERROR(IF(MINIFS(SAISIE!$E$5:$E$204,SAISIE!$B$5:$B$204,"*Vent Arr./Av.*",SAISIE!$F$5:$F$204,$G$31)&gt;=0,INDEX(SAISIE!$D$5:$D$204,MATCH(MAXIFS(SAISIE!$C$5:$C$204,SAISIE!$B$5:$B$204,"*Vent Arr./Av.*",SAISIE!$F$5:$F$204,$G$31),SAISIE!$C$5:$C$204,0)),INDEX(SAISIE!$D$5:$D$204,MATCH(MINIFS(SAISIE!$E$5:$E$204,SAISIE!$B$5:$B$204,"*Vent Arr./Av.*",SAISIE!$F$5:$F$204,$G$31),SAISIE!$E$5:$E$204,0))),"-"))</f>
        <v/>
      </c>
      <c r="D39" s="9">
        <f>IF(OR($G$31="",NOT(COUNTIFS(SAISIE!$B$5:$B$204,"*Vent Arr./Av.*",SAISIE!$F$5:$F$204,$G$31)&gt;0)),"",IFERROR(IF(MINIFS(SAISIE!$E$5:$E$204,SAISIE!$B$5:$B$204,"*Vent Arr./Av.*",SAISIE!$F$5:$F$204,$G$31)&gt;=0,0,MINIFS(SAISIE!$E$5:$E$204,SAISIE!$B$5:$B$204,"*Vent Arr./Av.*",SAISIE!$F$5:$F$204,$G$31)),"-"))</f>
        <v/>
      </c>
      <c r="E39" s="9">
        <f>IF($G$31="","",IF(OR(D39="",D39="-"),"",IF(D39&gt;0,"(soulevement)",IF(D39&lt;0,"(compression)","-"))))</f>
        <v/>
      </c>
    </row>
    <row r="40">
      <c r="A40" s="8">
        <f>IF(OR($G$31="",NOT(MAXIFS(SAISIE!$E$5:$E$204,SAISIE!$B$5:$B$204,"*Vent Arr./Av.*",SAISIE!$F$5:$F$204,$G$31)&gt;0)),"","Vent Arr./Av.")</f>
        <v/>
      </c>
      <c r="B40" s="9">
        <f>IF(OR($G$31="",NOT(MAXIFS(SAISIE!$E$5:$E$204,SAISIE!$B$5:$B$204,"*Vent Arr./Av.*",SAISIE!$F$5:$F$204,$G$31)&gt;0)),"",IFERROR(INDEX(SAISIE!$C$5:$C$204,MATCH(MAXIFS(SAISIE!$E$5:$E$204,SAISIE!$B$5:$B$204,"*Vent Arr./Av.*",SAISIE!$F$5:$F$204,$G$31),SAISIE!$E$5:$E$204,0)),"-"))</f>
        <v/>
      </c>
      <c r="C40" s="9">
        <f>IF(OR($G$31="",NOT(MAXIFS(SAISIE!$E$5:$E$204,SAISIE!$B$5:$B$204,"*Vent Arr./Av.*",SAISIE!$F$5:$F$204,$G$31)&gt;0)),"",IFERROR(INDEX(SAISIE!$D$5:$D$204,MATCH(MAXIFS(SAISIE!$E$5:$E$204,SAISIE!$B$5:$B$204,"*Vent Arr./Av.*",SAISIE!$F$5:$F$204,$G$31),SAISIE!$E$5:$E$204,0)),"-"))</f>
        <v/>
      </c>
      <c r="D40" s="9">
        <f>IF(OR($G$31="",NOT(MAXIFS(SAISIE!$E$5:$E$204,SAISIE!$B$5:$B$204,"*Vent Arr./Av.*",SAISIE!$F$5:$F$204,$G$31)&gt;0)),"",IFERROR(MAXIFS(SAISIE!$E$5:$E$204,SAISIE!$B$5:$B$204,"*Vent Arr./Av.*",SAISIE!$F$5:$F$204,$G$31),"-"))</f>
        <v/>
      </c>
      <c r="E40" s="9">
        <f>IF($G$31="","",IF(OR(D40="",D40="-"),"",IF(D40&gt;0,"(soulevement)",IF(D40&lt;0,"(compression)","-"))))</f>
        <v/>
      </c>
    </row>
    <row r="41">
      <c r="A41" s="8">
        <f>IF(OR($G$31="",NOT(TRUE)),"","Neige normale")</f>
        <v/>
      </c>
      <c r="B41" s="9">
        <f>IF($G$31="","",IFERROR(INDEX(SAISIE!$C$5:$C$204,MATCH(MINIFS(SAISIE!$E$5:$E$204,SAISIE!$B$5:$B$204,"*Neige*",SAISIE!$B$5:$B$204,"&lt;&gt;*accidentel*",SAISIE!$F$5:$F$204,$G$31),SAISIE!$E$5:$E$204,0)),"-"))</f>
        <v/>
      </c>
      <c r="C41" s="9">
        <f>IF($G$31="","",IFERROR(INDEX(SAISIE!$D$5:$D$204,MATCH(MINIFS(SAISIE!$E$5:$E$204,SAISIE!$B$5:$B$204,"*Neige*",SAISIE!$B$5:$B$204,"&lt;&gt;*accidentel*",SAISIE!$F$5:$F$204,$G$31),SAISIE!$E$5:$E$204,0)),"-"))</f>
        <v/>
      </c>
      <c r="D41" s="9">
        <f>IF($G$31="","",IFERROR(INDEX(SAISIE!$E$5:$E$204,MATCH(MINIFS(SAISIE!$E$5:$E$204,SAISIE!$B$5:$B$204,"*Neige*",SAISIE!$B$5:$B$204,"&lt;&gt;*accidentel*",SAISIE!$F$5:$F$204,$G$31),SAISIE!$E$5:$E$204,0)),"-"))</f>
        <v/>
      </c>
      <c r="E41" s="9">
        <f>IF($G$31="","",IF(OR(D41="",D41="-"),"",IF(D41&gt;0,"(soulevement)",IF(D41&lt;0,"(compression)","-"))))</f>
        <v/>
      </c>
    </row>
    <row r="42">
      <c r="A42" s="8">
        <f>IF(OR($G$31="",NOT(TRUE)),"","Neige accidentelle")</f>
        <v/>
      </c>
      <c r="B42" s="9">
        <f>IF($G$31="","",IFERROR(LOOKUP(2,1/((SAISIE!$F$5:$F$204=$G$31)*(ISNUMBER(SEARCH("accidentel",SAISIE!$B$5:$B$204)))),SAISIE!$C$5:$C$204),"-"))</f>
        <v/>
      </c>
      <c r="C42" s="9">
        <f>IF($G$31="","",IFERROR(LOOKUP(2,1/((SAISIE!$F$5:$F$204=$G$31)*(ISNUMBER(SEARCH("accidentel",SAISIE!$B$5:$B$204)))),SAISIE!$D$5:$D$204),"-"))</f>
        <v/>
      </c>
      <c r="D42" s="9">
        <f>IF($G$31="","",IFERROR(LOOKUP(2,1/((SAISIE!$F$5:$F$204=$G$31)*(ISNUMBER(SEARCH("accidentel",SAISIE!$B$5:$B$204)))),SAISIE!$E$5:$E$204),"-"))</f>
        <v/>
      </c>
      <c r="E42" s="9">
        <f>IF($G$31="","",IF(OR(D42="",D42="-"),"",IF(D42&gt;0,"(soulevement)",IF(D42&lt;0,"(compression)","-"))))</f>
        <v/>
      </c>
    </row>
    <row r="43">
      <c r="A43" s="6">
        <f>IF($G$43="","","Noeud "&amp;$G$43)</f>
        <v/>
      </c>
      <c r="B43" s="7" t="n"/>
      <c r="C43" s="7" t="n"/>
      <c r="D43" s="7" t="n"/>
      <c r="E43" s="7" t="n"/>
      <c r="G43">
        <f>IFERROR(INDEX(SAISIE!$F$5:$F$204,AGGREGATE(15,6,ROW(SAISIE!$F$5:$F$204)-ROW(SAISIE!$F$5)+1/(SAISIE!$F$5:$F$204&lt;&gt;"")/(COUNTIF($G$4:G42,SAISIE!$F$5:$F$204)=0),1)),"")</f>
        <v/>
      </c>
    </row>
    <row r="44">
      <c r="A44" s="8">
        <f>IF(OR($G$43="",NOT(TRUE)),"","Couverture")</f>
        <v/>
      </c>
      <c r="B44" s="9">
        <f>IF($G$43="","",IFERROR(IFERROR(LOOKUP(2,1/((SAISIE!$F$5:$F$204=$G$43)*(LEFT(SAISIE!$B$5:$B$204,2)="G ")),SAISIE!$C$5:$C$204),LOOKUP(2,1/((SAISIE!$F$5:$F$204=$G$43)*(ISNUMBER(SEARCH("Couverture",SAISIE!$B$5:$B$204)))),SAISIE!$C$5:$C$204)),"-"))</f>
        <v/>
      </c>
      <c r="C44" s="9">
        <f>IF($G$43="","",IFERROR(IFERROR(LOOKUP(2,1/((SAISIE!$F$5:$F$204=$G$43)*(LEFT(SAISIE!$B$5:$B$204,2)="G ")),SAISIE!$D$5:$D$204),LOOKUP(2,1/((SAISIE!$F$5:$F$204=$G$43)*(ISNUMBER(SEARCH("Couverture",SAISIE!$B$5:$B$204)))),SAISIE!$D$5:$D$204)),"-"))</f>
        <v/>
      </c>
      <c r="D44" s="9">
        <f>IF($G$43="","",IFERROR(IFERROR(LOOKUP(2,1/((SAISIE!$F$5:$F$204=$G$43)*(LEFT(SAISIE!$B$5:$B$204,2)="G ")),SAISIE!$E$5:$E$204),LOOKUP(2,1/((SAISIE!$F$5:$F$204=$G$43)*(ISNUMBER(SEARCH("Couverture",SAISIE!$B$5:$B$204)))),SAISIE!$E$5:$E$204)),"-"))</f>
        <v/>
      </c>
      <c r="E44" s="9">
        <f>IF($G$43="","",IF(OR(D44="",D44="-"),"",IF(D44&gt;0,"(soulevement)",IF(D44&lt;0,"(compression)","-"))))</f>
        <v/>
      </c>
    </row>
    <row r="45">
      <c r="A45" s="8">
        <f>IF(OR($G$43="",NOT(COUNTIFS(SAISIE!$B$5:$B$204,"*Vent G/D*",SAISIE!$F$5:$F$204,$G$43)&gt;0)),"","Vent G/D")</f>
        <v/>
      </c>
      <c r="B45" s="9">
        <f>IF(OR($G$43="",NOT(COUNTIFS(SAISIE!$B$5:$B$204,"*Vent G/D*",SAISIE!$F$5:$F$204,$G$43)&gt;0)),"",IFERROR(IF(MINIFS(SAISIE!$E$5:$E$204,SAISIE!$B$5:$B$204,"*Vent G/D*",SAISIE!$F$5:$F$204,$G$43)&gt;=0,MAXIFS(SAISIE!$C$5:$C$204,SAISIE!$B$5:$B$204,"*Vent G/D*",SAISIE!$F$5:$F$204,$G$43),INDEX(SAISIE!$C$5:$C$204,MATCH(MINIFS(SAISIE!$E$5:$E$204,SAISIE!$B$5:$B$204,"*Vent G/D*",SAISIE!$F$5:$F$204,$G$43),SAISIE!$E$5:$E$204,0))),"-"))</f>
        <v/>
      </c>
      <c r="C45" s="9">
        <f>IF(OR($G$43="",NOT(COUNTIFS(SAISIE!$B$5:$B$204,"*Vent G/D*",SAISIE!$F$5:$F$204,$G$43)&gt;0)),"",IFERROR(IF(MINIFS(SAISIE!$E$5:$E$204,SAISIE!$B$5:$B$204,"*Vent G/D*",SAISIE!$F$5:$F$204,$G$43)&gt;=0,INDEX(SAISIE!$D$5:$D$204,MATCH(MAXIFS(SAISIE!$C$5:$C$204,SAISIE!$B$5:$B$204,"*Vent G/D*",SAISIE!$F$5:$F$204,$G$43),SAISIE!$C$5:$C$204,0)),INDEX(SAISIE!$D$5:$D$204,MATCH(MINIFS(SAISIE!$E$5:$E$204,SAISIE!$B$5:$B$204,"*Vent G/D*",SAISIE!$F$5:$F$204,$G$43),SAISIE!$E$5:$E$204,0))),"-"))</f>
        <v/>
      </c>
      <c r="D45" s="9">
        <f>IF(OR($G$43="",NOT(COUNTIFS(SAISIE!$B$5:$B$204,"*Vent G/D*",SAISIE!$F$5:$F$204,$G$43)&gt;0)),"",IFERROR(IF(MINIFS(SAISIE!$E$5:$E$204,SAISIE!$B$5:$B$204,"*Vent G/D*",SAISIE!$F$5:$F$204,$G$43)&gt;=0,0,MINIFS(SAISIE!$E$5:$E$204,SAISIE!$B$5:$B$204,"*Vent G/D*",SAISIE!$F$5:$F$204,$G$43)),"-"))</f>
        <v/>
      </c>
      <c r="E45" s="9">
        <f>IF($G$43="","",IF(OR(D45="",D45="-"),"",IF(D45&gt;0,"(soulevement)",IF(D45&lt;0,"(compression)","-"))))</f>
        <v/>
      </c>
    </row>
    <row r="46">
      <c r="A46" s="8">
        <f>IF(OR($G$43="",NOT(MAXIFS(SAISIE!$E$5:$E$204,SAISIE!$B$5:$B$204,"*Vent G/D*",SAISIE!$F$5:$F$204,$G$43)&gt;0)),"","Vent G/D")</f>
        <v/>
      </c>
      <c r="B46" s="9">
        <f>IF(OR($G$43="",NOT(MAXIFS(SAISIE!$E$5:$E$204,SAISIE!$B$5:$B$204,"*Vent G/D*",SAISIE!$F$5:$F$204,$G$43)&gt;0)),"",IFERROR(INDEX(SAISIE!$C$5:$C$204,MATCH(MAXIFS(SAISIE!$E$5:$E$204,SAISIE!$B$5:$B$204,"*Vent G/D*",SAISIE!$F$5:$F$204,$G$43),SAISIE!$E$5:$E$204,0)),"-"))</f>
        <v/>
      </c>
      <c r="C46" s="9">
        <f>IF(OR($G$43="",NOT(MAXIFS(SAISIE!$E$5:$E$204,SAISIE!$B$5:$B$204,"*Vent G/D*",SAISIE!$F$5:$F$204,$G$43)&gt;0)),"",IFERROR(INDEX(SAISIE!$D$5:$D$204,MATCH(MAXIFS(SAISIE!$E$5:$E$204,SAISIE!$B$5:$B$204,"*Vent G/D*",SAISIE!$F$5:$F$204,$G$43),SAISIE!$E$5:$E$204,0)),"-"))</f>
        <v/>
      </c>
      <c r="D46" s="9">
        <f>IF(OR($G$43="",NOT(MAXIFS(SAISIE!$E$5:$E$204,SAISIE!$B$5:$B$204,"*Vent G/D*",SAISIE!$F$5:$F$204,$G$43)&gt;0)),"",IFERROR(MAXIFS(SAISIE!$E$5:$E$204,SAISIE!$B$5:$B$204,"*Vent G/D*",SAISIE!$F$5:$F$204,$G$43),"-"))</f>
        <v/>
      </c>
      <c r="E46" s="9">
        <f>IF($G$43="","",IF(OR(D46="",D46="-"),"",IF(D46&gt;0,"(soulevement)",IF(D46&lt;0,"(compression)","-"))))</f>
        <v/>
      </c>
    </row>
    <row r="47">
      <c r="A47" s="8">
        <f>IF(OR($G$43="",NOT(COUNTIFS(SAISIE!$B$5:$B$204,"*Vent D/G*",SAISIE!$F$5:$F$204,$G$43)&gt;0)),"","Vent D/G")</f>
        <v/>
      </c>
      <c r="B47" s="9">
        <f>IF(OR($G$43="",NOT(COUNTIFS(SAISIE!$B$5:$B$204,"*Vent D/G*",SAISIE!$F$5:$F$204,$G$43)&gt;0)),"",IFERROR(IF(MINIFS(SAISIE!$E$5:$E$204,SAISIE!$B$5:$B$204,"*Vent D/G*",SAISIE!$F$5:$F$204,$G$43)&gt;=0,MAXIFS(SAISIE!$C$5:$C$204,SAISIE!$B$5:$B$204,"*Vent D/G*",SAISIE!$F$5:$F$204,$G$43),INDEX(SAISIE!$C$5:$C$204,MATCH(MINIFS(SAISIE!$E$5:$E$204,SAISIE!$B$5:$B$204,"*Vent D/G*",SAISIE!$F$5:$F$204,$G$43),SAISIE!$E$5:$E$204,0))),"-"))</f>
        <v/>
      </c>
      <c r="C47" s="9">
        <f>IF(OR($G$43="",NOT(COUNTIFS(SAISIE!$B$5:$B$204,"*Vent D/G*",SAISIE!$F$5:$F$204,$G$43)&gt;0)),"",IFERROR(IF(MINIFS(SAISIE!$E$5:$E$204,SAISIE!$B$5:$B$204,"*Vent D/G*",SAISIE!$F$5:$F$204,$G$43)&gt;=0,INDEX(SAISIE!$D$5:$D$204,MATCH(MAXIFS(SAISIE!$C$5:$C$204,SAISIE!$B$5:$B$204,"*Vent D/G*",SAISIE!$F$5:$F$204,$G$43),SAISIE!$C$5:$C$204,0)),INDEX(SAISIE!$D$5:$D$204,MATCH(MINIFS(SAISIE!$E$5:$E$204,SAISIE!$B$5:$B$204,"*Vent D/G*",SAISIE!$F$5:$F$204,$G$43),SAISIE!$E$5:$E$204,0))),"-"))</f>
        <v/>
      </c>
      <c r="D47" s="9">
        <f>IF(OR($G$43="",NOT(COUNTIFS(SAISIE!$B$5:$B$204,"*Vent D/G*",SAISIE!$F$5:$F$204,$G$43)&gt;0)),"",IFERROR(IF(MINIFS(SAISIE!$E$5:$E$204,SAISIE!$B$5:$B$204,"*Vent D/G*",SAISIE!$F$5:$F$204,$G$43)&gt;=0,0,MINIFS(SAISIE!$E$5:$E$204,SAISIE!$B$5:$B$204,"*Vent D/G*",SAISIE!$F$5:$F$204,$G$43)),"-"))</f>
        <v/>
      </c>
      <c r="E47" s="9">
        <f>IF($G$43="","",IF(OR(D47="",D47="-"),"",IF(D47&gt;0,"(soulevement)",IF(D47&lt;0,"(compression)","-"))))</f>
        <v/>
      </c>
    </row>
    <row r="48">
      <c r="A48" s="8">
        <f>IF(OR($G$43="",NOT(MAXIFS(SAISIE!$E$5:$E$204,SAISIE!$B$5:$B$204,"*Vent D/G*",SAISIE!$F$5:$F$204,$G$43)&gt;0)),"","Vent D/G")</f>
        <v/>
      </c>
      <c r="B48" s="9">
        <f>IF(OR($G$43="",NOT(MAXIFS(SAISIE!$E$5:$E$204,SAISIE!$B$5:$B$204,"*Vent D/G*",SAISIE!$F$5:$F$204,$G$43)&gt;0)),"",IFERROR(INDEX(SAISIE!$C$5:$C$204,MATCH(MAXIFS(SAISIE!$E$5:$E$204,SAISIE!$B$5:$B$204,"*Vent D/G*",SAISIE!$F$5:$F$204,$G$43),SAISIE!$E$5:$E$204,0)),"-"))</f>
        <v/>
      </c>
      <c r="C48" s="9">
        <f>IF(OR($G$43="",NOT(MAXIFS(SAISIE!$E$5:$E$204,SAISIE!$B$5:$B$204,"*Vent D/G*",SAISIE!$F$5:$F$204,$G$43)&gt;0)),"",IFERROR(INDEX(SAISIE!$D$5:$D$204,MATCH(MAXIFS(SAISIE!$E$5:$E$204,SAISIE!$B$5:$B$204,"*Vent D/G*",SAISIE!$F$5:$F$204,$G$43),SAISIE!$E$5:$E$204,0)),"-"))</f>
        <v/>
      </c>
      <c r="D48" s="9">
        <f>IF(OR($G$43="",NOT(MAXIFS(SAISIE!$E$5:$E$204,SAISIE!$B$5:$B$204,"*Vent D/G*",SAISIE!$F$5:$F$204,$G$43)&gt;0)),"",IFERROR(MAXIFS(SAISIE!$E$5:$E$204,SAISIE!$B$5:$B$204,"*Vent D/G*",SAISIE!$F$5:$F$204,$G$43),"-"))</f>
        <v/>
      </c>
      <c r="E48" s="9">
        <f>IF($G$43="","",IF(OR(D48="",D48="-"),"",IF(D48&gt;0,"(soulevement)",IF(D48&lt;0,"(compression)","-"))))</f>
        <v/>
      </c>
    </row>
    <row r="49">
      <c r="A49" s="8">
        <f>IF(OR($G$43="",NOT(COUNTIFS(SAISIE!$B$5:$B$204,"*Vent Av./Arr.*",SAISIE!$F$5:$F$204,$G$43)&gt;0)),"","Vent Av./Arr.")</f>
        <v/>
      </c>
      <c r="B49" s="9">
        <f>IF(OR($G$43="",NOT(COUNTIFS(SAISIE!$B$5:$B$204,"*Vent Av./Arr.*",SAISIE!$F$5:$F$204,$G$43)&gt;0)),"",IFERROR(IF(MINIFS(SAISIE!$E$5:$E$204,SAISIE!$B$5:$B$204,"*Vent Av./Arr.*",SAISIE!$F$5:$F$204,$G$43)&gt;=0,MAXIFS(SAISIE!$C$5:$C$204,SAISIE!$B$5:$B$204,"*Vent Av./Arr.*",SAISIE!$F$5:$F$204,$G$43),INDEX(SAISIE!$C$5:$C$204,MATCH(MINIFS(SAISIE!$E$5:$E$204,SAISIE!$B$5:$B$204,"*Vent Av./Arr.*",SAISIE!$F$5:$F$204,$G$43),SAISIE!$E$5:$E$204,0))),"-"))</f>
        <v/>
      </c>
      <c r="C49" s="9">
        <f>IF(OR($G$43="",NOT(COUNTIFS(SAISIE!$B$5:$B$204,"*Vent Av./Arr.*",SAISIE!$F$5:$F$204,$G$43)&gt;0)),"",IFERROR(IF(MINIFS(SAISIE!$E$5:$E$204,SAISIE!$B$5:$B$204,"*Vent Av./Arr.*",SAISIE!$F$5:$F$204,$G$43)&gt;=0,INDEX(SAISIE!$D$5:$D$204,MATCH(MAXIFS(SAISIE!$C$5:$C$204,SAISIE!$B$5:$B$204,"*Vent Av./Arr.*",SAISIE!$F$5:$F$204,$G$43),SAISIE!$C$5:$C$204,0)),INDEX(SAISIE!$D$5:$D$204,MATCH(MINIFS(SAISIE!$E$5:$E$204,SAISIE!$B$5:$B$204,"*Vent Av./Arr.*",SAISIE!$F$5:$F$204,$G$43),SAISIE!$E$5:$E$204,0))),"-"))</f>
        <v/>
      </c>
      <c r="D49" s="9">
        <f>IF(OR($G$43="",NOT(COUNTIFS(SAISIE!$B$5:$B$204,"*Vent Av./Arr.*",SAISIE!$F$5:$F$204,$G$43)&gt;0)),"",IFERROR(IF(MINIFS(SAISIE!$E$5:$E$204,SAISIE!$B$5:$B$204,"*Vent Av./Arr.*",SAISIE!$F$5:$F$204,$G$43)&gt;=0,0,MINIFS(SAISIE!$E$5:$E$204,SAISIE!$B$5:$B$204,"*Vent Av./Arr.*",SAISIE!$F$5:$F$204,$G$43)),"-"))</f>
        <v/>
      </c>
      <c r="E49" s="9">
        <f>IF($G$43="","",IF(OR(D49="",D49="-"),"",IF(D49&gt;0,"(soulevement)",IF(D49&lt;0,"(compression)","-"))))</f>
        <v/>
      </c>
    </row>
    <row r="50">
      <c r="A50" s="8">
        <f>IF(OR($G$43="",NOT(MAXIFS(SAISIE!$E$5:$E$204,SAISIE!$B$5:$B$204,"*Vent Av./Arr.*",SAISIE!$F$5:$F$204,$G$43)&gt;0)),"","Vent Av./Arr.")</f>
        <v/>
      </c>
      <c r="B50" s="9">
        <f>IF(OR($G$43="",NOT(MAXIFS(SAISIE!$E$5:$E$204,SAISIE!$B$5:$B$204,"*Vent Av./Arr.*",SAISIE!$F$5:$F$204,$G$43)&gt;0)),"",IFERROR(INDEX(SAISIE!$C$5:$C$204,MATCH(MAXIFS(SAISIE!$E$5:$E$204,SAISIE!$B$5:$B$204,"*Vent Av./Arr.*",SAISIE!$F$5:$F$204,$G$43),SAISIE!$E$5:$E$204,0)),"-"))</f>
        <v/>
      </c>
      <c r="C50" s="9">
        <f>IF(OR($G$43="",NOT(MAXIFS(SAISIE!$E$5:$E$204,SAISIE!$B$5:$B$204,"*Vent Av./Arr.*",SAISIE!$F$5:$F$204,$G$43)&gt;0)),"",IFERROR(INDEX(SAISIE!$D$5:$D$204,MATCH(MAXIFS(SAISIE!$E$5:$E$204,SAISIE!$B$5:$B$204,"*Vent Av./Arr.*",SAISIE!$F$5:$F$204,$G$43),SAISIE!$E$5:$E$204,0)),"-"))</f>
        <v/>
      </c>
      <c r="D50" s="9">
        <f>IF(OR($G$43="",NOT(MAXIFS(SAISIE!$E$5:$E$204,SAISIE!$B$5:$B$204,"*Vent Av./Arr.*",SAISIE!$F$5:$F$204,$G$43)&gt;0)),"",IFERROR(MAXIFS(SAISIE!$E$5:$E$204,SAISIE!$B$5:$B$204,"*Vent Av./Arr.*",SAISIE!$F$5:$F$204,$G$43),"-"))</f>
        <v/>
      </c>
      <c r="E50" s="9">
        <f>IF($G$43="","",IF(OR(D50="",D50="-"),"",IF(D50&gt;0,"(soulevement)",IF(D50&lt;0,"(compression)","-"))))</f>
        <v/>
      </c>
    </row>
    <row r="51">
      <c r="A51" s="8">
        <f>IF(OR($G$43="",NOT(COUNTIFS(SAISIE!$B$5:$B$204,"*Vent Arr./Av.*",SAISIE!$F$5:$F$204,$G$43)&gt;0)),"","Vent Arr./Av.")</f>
        <v/>
      </c>
      <c r="B51" s="9">
        <f>IF(OR($G$43="",NOT(COUNTIFS(SAISIE!$B$5:$B$204,"*Vent Arr./Av.*",SAISIE!$F$5:$F$204,$G$43)&gt;0)),"",IFERROR(IF(MINIFS(SAISIE!$E$5:$E$204,SAISIE!$B$5:$B$204,"*Vent Arr./Av.*",SAISIE!$F$5:$F$204,$G$43)&gt;=0,MAXIFS(SAISIE!$C$5:$C$204,SAISIE!$B$5:$B$204,"*Vent Arr./Av.*",SAISIE!$F$5:$F$204,$G$43),INDEX(SAISIE!$C$5:$C$204,MATCH(MINIFS(SAISIE!$E$5:$E$204,SAISIE!$B$5:$B$204,"*Vent Arr./Av.*",SAISIE!$F$5:$F$204,$G$43),SAISIE!$E$5:$E$204,0))),"-"))</f>
        <v/>
      </c>
      <c r="C51" s="9">
        <f>IF(OR($G$43="",NOT(COUNTIFS(SAISIE!$B$5:$B$204,"*Vent Arr./Av.*",SAISIE!$F$5:$F$204,$G$43)&gt;0)),"",IFERROR(IF(MINIFS(SAISIE!$E$5:$E$204,SAISIE!$B$5:$B$204,"*Vent Arr./Av.*",SAISIE!$F$5:$F$204,$G$43)&gt;=0,INDEX(SAISIE!$D$5:$D$204,MATCH(MAXIFS(SAISIE!$C$5:$C$204,SAISIE!$B$5:$B$204,"*Vent Arr./Av.*",SAISIE!$F$5:$F$204,$G$43),SAISIE!$C$5:$C$204,0)),INDEX(SAISIE!$D$5:$D$204,MATCH(MINIFS(SAISIE!$E$5:$E$204,SAISIE!$B$5:$B$204,"*Vent Arr./Av.*",SAISIE!$F$5:$F$204,$G$43),SAISIE!$E$5:$E$204,0))),"-"))</f>
        <v/>
      </c>
      <c r="D51" s="9">
        <f>IF(OR($G$43="",NOT(COUNTIFS(SAISIE!$B$5:$B$204,"*Vent Arr./Av.*",SAISIE!$F$5:$F$204,$G$43)&gt;0)),"",IFERROR(IF(MINIFS(SAISIE!$E$5:$E$204,SAISIE!$B$5:$B$204,"*Vent Arr./Av.*",SAISIE!$F$5:$F$204,$G$43)&gt;=0,0,MINIFS(SAISIE!$E$5:$E$204,SAISIE!$B$5:$B$204,"*Vent Arr./Av.*",SAISIE!$F$5:$F$204,$G$43)),"-"))</f>
        <v/>
      </c>
      <c r="E51" s="9">
        <f>IF($G$43="","",IF(OR(D51="",D51="-"),"",IF(D51&gt;0,"(soulevement)",IF(D51&lt;0,"(compression)","-"))))</f>
        <v/>
      </c>
    </row>
    <row r="52">
      <c r="A52" s="8">
        <f>IF(OR($G$43="",NOT(MAXIFS(SAISIE!$E$5:$E$204,SAISIE!$B$5:$B$204,"*Vent Arr./Av.*",SAISIE!$F$5:$F$204,$G$43)&gt;0)),"","Vent Arr./Av.")</f>
        <v/>
      </c>
      <c r="B52" s="9">
        <f>IF(OR($G$43="",NOT(MAXIFS(SAISIE!$E$5:$E$204,SAISIE!$B$5:$B$204,"*Vent Arr./Av.*",SAISIE!$F$5:$F$204,$G$43)&gt;0)),"",IFERROR(INDEX(SAISIE!$C$5:$C$204,MATCH(MAXIFS(SAISIE!$E$5:$E$204,SAISIE!$B$5:$B$204,"*Vent Arr./Av.*",SAISIE!$F$5:$F$204,$G$43),SAISIE!$E$5:$E$204,0)),"-"))</f>
        <v/>
      </c>
      <c r="C52" s="9">
        <f>IF(OR($G$43="",NOT(MAXIFS(SAISIE!$E$5:$E$204,SAISIE!$B$5:$B$204,"*Vent Arr./Av.*",SAISIE!$F$5:$F$204,$G$43)&gt;0)),"",IFERROR(INDEX(SAISIE!$D$5:$D$204,MATCH(MAXIFS(SAISIE!$E$5:$E$204,SAISIE!$B$5:$B$204,"*Vent Arr./Av.*",SAISIE!$F$5:$F$204,$G$43),SAISIE!$E$5:$E$204,0)),"-"))</f>
        <v/>
      </c>
      <c r="D52" s="9">
        <f>IF(OR($G$43="",NOT(MAXIFS(SAISIE!$E$5:$E$204,SAISIE!$B$5:$B$204,"*Vent Arr./Av.*",SAISIE!$F$5:$F$204,$G$43)&gt;0)),"",IFERROR(MAXIFS(SAISIE!$E$5:$E$204,SAISIE!$B$5:$B$204,"*Vent Arr./Av.*",SAISIE!$F$5:$F$204,$G$43),"-"))</f>
        <v/>
      </c>
      <c r="E52" s="9">
        <f>IF($G$43="","",IF(OR(D52="",D52="-"),"",IF(D52&gt;0,"(soulevement)",IF(D52&lt;0,"(compression)","-"))))</f>
        <v/>
      </c>
    </row>
    <row r="53">
      <c r="A53" s="8">
        <f>IF(OR($G$43="",NOT(TRUE)),"","Neige normale")</f>
        <v/>
      </c>
      <c r="B53" s="9">
        <f>IF($G$43="","",IFERROR(INDEX(SAISIE!$C$5:$C$204,MATCH(MINIFS(SAISIE!$E$5:$E$204,SAISIE!$B$5:$B$204,"*Neige*",SAISIE!$B$5:$B$204,"&lt;&gt;*accidentel*",SAISIE!$F$5:$F$204,$G$43),SAISIE!$E$5:$E$204,0)),"-"))</f>
        <v/>
      </c>
      <c r="C53" s="9">
        <f>IF($G$43="","",IFERROR(INDEX(SAISIE!$D$5:$D$204,MATCH(MINIFS(SAISIE!$E$5:$E$204,SAISIE!$B$5:$B$204,"*Neige*",SAISIE!$B$5:$B$204,"&lt;&gt;*accidentel*",SAISIE!$F$5:$F$204,$G$43),SAISIE!$E$5:$E$204,0)),"-"))</f>
        <v/>
      </c>
      <c r="D53" s="9">
        <f>IF($G$43="","",IFERROR(INDEX(SAISIE!$E$5:$E$204,MATCH(MINIFS(SAISIE!$E$5:$E$204,SAISIE!$B$5:$B$204,"*Neige*",SAISIE!$B$5:$B$204,"&lt;&gt;*accidentel*",SAISIE!$F$5:$F$204,$G$43),SAISIE!$E$5:$E$204,0)),"-"))</f>
        <v/>
      </c>
      <c r="E53" s="9">
        <f>IF($G$43="","",IF(OR(D53="",D53="-"),"",IF(D53&gt;0,"(soulevement)",IF(D53&lt;0,"(compression)","-"))))</f>
        <v/>
      </c>
    </row>
    <row r="54">
      <c r="A54" s="8">
        <f>IF(OR($G$43="",NOT(TRUE)),"","Neige accidentelle")</f>
        <v/>
      </c>
      <c r="B54" s="9">
        <f>IF($G$43="","",IFERROR(LOOKUP(2,1/((SAISIE!$F$5:$F$204=$G$43)*(ISNUMBER(SEARCH("accidentel",SAISIE!$B$5:$B$204)))),SAISIE!$C$5:$C$204),"-"))</f>
        <v/>
      </c>
      <c r="C54" s="9">
        <f>IF($G$43="","",IFERROR(LOOKUP(2,1/((SAISIE!$F$5:$F$204=$G$43)*(ISNUMBER(SEARCH("accidentel",SAISIE!$B$5:$B$204)))),SAISIE!$D$5:$D$204),"-"))</f>
        <v/>
      </c>
      <c r="D54" s="9">
        <f>IF($G$43="","",IFERROR(LOOKUP(2,1/((SAISIE!$F$5:$F$204=$G$43)*(ISNUMBER(SEARCH("accidentel",SAISIE!$B$5:$B$204)))),SAISIE!$E$5:$E$204),"-"))</f>
        <v/>
      </c>
      <c r="E54" s="9">
        <f>IF($G$43="","",IF(OR(D54="",D54="-"),"",IF(D54&gt;0,"(soulevement)",IF(D54&lt;0,"(compression)","-"))))</f>
        <v/>
      </c>
    </row>
    <row r="55">
      <c r="A55" s="6">
        <f>IF($G$55="","","Noeud "&amp;$G$55)</f>
        <v/>
      </c>
      <c r="B55" s="7" t="n"/>
      <c r="C55" s="7" t="n"/>
      <c r="D55" s="7" t="n"/>
      <c r="E55" s="7" t="n"/>
      <c r="G55">
        <f>IFERROR(INDEX(SAISIE!$F$5:$F$204,AGGREGATE(15,6,ROW(SAISIE!$F$5:$F$204)-ROW(SAISIE!$F$5)+1/(SAISIE!$F$5:$F$204&lt;&gt;"")/(COUNTIF($G$4:G54,SAISIE!$F$5:$F$204)=0),1)),"")</f>
        <v/>
      </c>
    </row>
    <row r="56">
      <c r="A56" s="8">
        <f>IF(OR($G$55="",NOT(TRUE)),"","Couverture")</f>
        <v/>
      </c>
      <c r="B56" s="9">
        <f>IF($G$55="","",IFERROR(IFERROR(LOOKUP(2,1/((SAISIE!$F$5:$F$204=$G$55)*(LEFT(SAISIE!$B$5:$B$204,2)="G ")),SAISIE!$C$5:$C$204),LOOKUP(2,1/((SAISIE!$F$5:$F$204=$G$55)*(ISNUMBER(SEARCH("Couverture",SAISIE!$B$5:$B$204)))),SAISIE!$C$5:$C$204)),"-"))</f>
        <v/>
      </c>
      <c r="C56" s="9">
        <f>IF($G$55="","",IFERROR(IFERROR(LOOKUP(2,1/((SAISIE!$F$5:$F$204=$G$55)*(LEFT(SAISIE!$B$5:$B$204,2)="G ")),SAISIE!$D$5:$D$204),LOOKUP(2,1/((SAISIE!$F$5:$F$204=$G$55)*(ISNUMBER(SEARCH("Couverture",SAISIE!$B$5:$B$204)))),SAISIE!$D$5:$D$204)),"-"))</f>
        <v/>
      </c>
      <c r="D56" s="9">
        <f>IF($G$55="","",IFERROR(IFERROR(LOOKUP(2,1/((SAISIE!$F$5:$F$204=$G$55)*(LEFT(SAISIE!$B$5:$B$204,2)="G ")),SAISIE!$E$5:$E$204),LOOKUP(2,1/((SAISIE!$F$5:$F$204=$G$55)*(ISNUMBER(SEARCH("Couverture",SAISIE!$B$5:$B$204)))),SAISIE!$E$5:$E$204)),"-"))</f>
        <v/>
      </c>
      <c r="E56" s="9">
        <f>IF($G$55="","",IF(OR(D56="",D56="-"),"",IF(D56&gt;0,"(soulevement)",IF(D56&lt;0,"(compression)","-"))))</f>
        <v/>
      </c>
    </row>
    <row r="57">
      <c r="A57" s="8">
        <f>IF(OR($G$55="",NOT(COUNTIFS(SAISIE!$B$5:$B$204,"*Vent G/D*",SAISIE!$F$5:$F$204,$G$55)&gt;0)),"","Vent G/D")</f>
        <v/>
      </c>
      <c r="B57" s="9">
        <f>IF(OR($G$55="",NOT(COUNTIFS(SAISIE!$B$5:$B$204,"*Vent G/D*",SAISIE!$F$5:$F$204,$G$55)&gt;0)),"",IFERROR(IF(MINIFS(SAISIE!$E$5:$E$204,SAISIE!$B$5:$B$204,"*Vent G/D*",SAISIE!$F$5:$F$204,$G$55)&gt;=0,MAXIFS(SAISIE!$C$5:$C$204,SAISIE!$B$5:$B$204,"*Vent G/D*",SAISIE!$F$5:$F$204,$G$55),INDEX(SAISIE!$C$5:$C$204,MATCH(MINIFS(SAISIE!$E$5:$E$204,SAISIE!$B$5:$B$204,"*Vent G/D*",SAISIE!$F$5:$F$204,$G$55),SAISIE!$E$5:$E$204,0))),"-"))</f>
        <v/>
      </c>
      <c r="C57" s="9">
        <f>IF(OR($G$55="",NOT(COUNTIFS(SAISIE!$B$5:$B$204,"*Vent G/D*",SAISIE!$F$5:$F$204,$G$55)&gt;0)),"",IFERROR(IF(MINIFS(SAISIE!$E$5:$E$204,SAISIE!$B$5:$B$204,"*Vent G/D*",SAISIE!$F$5:$F$204,$G$55)&gt;=0,INDEX(SAISIE!$D$5:$D$204,MATCH(MAXIFS(SAISIE!$C$5:$C$204,SAISIE!$B$5:$B$204,"*Vent G/D*",SAISIE!$F$5:$F$204,$G$55),SAISIE!$C$5:$C$204,0)),INDEX(SAISIE!$D$5:$D$204,MATCH(MINIFS(SAISIE!$E$5:$E$204,SAISIE!$B$5:$B$204,"*Vent G/D*",SAISIE!$F$5:$F$204,$G$55),SAISIE!$E$5:$E$204,0))),"-"))</f>
        <v/>
      </c>
      <c r="D57" s="9">
        <f>IF(OR($G$55="",NOT(COUNTIFS(SAISIE!$B$5:$B$204,"*Vent G/D*",SAISIE!$F$5:$F$204,$G$55)&gt;0)),"",IFERROR(IF(MINIFS(SAISIE!$E$5:$E$204,SAISIE!$B$5:$B$204,"*Vent G/D*",SAISIE!$F$5:$F$204,$G$55)&gt;=0,0,MINIFS(SAISIE!$E$5:$E$204,SAISIE!$B$5:$B$204,"*Vent G/D*",SAISIE!$F$5:$F$204,$G$55)),"-"))</f>
        <v/>
      </c>
      <c r="E57" s="9">
        <f>IF($G$55="","",IF(OR(D57="",D57="-"),"",IF(D57&gt;0,"(soulevement)",IF(D57&lt;0,"(compression)","-"))))</f>
        <v/>
      </c>
    </row>
    <row r="58">
      <c r="A58" s="8">
        <f>IF(OR($G$55="",NOT(MAXIFS(SAISIE!$E$5:$E$204,SAISIE!$B$5:$B$204,"*Vent G/D*",SAISIE!$F$5:$F$204,$G$55)&gt;0)),"","Vent G/D")</f>
        <v/>
      </c>
      <c r="B58" s="9">
        <f>IF(OR($G$55="",NOT(MAXIFS(SAISIE!$E$5:$E$204,SAISIE!$B$5:$B$204,"*Vent G/D*",SAISIE!$F$5:$F$204,$G$55)&gt;0)),"",IFERROR(INDEX(SAISIE!$C$5:$C$204,MATCH(MAXIFS(SAISIE!$E$5:$E$204,SAISIE!$B$5:$B$204,"*Vent G/D*",SAISIE!$F$5:$F$204,$G$55),SAISIE!$E$5:$E$204,0)),"-"))</f>
        <v/>
      </c>
      <c r="C58" s="9">
        <f>IF(OR($G$55="",NOT(MAXIFS(SAISIE!$E$5:$E$204,SAISIE!$B$5:$B$204,"*Vent G/D*",SAISIE!$F$5:$F$204,$G$55)&gt;0)),"",IFERROR(INDEX(SAISIE!$D$5:$D$204,MATCH(MAXIFS(SAISIE!$E$5:$E$204,SAISIE!$B$5:$B$204,"*Vent G/D*",SAISIE!$F$5:$F$204,$G$55),SAISIE!$E$5:$E$204,0)),"-"))</f>
        <v/>
      </c>
      <c r="D58" s="9">
        <f>IF(OR($G$55="",NOT(MAXIFS(SAISIE!$E$5:$E$204,SAISIE!$B$5:$B$204,"*Vent G/D*",SAISIE!$F$5:$F$204,$G$55)&gt;0)),"",IFERROR(MAXIFS(SAISIE!$E$5:$E$204,SAISIE!$B$5:$B$204,"*Vent G/D*",SAISIE!$F$5:$F$204,$G$55),"-"))</f>
        <v/>
      </c>
      <c r="E58" s="9">
        <f>IF($G$55="","",IF(OR(D58="",D58="-"),"",IF(D58&gt;0,"(soulevement)",IF(D58&lt;0,"(compression)","-"))))</f>
        <v/>
      </c>
    </row>
    <row r="59">
      <c r="A59" s="8">
        <f>IF(OR($G$55="",NOT(COUNTIFS(SAISIE!$B$5:$B$204,"*Vent D/G*",SAISIE!$F$5:$F$204,$G$55)&gt;0)),"","Vent D/G")</f>
        <v/>
      </c>
      <c r="B59" s="9">
        <f>IF(OR($G$55="",NOT(COUNTIFS(SAISIE!$B$5:$B$204,"*Vent D/G*",SAISIE!$F$5:$F$204,$G$55)&gt;0)),"",IFERROR(IF(MINIFS(SAISIE!$E$5:$E$204,SAISIE!$B$5:$B$204,"*Vent D/G*",SAISIE!$F$5:$F$204,$G$55)&gt;=0,MAXIFS(SAISIE!$C$5:$C$204,SAISIE!$B$5:$B$204,"*Vent D/G*",SAISIE!$F$5:$F$204,$G$55),INDEX(SAISIE!$C$5:$C$204,MATCH(MINIFS(SAISIE!$E$5:$E$204,SAISIE!$B$5:$B$204,"*Vent D/G*",SAISIE!$F$5:$F$204,$G$55),SAISIE!$E$5:$E$204,0))),"-"))</f>
        <v/>
      </c>
      <c r="C59" s="9">
        <f>IF(OR($G$55="",NOT(COUNTIFS(SAISIE!$B$5:$B$204,"*Vent D/G*",SAISIE!$F$5:$F$204,$G$55)&gt;0)),"",IFERROR(IF(MINIFS(SAISIE!$E$5:$E$204,SAISIE!$B$5:$B$204,"*Vent D/G*",SAISIE!$F$5:$F$204,$G$55)&gt;=0,INDEX(SAISIE!$D$5:$D$204,MATCH(MAXIFS(SAISIE!$C$5:$C$204,SAISIE!$B$5:$B$204,"*Vent D/G*",SAISIE!$F$5:$F$204,$G$55),SAISIE!$C$5:$C$204,0)),INDEX(SAISIE!$D$5:$D$204,MATCH(MINIFS(SAISIE!$E$5:$E$204,SAISIE!$B$5:$B$204,"*Vent D/G*",SAISIE!$F$5:$F$204,$G$55),SAISIE!$E$5:$E$204,0))),"-"))</f>
        <v/>
      </c>
      <c r="D59" s="9">
        <f>IF(OR($G$55="",NOT(COUNTIFS(SAISIE!$B$5:$B$204,"*Vent D/G*",SAISIE!$F$5:$F$204,$G$55)&gt;0)),"",IFERROR(IF(MINIFS(SAISIE!$E$5:$E$204,SAISIE!$B$5:$B$204,"*Vent D/G*",SAISIE!$F$5:$F$204,$G$55)&gt;=0,0,MINIFS(SAISIE!$E$5:$E$204,SAISIE!$B$5:$B$204,"*Vent D/G*",SAISIE!$F$5:$F$204,$G$55)),"-"))</f>
        <v/>
      </c>
      <c r="E59" s="9">
        <f>IF($G$55="","",IF(OR(D59="",D59="-"),"",IF(D59&gt;0,"(soulevement)",IF(D59&lt;0,"(compression)","-"))))</f>
        <v/>
      </c>
    </row>
    <row r="60">
      <c r="A60" s="8">
        <f>IF(OR($G$55="",NOT(MAXIFS(SAISIE!$E$5:$E$204,SAISIE!$B$5:$B$204,"*Vent D/G*",SAISIE!$F$5:$F$204,$G$55)&gt;0)),"","Vent D/G")</f>
        <v/>
      </c>
      <c r="B60" s="9">
        <f>IF(OR($G$55="",NOT(MAXIFS(SAISIE!$E$5:$E$204,SAISIE!$B$5:$B$204,"*Vent D/G*",SAISIE!$F$5:$F$204,$G$55)&gt;0)),"",IFERROR(INDEX(SAISIE!$C$5:$C$204,MATCH(MAXIFS(SAISIE!$E$5:$E$204,SAISIE!$B$5:$B$204,"*Vent D/G*",SAISIE!$F$5:$F$204,$G$55),SAISIE!$E$5:$E$204,0)),"-"))</f>
        <v/>
      </c>
      <c r="C60" s="9">
        <f>IF(OR($G$55="",NOT(MAXIFS(SAISIE!$E$5:$E$204,SAISIE!$B$5:$B$204,"*Vent D/G*",SAISIE!$F$5:$F$204,$G$55)&gt;0)),"",IFERROR(INDEX(SAISIE!$D$5:$D$204,MATCH(MAXIFS(SAISIE!$E$5:$E$204,SAISIE!$B$5:$B$204,"*Vent D/G*",SAISIE!$F$5:$F$204,$G$55),SAISIE!$E$5:$E$204,0)),"-"))</f>
        <v/>
      </c>
      <c r="D60" s="9">
        <f>IF(OR($G$55="",NOT(MAXIFS(SAISIE!$E$5:$E$204,SAISIE!$B$5:$B$204,"*Vent D/G*",SAISIE!$F$5:$F$204,$G$55)&gt;0)),"",IFERROR(MAXIFS(SAISIE!$E$5:$E$204,SAISIE!$B$5:$B$204,"*Vent D/G*",SAISIE!$F$5:$F$204,$G$55),"-"))</f>
        <v/>
      </c>
      <c r="E60" s="9">
        <f>IF($G$55="","",IF(OR(D60="",D60="-"),"",IF(D60&gt;0,"(soulevement)",IF(D60&lt;0,"(compression)","-"))))</f>
        <v/>
      </c>
    </row>
    <row r="61">
      <c r="A61" s="8">
        <f>IF(OR($G$55="",NOT(COUNTIFS(SAISIE!$B$5:$B$204,"*Vent Av./Arr.*",SAISIE!$F$5:$F$204,$G$55)&gt;0)),"","Vent Av./Arr.")</f>
        <v/>
      </c>
      <c r="B61" s="9">
        <f>IF(OR($G$55="",NOT(COUNTIFS(SAISIE!$B$5:$B$204,"*Vent Av./Arr.*",SAISIE!$F$5:$F$204,$G$55)&gt;0)),"",IFERROR(IF(MINIFS(SAISIE!$E$5:$E$204,SAISIE!$B$5:$B$204,"*Vent Av./Arr.*",SAISIE!$F$5:$F$204,$G$55)&gt;=0,MAXIFS(SAISIE!$C$5:$C$204,SAISIE!$B$5:$B$204,"*Vent Av./Arr.*",SAISIE!$F$5:$F$204,$G$55),INDEX(SAISIE!$C$5:$C$204,MATCH(MINIFS(SAISIE!$E$5:$E$204,SAISIE!$B$5:$B$204,"*Vent Av./Arr.*",SAISIE!$F$5:$F$204,$G$55),SAISIE!$E$5:$E$204,0))),"-"))</f>
        <v/>
      </c>
      <c r="C61" s="9">
        <f>IF(OR($G$55="",NOT(COUNTIFS(SAISIE!$B$5:$B$204,"*Vent Av./Arr.*",SAISIE!$F$5:$F$204,$G$55)&gt;0)),"",IFERROR(IF(MINIFS(SAISIE!$E$5:$E$204,SAISIE!$B$5:$B$204,"*Vent Av./Arr.*",SAISIE!$F$5:$F$204,$G$55)&gt;=0,INDEX(SAISIE!$D$5:$D$204,MATCH(MAXIFS(SAISIE!$C$5:$C$204,SAISIE!$B$5:$B$204,"*Vent Av./Arr.*",SAISIE!$F$5:$F$204,$G$55),SAISIE!$C$5:$C$204,0)),INDEX(SAISIE!$D$5:$D$204,MATCH(MINIFS(SAISIE!$E$5:$E$204,SAISIE!$B$5:$B$204,"*Vent Av./Arr.*",SAISIE!$F$5:$F$204,$G$55),SAISIE!$E$5:$E$204,0))),"-"))</f>
        <v/>
      </c>
      <c r="D61" s="9">
        <f>IF(OR($G$55="",NOT(COUNTIFS(SAISIE!$B$5:$B$204,"*Vent Av./Arr.*",SAISIE!$F$5:$F$204,$G$55)&gt;0)),"",IFERROR(IF(MINIFS(SAISIE!$E$5:$E$204,SAISIE!$B$5:$B$204,"*Vent Av./Arr.*",SAISIE!$F$5:$F$204,$G$55)&gt;=0,0,MINIFS(SAISIE!$E$5:$E$204,SAISIE!$B$5:$B$204,"*Vent Av./Arr.*",SAISIE!$F$5:$F$204,$G$55)),"-"))</f>
        <v/>
      </c>
      <c r="E61" s="9">
        <f>IF($G$55="","",IF(OR(D61="",D61="-"),"",IF(D61&gt;0,"(soulevement)",IF(D61&lt;0,"(compression)","-"))))</f>
        <v/>
      </c>
    </row>
    <row r="62">
      <c r="A62" s="8">
        <f>IF(OR($G$55="",NOT(MAXIFS(SAISIE!$E$5:$E$204,SAISIE!$B$5:$B$204,"*Vent Av./Arr.*",SAISIE!$F$5:$F$204,$G$55)&gt;0)),"","Vent Av./Arr.")</f>
        <v/>
      </c>
      <c r="B62" s="9">
        <f>IF(OR($G$55="",NOT(MAXIFS(SAISIE!$E$5:$E$204,SAISIE!$B$5:$B$204,"*Vent Av./Arr.*",SAISIE!$F$5:$F$204,$G$55)&gt;0)),"",IFERROR(INDEX(SAISIE!$C$5:$C$204,MATCH(MAXIFS(SAISIE!$E$5:$E$204,SAISIE!$B$5:$B$204,"*Vent Av./Arr.*",SAISIE!$F$5:$F$204,$G$55),SAISIE!$E$5:$E$204,0)),"-"))</f>
        <v/>
      </c>
      <c r="C62" s="9">
        <f>IF(OR($G$55="",NOT(MAXIFS(SAISIE!$E$5:$E$204,SAISIE!$B$5:$B$204,"*Vent Av./Arr.*",SAISIE!$F$5:$F$204,$G$55)&gt;0)),"",IFERROR(INDEX(SAISIE!$D$5:$D$204,MATCH(MAXIFS(SAISIE!$E$5:$E$204,SAISIE!$B$5:$B$204,"*Vent Av./Arr.*",SAISIE!$F$5:$F$204,$G$55),SAISIE!$E$5:$E$204,0)),"-"))</f>
        <v/>
      </c>
      <c r="D62" s="9">
        <f>IF(OR($G$55="",NOT(MAXIFS(SAISIE!$E$5:$E$204,SAISIE!$B$5:$B$204,"*Vent Av./Arr.*",SAISIE!$F$5:$F$204,$G$55)&gt;0)),"",IFERROR(MAXIFS(SAISIE!$E$5:$E$204,SAISIE!$B$5:$B$204,"*Vent Av./Arr.*",SAISIE!$F$5:$F$204,$G$55),"-"))</f>
        <v/>
      </c>
      <c r="E62" s="9">
        <f>IF($G$55="","",IF(OR(D62="",D62="-"),"",IF(D62&gt;0,"(soulevement)",IF(D62&lt;0,"(compression)","-"))))</f>
        <v/>
      </c>
    </row>
    <row r="63">
      <c r="A63" s="8">
        <f>IF(OR($G$55="",NOT(COUNTIFS(SAISIE!$B$5:$B$204,"*Vent Arr./Av.*",SAISIE!$F$5:$F$204,$G$55)&gt;0)),"","Vent Arr./Av.")</f>
        <v/>
      </c>
      <c r="B63" s="9">
        <f>IF(OR($G$55="",NOT(COUNTIFS(SAISIE!$B$5:$B$204,"*Vent Arr./Av.*",SAISIE!$F$5:$F$204,$G$55)&gt;0)),"",IFERROR(IF(MINIFS(SAISIE!$E$5:$E$204,SAISIE!$B$5:$B$204,"*Vent Arr./Av.*",SAISIE!$F$5:$F$204,$G$55)&gt;=0,MAXIFS(SAISIE!$C$5:$C$204,SAISIE!$B$5:$B$204,"*Vent Arr./Av.*",SAISIE!$F$5:$F$204,$G$55),INDEX(SAISIE!$C$5:$C$204,MATCH(MINIFS(SAISIE!$E$5:$E$204,SAISIE!$B$5:$B$204,"*Vent Arr./Av.*",SAISIE!$F$5:$F$204,$G$55),SAISIE!$E$5:$E$204,0))),"-"))</f>
        <v/>
      </c>
      <c r="C63" s="9">
        <f>IF(OR($G$55="",NOT(COUNTIFS(SAISIE!$B$5:$B$204,"*Vent Arr./Av.*",SAISIE!$F$5:$F$204,$G$55)&gt;0)),"",IFERROR(IF(MINIFS(SAISIE!$E$5:$E$204,SAISIE!$B$5:$B$204,"*Vent Arr./Av.*",SAISIE!$F$5:$F$204,$G$55)&gt;=0,INDEX(SAISIE!$D$5:$D$204,MATCH(MAXIFS(SAISIE!$C$5:$C$204,SAISIE!$B$5:$B$204,"*Vent Arr./Av.*",SAISIE!$F$5:$F$204,$G$55),SAISIE!$C$5:$C$204,0)),INDEX(SAISIE!$D$5:$D$204,MATCH(MINIFS(SAISIE!$E$5:$E$204,SAISIE!$B$5:$B$204,"*Vent Arr./Av.*",SAISIE!$F$5:$F$204,$G$55),SAISIE!$E$5:$E$204,0))),"-"))</f>
        <v/>
      </c>
      <c r="D63" s="9">
        <f>IF(OR($G$55="",NOT(COUNTIFS(SAISIE!$B$5:$B$204,"*Vent Arr./Av.*",SAISIE!$F$5:$F$204,$G$55)&gt;0)),"",IFERROR(IF(MINIFS(SAISIE!$E$5:$E$204,SAISIE!$B$5:$B$204,"*Vent Arr./Av.*",SAISIE!$F$5:$F$204,$G$55)&gt;=0,0,MINIFS(SAISIE!$E$5:$E$204,SAISIE!$B$5:$B$204,"*Vent Arr./Av.*",SAISIE!$F$5:$F$204,$G$55)),"-"))</f>
        <v/>
      </c>
      <c r="E63" s="9">
        <f>IF($G$55="","",IF(OR(D63="",D63="-"),"",IF(D63&gt;0,"(soulevement)",IF(D63&lt;0,"(compression)","-"))))</f>
        <v/>
      </c>
    </row>
    <row r="64">
      <c r="A64" s="8">
        <f>IF(OR($G$55="",NOT(MAXIFS(SAISIE!$E$5:$E$204,SAISIE!$B$5:$B$204,"*Vent Arr./Av.*",SAISIE!$F$5:$F$204,$G$55)&gt;0)),"","Vent Arr./Av.")</f>
        <v/>
      </c>
      <c r="B64" s="9">
        <f>IF(OR($G$55="",NOT(MAXIFS(SAISIE!$E$5:$E$204,SAISIE!$B$5:$B$204,"*Vent Arr./Av.*",SAISIE!$F$5:$F$204,$G$55)&gt;0)),"",IFERROR(INDEX(SAISIE!$C$5:$C$204,MATCH(MAXIFS(SAISIE!$E$5:$E$204,SAISIE!$B$5:$B$204,"*Vent Arr./Av.*",SAISIE!$F$5:$F$204,$G$55),SAISIE!$E$5:$E$204,0)),"-"))</f>
        <v/>
      </c>
      <c r="C64" s="9">
        <f>IF(OR($G$55="",NOT(MAXIFS(SAISIE!$E$5:$E$204,SAISIE!$B$5:$B$204,"*Vent Arr./Av.*",SAISIE!$F$5:$F$204,$G$55)&gt;0)),"",IFERROR(INDEX(SAISIE!$D$5:$D$204,MATCH(MAXIFS(SAISIE!$E$5:$E$204,SAISIE!$B$5:$B$204,"*Vent Arr./Av.*",SAISIE!$F$5:$F$204,$G$55),SAISIE!$E$5:$E$204,0)),"-"))</f>
        <v/>
      </c>
      <c r="D64" s="9">
        <f>IF(OR($G$55="",NOT(MAXIFS(SAISIE!$E$5:$E$204,SAISIE!$B$5:$B$204,"*Vent Arr./Av.*",SAISIE!$F$5:$F$204,$G$55)&gt;0)),"",IFERROR(MAXIFS(SAISIE!$E$5:$E$204,SAISIE!$B$5:$B$204,"*Vent Arr./Av.*",SAISIE!$F$5:$F$204,$G$55),"-"))</f>
        <v/>
      </c>
      <c r="E64" s="9">
        <f>IF($G$55="","",IF(OR(D64="",D64="-"),"",IF(D64&gt;0,"(soulevement)",IF(D64&lt;0,"(compression)","-"))))</f>
        <v/>
      </c>
    </row>
    <row r="65">
      <c r="A65" s="8">
        <f>IF(OR($G$55="",NOT(TRUE)),"","Neige normale")</f>
        <v/>
      </c>
      <c r="B65" s="9">
        <f>IF($G$55="","",IFERROR(INDEX(SAISIE!$C$5:$C$204,MATCH(MINIFS(SAISIE!$E$5:$E$204,SAISIE!$B$5:$B$204,"*Neige*",SAISIE!$B$5:$B$204,"&lt;&gt;*accidentel*",SAISIE!$F$5:$F$204,$G$55),SAISIE!$E$5:$E$204,0)),"-"))</f>
        <v/>
      </c>
      <c r="C65" s="9">
        <f>IF($G$55="","",IFERROR(INDEX(SAISIE!$D$5:$D$204,MATCH(MINIFS(SAISIE!$E$5:$E$204,SAISIE!$B$5:$B$204,"*Neige*",SAISIE!$B$5:$B$204,"&lt;&gt;*accidentel*",SAISIE!$F$5:$F$204,$G$55),SAISIE!$E$5:$E$204,0)),"-"))</f>
        <v/>
      </c>
      <c r="D65" s="9">
        <f>IF($G$55="","",IFERROR(INDEX(SAISIE!$E$5:$E$204,MATCH(MINIFS(SAISIE!$E$5:$E$204,SAISIE!$B$5:$B$204,"*Neige*",SAISIE!$B$5:$B$204,"&lt;&gt;*accidentel*",SAISIE!$F$5:$F$204,$G$55),SAISIE!$E$5:$E$204,0)),"-"))</f>
        <v/>
      </c>
      <c r="E65" s="9">
        <f>IF($G$55="","",IF(OR(D65="",D65="-"),"",IF(D65&gt;0,"(soulevement)",IF(D65&lt;0,"(compression)","-"))))</f>
        <v/>
      </c>
    </row>
    <row r="66">
      <c r="A66" s="8">
        <f>IF(OR($G$55="",NOT(TRUE)),"","Neige accidentelle")</f>
        <v/>
      </c>
      <c r="B66" s="9">
        <f>IF($G$55="","",IFERROR(LOOKUP(2,1/((SAISIE!$F$5:$F$204=$G$55)*(ISNUMBER(SEARCH("accidentel",SAISIE!$B$5:$B$204)))),SAISIE!$C$5:$C$204),"-"))</f>
        <v/>
      </c>
      <c r="C66" s="9">
        <f>IF($G$55="","",IFERROR(LOOKUP(2,1/((SAISIE!$F$5:$F$204=$G$55)*(ISNUMBER(SEARCH("accidentel",SAISIE!$B$5:$B$204)))),SAISIE!$D$5:$D$204),"-"))</f>
        <v/>
      </c>
      <c r="D66" s="9">
        <f>IF($G$55="","",IFERROR(LOOKUP(2,1/((SAISIE!$F$5:$F$204=$G$55)*(ISNUMBER(SEARCH("accidentel",SAISIE!$B$5:$B$204)))),SAISIE!$E$5:$E$204),"-"))</f>
        <v/>
      </c>
      <c r="E66" s="9">
        <f>IF($G$55="","",IF(OR(D66="",D66="-"),"",IF(D66&gt;0,"(soulevement)",IF(D66&lt;0,"(compression)","-"))))</f>
        <v/>
      </c>
    </row>
    <row r="67">
      <c r="A67" s="6">
        <f>IF($G$67="","","Noeud "&amp;$G$67)</f>
        <v/>
      </c>
      <c r="B67" s="7" t="n"/>
      <c r="C67" s="7" t="n"/>
      <c r="D67" s="7" t="n"/>
      <c r="E67" s="7" t="n"/>
      <c r="G67">
        <f>IFERROR(INDEX(SAISIE!$F$5:$F$204,AGGREGATE(15,6,ROW(SAISIE!$F$5:$F$204)-ROW(SAISIE!$F$5)+1/(SAISIE!$F$5:$F$204&lt;&gt;"")/(COUNTIF($G$4:G66,SAISIE!$F$5:$F$204)=0),1)),"")</f>
        <v/>
      </c>
    </row>
    <row r="68">
      <c r="A68" s="8">
        <f>IF(OR($G$67="",NOT(TRUE)),"","Couverture")</f>
        <v/>
      </c>
      <c r="B68" s="9">
        <f>IF($G$67="","",IFERROR(IFERROR(LOOKUP(2,1/((SAISIE!$F$5:$F$204=$G$67)*(LEFT(SAISIE!$B$5:$B$204,2)="G ")),SAISIE!$C$5:$C$204),LOOKUP(2,1/((SAISIE!$F$5:$F$204=$G$67)*(ISNUMBER(SEARCH("Couverture",SAISIE!$B$5:$B$204)))),SAISIE!$C$5:$C$204)),"-"))</f>
        <v/>
      </c>
      <c r="C68" s="9">
        <f>IF($G$67="","",IFERROR(IFERROR(LOOKUP(2,1/((SAISIE!$F$5:$F$204=$G$67)*(LEFT(SAISIE!$B$5:$B$204,2)="G ")),SAISIE!$D$5:$D$204),LOOKUP(2,1/((SAISIE!$F$5:$F$204=$G$67)*(ISNUMBER(SEARCH("Couverture",SAISIE!$B$5:$B$204)))),SAISIE!$D$5:$D$204)),"-"))</f>
        <v/>
      </c>
      <c r="D68" s="9">
        <f>IF($G$67="","",IFERROR(IFERROR(LOOKUP(2,1/((SAISIE!$F$5:$F$204=$G$67)*(LEFT(SAISIE!$B$5:$B$204,2)="G ")),SAISIE!$E$5:$E$204),LOOKUP(2,1/((SAISIE!$F$5:$F$204=$G$67)*(ISNUMBER(SEARCH("Couverture",SAISIE!$B$5:$B$204)))),SAISIE!$E$5:$E$204)),"-"))</f>
        <v/>
      </c>
      <c r="E68" s="9">
        <f>IF($G$67="","",IF(OR(D68="",D68="-"),"",IF(D68&gt;0,"(soulevement)",IF(D68&lt;0,"(compression)","-"))))</f>
        <v/>
      </c>
    </row>
    <row r="69">
      <c r="A69" s="8">
        <f>IF(OR($G$67="",NOT(COUNTIFS(SAISIE!$B$5:$B$204,"*Vent G/D*",SAISIE!$F$5:$F$204,$G$67)&gt;0)),"","Vent G/D")</f>
        <v/>
      </c>
      <c r="B69" s="9">
        <f>IF(OR($G$67="",NOT(COUNTIFS(SAISIE!$B$5:$B$204,"*Vent G/D*",SAISIE!$F$5:$F$204,$G$67)&gt;0)),"",IFERROR(IF(MINIFS(SAISIE!$E$5:$E$204,SAISIE!$B$5:$B$204,"*Vent G/D*",SAISIE!$F$5:$F$204,$G$67)&gt;=0,MAXIFS(SAISIE!$C$5:$C$204,SAISIE!$B$5:$B$204,"*Vent G/D*",SAISIE!$F$5:$F$204,$G$67),INDEX(SAISIE!$C$5:$C$204,MATCH(MINIFS(SAISIE!$E$5:$E$204,SAISIE!$B$5:$B$204,"*Vent G/D*",SAISIE!$F$5:$F$204,$G$67),SAISIE!$E$5:$E$204,0))),"-"))</f>
        <v/>
      </c>
      <c r="C69" s="9">
        <f>IF(OR($G$67="",NOT(COUNTIFS(SAISIE!$B$5:$B$204,"*Vent G/D*",SAISIE!$F$5:$F$204,$G$67)&gt;0)),"",IFERROR(IF(MINIFS(SAISIE!$E$5:$E$204,SAISIE!$B$5:$B$204,"*Vent G/D*",SAISIE!$F$5:$F$204,$G$67)&gt;=0,INDEX(SAISIE!$D$5:$D$204,MATCH(MAXIFS(SAISIE!$C$5:$C$204,SAISIE!$B$5:$B$204,"*Vent G/D*",SAISIE!$F$5:$F$204,$G$67),SAISIE!$C$5:$C$204,0)),INDEX(SAISIE!$D$5:$D$204,MATCH(MINIFS(SAISIE!$E$5:$E$204,SAISIE!$B$5:$B$204,"*Vent G/D*",SAISIE!$F$5:$F$204,$G$67),SAISIE!$E$5:$E$204,0))),"-"))</f>
        <v/>
      </c>
      <c r="D69" s="9">
        <f>IF(OR($G$67="",NOT(COUNTIFS(SAISIE!$B$5:$B$204,"*Vent G/D*",SAISIE!$F$5:$F$204,$G$67)&gt;0)),"",IFERROR(IF(MINIFS(SAISIE!$E$5:$E$204,SAISIE!$B$5:$B$204,"*Vent G/D*",SAISIE!$F$5:$F$204,$G$67)&gt;=0,0,MINIFS(SAISIE!$E$5:$E$204,SAISIE!$B$5:$B$204,"*Vent G/D*",SAISIE!$F$5:$F$204,$G$67)),"-"))</f>
        <v/>
      </c>
      <c r="E69" s="9">
        <f>IF($G$67="","",IF(OR(D69="",D69="-"),"",IF(D69&gt;0,"(soulevement)",IF(D69&lt;0,"(compression)","-"))))</f>
        <v/>
      </c>
    </row>
    <row r="70">
      <c r="A70" s="8">
        <f>IF(OR($G$67="",NOT(MAXIFS(SAISIE!$E$5:$E$204,SAISIE!$B$5:$B$204,"*Vent G/D*",SAISIE!$F$5:$F$204,$G$67)&gt;0)),"","Vent G/D")</f>
        <v/>
      </c>
      <c r="B70" s="9">
        <f>IF(OR($G$67="",NOT(MAXIFS(SAISIE!$E$5:$E$204,SAISIE!$B$5:$B$204,"*Vent G/D*",SAISIE!$F$5:$F$204,$G$67)&gt;0)),"",IFERROR(INDEX(SAISIE!$C$5:$C$204,MATCH(MAXIFS(SAISIE!$E$5:$E$204,SAISIE!$B$5:$B$204,"*Vent G/D*",SAISIE!$F$5:$F$204,$G$67),SAISIE!$E$5:$E$204,0)),"-"))</f>
        <v/>
      </c>
      <c r="C70" s="9">
        <f>IF(OR($G$67="",NOT(MAXIFS(SAISIE!$E$5:$E$204,SAISIE!$B$5:$B$204,"*Vent G/D*",SAISIE!$F$5:$F$204,$G$67)&gt;0)),"",IFERROR(INDEX(SAISIE!$D$5:$D$204,MATCH(MAXIFS(SAISIE!$E$5:$E$204,SAISIE!$B$5:$B$204,"*Vent G/D*",SAISIE!$F$5:$F$204,$G$67),SAISIE!$E$5:$E$204,0)),"-"))</f>
        <v/>
      </c>
      <c r="D70" s="9">
        <f>IF(OR($G$67="",NOT(MAXIFS(SAISIE!$E$5:$E$204,SAISIE!$B$5:$B$204,"*Vent G/D*",SAISIE!$F$5:$F$204,$G$67)&gt;0)),"",IFERROR(MAXIFS(SAISIE!$E$5:$E$204,SAISIE!$B$5:$B$204,"*Vent G/D*",SAISIE!$F$5:$F$204,$G$67),"-"))</f>
        <v/>
      </c>
      <c r="E70" s="9">
        <f>IF($G$67="","",IF(OR(D70="",D70="-"),"",IF(D70&gt;0,"(soulevement)",IF(D70&lt;0,"(compression)","-"))))</f>
        <v/>
      </c>
    </row>
    <row r="71">
      <c r="A71" s="8">
        <f>IF(OR($G$67="",NOT(COUNTIFS(SAISIE!$B$5:$B$204,"*Vent D/G*",SAISIE!$F$5:$F$204,$G$67)&gt;0)),"","Vent D/G")</f>
        <v/>
      </c>
      <c r="B71" s="9">
        <f>IF(OR($G$67="",NOT(COUNTIFS(SAISIE!$B$5:$B$204,"*Vent D/G*",SAISIE!$F$5:$F$204,$G$67)&gt;0)),"",IFERROR(IF(MINIFS(SAISIE!$E$5:$E$204,SAISIE!$B$5:$B$204,"*Vent D/G*",SAISIE!$F$5:$F$204,$G$67)&gt;=0,MAXIFS(SAISIE!$C$5:$C$204,SAISIE!$B$5:$B$204,"*Vent D/G*",SAISIE!$F$5:$F$204,$G$67),INDEX(SAISIE!$C$5:$C$204,MATCH(MINIFS(SAISIE!$E$5:$E$204,SAISIE!$B$5:$B$204,"*Vent D/G*",SAISIE!$F$5:$F$204,$G$67),SAISIE!$E$5:$E$204,0))),"-"))</f>
        <v/>
      </c>
      <c r="C71" s="9">
        <f>IF(OR($G$67="",NOT(COUNTIFS(SAISIE!$B$5:$B$204,"*Vent D/G*",SAISIE!$F$5:$F$204,$G$67)&gt;0)),"",IFERROR(IF(MINIFS(SAISIE!$E$5:$E$204,SAISIE!$B$5:$B$204,"*Vent D/G*",SAISIE!$F$5:$F$204,$G$67)&gt;=0,INDEX(SAISIE!$D$5:$D$204,MATCH(MAXIFS(SAISIE!$C$5:$C$204,SAISIE!$B$5:$B$204,"*Vent D/G*",SAISIE!$F$5:$F$204,$G$67),SAISIE!$C$5:$C$204,0)),INDEX(SAISIE!$D$5:$D$204,MATCH(MINIFS(SAISIE!$E$5:$E$204,SAISIE!$B$5:$B$204,"*Vent D/G*",SAISIE!$F$5:$F$204,$G$67),SAISIE!$E$5:$E$204,0))),"-"))</f>
        <v/>
      </c>
      <c r="D71" s="9">
        <f>IF(OR($G$67="",NOT(COUNTIFS(SAISIE!$B$5:$B$204,"*Vent D/G*",SAISIE!$F$5:$F$204,$G$67)&gt;0)),"",IFERROR(IF(MINIFS(SAISIE!$E$5:$E$204,SAISIE!$B$5:$B$204,"*Vent D/G*",SAISIE!$F$5:$F$204,$G$67)&gt;=0,0,MINIFS(SAISIE!$E$5:$E$204,SAISIE!$B$5:$B$204,"*Vent D/G*",SAISIE!$F$5:$F$204,$G$67)),"-"))</f>
        <v/>
      </c>
      <c r="E71" s="9">
        <f>IF($G$67="","",IF(OR(D71="",D71="-"),"",IF(D71&gt;0,"(soulevement)",IF(D71&lt;0,"(compression)","-"))))</f>
        <v/>
      </c>
    </row>
    <row r="72">
      <c r="A72" s="8">
        <f>IF(OR($G$67="",NOT(MAXIFS(SAISIE!$E$5:$E$204,SAISIE!$B$5:$B$204,"*Vent D/G*",SAISIE!$F$5:$F$204,$G$67)&gt;0)),"","Vent D/G")</f>
        <v/>
      </c>
      <c r="B72" s="9">
        <f>IF(OR($G$67="",NOT(MAXIFS(SAISIE!$E$5:$E$204,SAISIE!$B$5:$B$204,"*Vent D/G*",SAISIE!$F$5:$F$204,$G$67)&gt;0)),"",IFERROR(INDEX(SAISIE!$C$5:$C$204,MATCH(MAXIFS(SAISIE!$E$5:$E$204,SAISIE!$B$5:$B$204,"*Vent D/G*",SAISIE!$F$5:$F$204,$G$67),SAISIE!$E$5:$E$204,0)),"-"))</f>
        <v/>
      </c>
      <c r="C72" s="9">
        <f>IF(OR($G$67="",NOT(MAXIFS(SAISIE!$E$5:$E$204,SAISIE!$B$5:$B$204,"*Vent D/G*",SAISIE!$F$5:$F$204,$G$67)&gt;0)),"",IFERROR(INDEX(SAISIE!$D$5:$D$204,MATCH(MAXIFS(SAISIE!$E$5:$E$204,SAISIE!$B$5:$B$204,"*Vent D/G*",SAISIE!$F$5:$F$204,$G$67),SAISIE!$E$5:$E$204,0)),"-"))</f>
        <v/>
      </c>
      <c r="D72" s="9">
        <f>IF(OR($G$67="",NOT(MAXIFS(SAISIE!$E$5:$E$204,SAISIE!$B$5:$B$204,"*Vent D/G*",SAISIE!$F$5:$F$204,$G$67)&gt;0)),"",IFERROR(MAXIFS(SAISIE!$E$5:$E$204,SAISIE!$B$5:$B$204,"*Vent D/G*",SAISIE!$F$5:$F$204,$G$67),"-"))</f>
        <v/>
      </c>
      <c r="E72" s="9">
        <f>IF($G$67="","",IF(OR(D72="",D72="-"),"",IF(D72&gt;0,"(soulevement)",IF(D72&lt;0,"(compression)","-"))))</f>
        <v/>
      </c>
    </row>
    <row r="73">
      <c r="A73" s="8">
        <f>IF(OR($G$67="",NOT(COUNTIFS(SAISIE!$B$5:$B$204,"*Vent Av./Arr.*",SAISIE!$F$5:$F$204,$G$67)&gt;0)),"","Vent Av./Arr.")</f>
        <v/>
      </c>
      <c r="B73" s="9">
        <f>IF(OR($G$67="",NOT(COUNTIFS(SAISIE!$B$5:$B$204,"*Vent Av./Arr.*",SAISIE!$F$5:$F$204,$G$67)&gt;0)),"",IFERROR(IF(MINIFS(SAISIE!$E$5:$E$204,SAISIE!$B$5:$B$204,"*Vent Av./Arr.*",SAISIE!$F$5:$F$204,$G$67)&gt;=0,MAXIFS(SAISIE!$C$5:$C$204,SAISIE!$B$5:$B$204,"*Vent Av./Arr.*",SAISIE!$F$5:$F$204,$G$67),INDEX(SAISIE!$C$5:$C$204,MATCH(MINIFS(SAISIE!$E$5:$E$204,SAISIE!$B$5:$B$204,"*Vent Av./Arr.*",SAISIE!$F$5:$F$204,$G$67),SAISIE!$E$5:$E$204,0))),"-"))</f>
        <v/>
      </c>
      <c r="C73" s="9">
        <f>IF(OR($G$67="",NOT(COUNTIFS(SAISIE!$B$5:$B$204,"*Vent Av./Arr.*",SAISIE!$F$5:$F$204,$G$67)&gt;0)),"",IFERROR(IF(MINIFS(SAISIE!$E$5:$E$204,SAISIE!$B$5:$B$204,"*Vent Av./Arr.*",SAISIE!$F$5:$F$204,$G$67)&gt;=0,INDEX(SAISIE!$D$5:$D$204,MATCH(MAXIFS(SAISIE!$C$5:$C$204,SAISIE!$B$5:$B$204,"*Vent Av./Arr.*",SAISIE!$F$5:$F$204,$G$67),SAISIE!$C$5:$C$204,0)),INDEX(SAISIE!$D$5:$D$204,MATCH(MINIFS(SAISIE!$E$5:$E$204,SAISIE!$B$5:$B$204,"*Vent Av./Arr.*",SAISIE!$F$5:$F$204,$G$67),SAISIE!$E$5:$E$204,0))),"-"))</f>
        <v/>
      </c>
      <c r="D73" s="9">
        <f>IF(OR($G$67="",NOT(COUNTIFS(SAISIE!$B$5:$B$204,"*Vent Av./Arr.*",SAISIE!$F$5:$F$204,$G$67)&gt;0)),"",IFERROR(IF(MINIFS(SAISIE!$E$5:$E$204,SAISIE!$B$5:$B$204,"*Vent Av./Arr.*",SAISIE!$F$5:$F$204,$G$67)&gt;=0,0,MINIFS(SAISIE!$E$5:$E$204,SAISIE!$B$5:$B$204,"*Vent Av./Arr.*",SAISIE!$F$5:$F$204,$G$67)),"-"))</f>
        <v/>
      </c>
      <c r="E73" s="9">
        <f>IF($G$67="","",IF(OR(D73="",D73="-"),"",IF(D73&gt;0,"(soulevement)",IF(D73&lt;0,"(compression)","-"))))</f>
        <v/>
      </c>
    </row>
    <row r="74">
      <c r="A74" s="8">
        <f>IF(OR($G$67="",NOT(MAXIFS(SAISIE!$E$5:$E$204,SAISIE!$B$5:$B$204,"*Vent Av./Arr.*",SAISIE!$F$5:$F$204,$G$67)&gt;0)),"","Vent Av./Arr.")</f>
        <v/>
      </c>
      <c r="B74" s="9">
        <f>IF(OR($G$67="",NOT(MAXIFS(SAISIE!$E$5:$E$204,SAISIE!$B$5:$B$204,"*Vent Av./Arr.*",SAISIE!$F$5:$F$204,$G$67)&gt;0)),"",IFERROR(INDEX(SAISIE!$C$5:$C$204,MATCH(MAXIFS(SAISIE!$E$5:$E$204,SAISIE!$B$5:$B$204,"*Vent Av./Arr.*",SAISIE!$F$5:$F$204,$G$67),SAISIE!$E$5:$E$204,0)),"-"))</f>
        <v/>
      </c>
      <c r="C74" s="9">
        <f>IF(OR($G$67="",NOT(MAXIFS(SAISIE!$E$5:$E$204,SAISIE!$B$5:$B$204,"*Vent Av./Arr.*",SAISIE!$F$5:$F$204,$G$67)&gt;0)),"",IFERROR(INDEX(SAISIE!$D$5:$D$204,MATCH(MAXIFS(SAISIE!$E$5:$E$204,SAISIE!$B$5:$B$204,"*Vent Av./Arr.*",SAISIE!$F$5:$F$204,$G$67),SAISIE!$E$5:$E$204,0)),"-"))</f>
        <v/>
      </c>
      <c r="D74" s="9">
        <f>IF(OR($G$67="",NOT(MAXIFS(SAISIE!$E$5:$E$204,SAISIE!$B$5:$B$204,"*Vent Av./Arr.*",SAISIE!$F$5:$F$204,$G$67)&gt;0)),"",IFERROR(MAXIFS(SAISIE!$E$5:$E$204,SAISIE!$B$5:$B$204,"*Vent Av./Arr.*",SAISIE!$F$5:$F$204,$G$67),"-"))</f>
        <v/>
      </c>
      <c r="E74" s="9">
        <f>IF($G$67="","",IF(OR(D74="",D74="-"),"",IF(D74&gt;0,"(soulevement)",IF(D74&lt;0,"(compression)","-"))))</f>
        <v/>
      </c>
    </row>
    <row r="75">
      <c r="A75" s="8">
        <f>IF(OR($G$67="",NOT(COUNTIFS(SAISIE!$B$5:$B$204,"*Vent Arr./Av.*",SAISIE!$F$5:$F$204,$G$67)&gt;0)),"","Vent Arr./Av.")</f>
        <v/>
      </c>
      <c r="B75" s="9">
        <f>IF(OR($G$67="",NOT(COUNTIFS(SAISIE!$B$5:$B$204,"*Vent Arr./Av.*",SAISIE!$F$5:$F$204,$G$67)&gt;0)),"",IFERROR(IF(MINIFS(SAISIE!$E$5:$E$204,SAISIE!$B$5:$B$204,"*Vent Arr./Av.*",SAISIE!$F$5:$F$204,$G$67)&gt;=0,MAXIFS(SAISIE!$C$5:$C$204,SAISIE!$B$5:$B$204,"*Vent Arr./Av.*",SAISIE!$F$5:$F$204,$G$67),INDEX(SAISIE!$C$5:$C$204,MATCH(MINIFS(SAISIE!$E$5:$E$204,SAISIE!$B$5:$B$204,"*Vent Arr./Av.*",SAISIE!$F$5:$F$204,$G$67),SAISIE!$E$5:$E$204,0))),"-"))</f>
        <v/>
      </c>
      <c r="C75" s="9">
        <f>IF(OR($G$67="",NOT(COUNTIFS(SAISIE!$B$5:$B$204,"*Vent Arr./Av.*",SAISIE!$F$5:$F$204,$G$67)&gt;0)),"",IFERROR(IF(MINIFS(SAISIE!$E$5:$E$204,SAISIE!$B$5:$B$204,"*Vent Arr./Av.*",SAISIE!$F$5:$F$204,$G$67)&gt;=0,INDEX(SAISIE!$D$5:$D$204,MATCH(MAXIFS(SAISIE!$C$5:$C$204,SAISIE!$B$5:$B$204,"*Vent Arr./Av.*",SAISIE!$F$5:$F$204,$G$67),SAISIE!$C$5:$C$204,0)),INDEX(SAISIE!$D$5:$D$204,MATCH(MINIFS(SAISIE!$E$5:$E$204,SAISIE!$B$5:$B$204,"*Vent Arr./Av.*",SAISIE!$F$5:$F$204,$G$67),SAISIE!$E$5:$E$204,0))),"-"))</f>
        <v/>
      </c>
      <c r="D75" s="9">
        <f>IF(OR($G$67="",NOT(COUNTIFS(SAISIE!$B$5:$B$204,"*Vent Arr./Av.*",SAISIE!$F$5:$F$204,$G$67)&gt;0)),"",IFERROR(IF(MINIFS(SAISIE!$E$5:$E$204,SAISIE!$B$5:$B$204,"*Vent Arr./Av.*",SAISIE!$F$5:$F$204,$G$67)&gt;=0,0,MINIFS(SAISIE!$E$5:$E$204,SAISIE!$B$5:$B$204,"*Vent Arr./Av.*",SAISIE!$F$5:$F$204,$G$67)),"-"))</f>
        <v/>
      </c>
      <c r="E75" s="9">
        <f>IF($G$67="","",IF(OR(D75="",D75="-"),"",IF(D75&gt;0,"(soulevement)",IF(D75&lt;0,"(compression)","-"))))</f>
        <v/>
      </c>
    </row>
    <row r="76">
      <c r="A76" s="8">
        <f>IF(OR($G$67="",NOT(MAXIFS(SAISIE!$E$5:$E$204,SAISIE!$B$5:$B$204,"*Vent Arr./Av.*",SAISIE!$F$5:$F$204,$G$67)&gt;0)),"","Vent Arr./Av.")</f>
        <v/>
      </c>
      <c r="B76" s="9">
        <f>IF(OR($G$67="",NOT(MAXIFS(SAISIE!$E$5:$E$204,SAISIE!$B$5:$B$204,"*Vent Arr./Av.*",SAISIE!$F$5:$F$204,$G$67)&gt;0)),"",IFERROR(INDEX(SAISIE!$C$5:$C$204,MATCH(MAXIFS(SAISIE!$E$5:$E$204,SAISIE!$B$5:$B$204,"*Vent Arr./Av.*",SAISIE!$F$5:$F$204,$G$67),SAISIE!$E$5:$E$204,0)),"-"))</f>
        <v/>
      </c>
      <c r="C76" s="9">
        <f>IF(OR($G$67="",NOT(MAXIFS(SAISIE!$E$5:$E$204,SAISIE!$B$5:$B$204,"*Vent Arr./Av.*",SAISIE!$F$5:$F$204,$G$67)&gt;0)),"",IFERROR(INDEX(SAISIE!$D$5:$D$204,MATCH(MAXIFS(SAISIE!$E$5:$E$204,SAISIE!$B$5:$B$204,"*Vent Arr./Av.*",SAISIE!$F$5:$F$204,$G$67),SAISIE!$E$5:$E$204,0)),"-"))</f>
        <v/>
      </c>
      <c r="D76" s="9">
        <f>IF(OR($G$67="",NOT(MAXIFS(SAISIE!$E$5:$E$204,SAISIE!$B$5:$B$204,"*Vent Arr./Av.*",SAISIE!$F$5:$F$204,$G$67)&gt;0)),"",IFERROR(MAXIFS(SAISIE!$E$5:$E$204,SAISIE!$B$5:$B$204,"*Vent Arr./Av.*",SAISIE!$F$5:$F$204,$G$67),"-"))</f>
        <v/>
      </c>
      <c r="E76" s="9">
        <f>IF($G$67="","",IF(OR(D76="",D76="-"),"",IF(D76&gt;0,"(soulevement)",IF(D76&lt;0,"(compression)","-"))))</f>
        <v/>
      </c>
    </row>
    <row r="77">
      <c r="A77" s="8">
        <f>IF(OR($G$67="",NOT(TRUE)),"","Neige normale")</f>
        <v/>
      </c>
      <c r="B77" s="9">
        <f>IF($G$67="","",IFERROR(INDEX(SAISIE!$C$5:$C$204,MATCH(MINIFS(SAISIE!$E$5:$E$204,SAISIE!$B$5:$B$204,"*Neige*",SAISIE!$B$5:$B$204,"&lt;&gt;*accidentel*",SAISIE!$F$5:$F$204,$G$67),SAISIE!$E$5:$E$204,0)),"-"))</f>
        <v/>
      </c>
      <c r="C77" s="9">
        <f>IF($G$67="","",IFERROR(INDEX(SAISIE!$D$5:$D$204,MATCH(MINIFS(SAISIE!$E$5:$E$204,SAISIE!$B$5:$B$204,"*Neige*",SAISIE!$B$5:$B$204,"&lt;&gt;*accidentel*",SAISIE!$F$5:$F$204,$G$67),SAISIE!$E$5:$E$204,0)),"-"))</f>
        <v/>
      </c>
      <c r="D77" s="9">
        <f>IF($G$67="","",IFERROR(INDEX(SAISIE!$E$5:$E$204,MATCH(MINIFS(SAISIE!$E$5:$E$204,SAISIE!$B$5:$B$204,"*Neige*",SAISIE!$B$5:$B$204,"&lt;&gt;*accidentel*",SAISIE!$F$5:$F$204,$G$67),SAISIE!$E$5:$E$204,0)),"-"))</f>
        <v/>
      </c>
      <c r="E77" s="9">
        <f>IF($G$67="","",IF(OR(D77="",D77="-"),"",IF(D77&gt;0,"(soulevement)",IF(D77&lt;0,"(compression)","-"))))</f>
        <v/>
      </c>
    </row>
    <row r="78">
      <c r="A78" s="8">
        <f>IF(OR($G$67="",NOT(TRUE)),"","Neige accidentelle")</f>
        <v/>
      </c>
      <c r="B78" s="9">
        <f>IF($G$67="","",IFERROR(LOOKUP(2,1/((SAISIE!$F$5:$F$204=$G$67)*(ISNUMBER(SEARCH("accidentel",SAISIE!$B$5:$B$204)))),SAISIE!$C$5:$C$204),"-"))</f>
        <v/>
      </c>
      <c r="C78" s="9">
        <f>IF($G$67="","",IFERROR(LOOKUP(2,1/((SAISIE!$F$5:$F$204=$G$67)*(ISNUMBER(SEARCH("accidentel",SAISIE!$B$5:$B$204)))),SAISIE!$D$5:$D$204),"-"))</f>
        <v/>
      </c>
      <c r="D78" s="9">
        <f>IF($G$67="","",IFERROR(LOOKUP(2,1/((SAISIE!$F$5:$F$204=$G$67)*(ISNUMBER(SEARCH("accidentel",SAISIE!$B$5:$B$204)))),SAISIE!$E$5:$E$204),"-"))</f>
        <v/>
      </c>
      <c r="E78" s="9">
        <f>IF($G$67="","",IF(OR(D78="",D78="-"),"",IF(D78&gt;0,"(soulevement)",IF(D78&lt;0,"(compression)","-"))))</f>
        <v/>
      </c>
    </row>
    <row r="79">
      <c r="A79" s="6">
        <f>IF($G$79="","","Noeud "&amp;$G$79)</f>
        <v/>
      </c>
      <c r="B79" s="7" t="n"/>
      <c r="C79" s="7" t="n"/>
      <c r="D79" s="7" t="n"/>
      <c r="E79" s="7" t="n"/>
      <c r="G79">
        <f>IFERROR(INDEX(SAISIE!$F$5:$F$204,AGGREGATE(15,6,ROW(SAISIE!$F$5:$F$204)-ROW(SAISIE!$F$5)+1/(SAISIE!$F$5:$F$204&lt;&gt;"")/(COUNTIF($G$4:G78,SAISIE!$F$5:$F$204)=0),1)),"")</f>
        <v/>
      </c>
    </row>
    <row r="80">
      <c r="A80" s="8">
        <f>IF(OR($G$79="",NOT(TRUE)),"","Couverture")</f>
        <v/>
      </c>
      <c r="B80" s="9">
        <f>IF($G$79="","",IFERROR(IFERROR(LOOKUP(2,1/((SAISIE!$F$5:$F$204=$G$79)*(LEFT(SAISIE!$B$5:$B$204,2)="G ")),SAISIE!$C$5:$C$204),LOOKUP(2,1/((SAISIE!$F$5:$F$204=$G$79)*(ISNUMBER(SEARCH("Couverture",SAISIE!$B$5:$B$204)))),SAISIE!$C$5:$C$204)),"-"))</f>
        <v/>
      </c>
      <c r="C80" s="9">
        <f>IF($G$79="","",IFERROR(IFERROR(LOOKUP(2,1/((SAISIE!$F$5:$F$204=$G$79)*(LEFT(SAISIE!$B$5:$B$204,2)="G ")),SAISIE!$D$5:$D$204),LOOKUP(2,1/((SAISIE!$F$5:$F$204=$G$79)*(ISNUMBER(SEARCH("Couverture",SAISIE!$B$5:$B$204)))),SAISIE!$D$5:$D$204)),"-"))</f>
        <v/>
      </c>
      <c r="D80" s="9">
        <f>IF($G$79="","",IFERROR(IFERROR(LOOKUP(2,1/((SAISIE!$F$5:$F$204=$G$79)*(LEFT(SAISIE!$B$5:$B$204,2)="G ")),SAISIE!$E$5:$E$204),LOOKUP(2,1/((SAISIE!$F$5:$F$204=$G$79)*(ISNUMBER(SEARCH("Couverture",SAISIE!$B$5:$B$204)))),SAISIE!$E$5:$E$204)),"-"))</f>
        <v/>
      </c>
      <c r="E80" s="9">
        <f>IF($G$79="","",IF(OR(D80="",D80="-"),"",IF(D80&gt;0,"(soulevement)",IF(D80&lt;0,"(compression)","-"))))</f>
        <v/>
      </c>
    </row>
    <row r="81">
      <c r="A81" s="8">
        <f>IF(OR($G$79="",NOT(COUNTIFS(SAISIE!$B$5:$B$204,"*Vent G/D*",SAISIE!$F$5:$F$204,$G$79)&gt;0)),"","Vent G/D")</f>
        <v/>
      </c>
      <c r="B81" s="9">
        <f>IF(OR($G$79="",NOT(COUNTIFS(SAISIE!$B$5:$B$204,"*Vent G/D*",SAISIE!$F$5:$F$204,$G$79)&gt;0)),"",IFERROR(IF(MINIFS(SAISIE!$E$5:$E$204,SAISIE!$B$5:$B$204,"*Vent G/D*",SAISIE!$F$5:$F$204,$G$79)&gt;=0,MAXIFS(SAISIE!$C$5:$C$204,SAISIE!$B$5:$B$204,"*Vent G/D*",SAISIE!$F$5:$F$204,$G$79),INDEX(SAISIE!$C$5:$C$204,MATCH(MINIFS(SAISIE!$E$5:$E$204,SAISIE!$B$5:$B$204,"*Vent G/D*",SAISIE!$F$5:$F$204,$G$79),SAISIE!$E$5:$E$204,0))),"-"))</f>
        <v/>
      </c>
      <c r="C81" s="9">
        <f>IF(OR($G$79="",NOT(COUNTIFS(SAISIE!$B$5:$B$204,"*Vent G/D*",SAISIE!$F$5:$F$204,$G$79)&gt;0)),"",IFERROR(IF(MINIFS(SAISIE!$E$5:$E$204,SAISIE!$B$5:$B$204,"*Vent G/D*",SAISIE!$F$5:$F$204,$G$79)&gt;=0,INDEX(SAISIE!$D$5:$D$204,MATCH(MAXIFS(SAISIE!$C$5:$C$204,SAISIE!$B$5:$B$204,"*Vent G/D*",SAISIE!$F$5:$F$204,$G$79),SAISIE!$C$5:$C$204,0)),INDEX(SAISIE!$D$5:$D$204,MATCH(MINIFS(SAISIE!$E$5:$E$204,SAISIE!$B$5:$B$204,"*Vent G/D*",SAISIE!$F$5:$F$204,$G$79),SAISIE!$E$5:$E$204,0))),"-"))</f>
        <v/>
      </c>
      <c r="D81" s="9">
        <f>IF(OR($G$79="",NOT(COUNTIFS(SAISIE!$B$5:$B$204,"*Vent G/D*",SAISIE!$F$5:$F$204,$G$79)&gt;0)),"",IFERROR(IF(MINIFS(SAISIE!$E$5:$E$204,SAISIE!$B$5:$B$204,"*Vent G/D*",SAISIE!$F$5:$F$204,$G$79)&gt;=0,0,MINIFS(SAISIE!$E$5:$E$204,SAISIE!$B$5:$B$204,"*Vent G/D*",SAISIE!$F$5:$F$204,$G$79)),"-"))</f>
        <v/>
      </c>
      <c r="E81" s="9">
        <f>IF($G$79="","",IF(OR(D81="",D81="-"),"",IF(D81&gt;0,"(soulevement)",IF(D81&lt;0,"(compression)","-"))))</f>
        <v/>
      </c>
    </row>
    <row r="82">
      <c r="A82" s="8">
        <f>IF(OR($G$79="",NOT(MAXIFS(SAISIE!$E$5:$E$204,SAISIE!$B$5:$B$204,"*Vent G/D*",SAISIE!$F$5:$F$204,$G$79)&gt;0)),"","Vent G/D")</f>
        <v/>
      </c>
      <c r="B82" s="9">
        <f>IF(OR($G$79="",NOT(MAXIFS(SAISIE!$E$5:$E$204,SAISIE!$B$5:$B$204,"*Vent G/D*",SAISIE!$F$5:$F$204,$G$79)&gt;0)),"",IFERROR(INDEX(SAISIE!$C$5:$C$204,MATCH(MAXIFS(SAISIE!$E$5:$E$204,SAISIE!$B$5:$B$204,"*Vent G/D*",SAISIE!$F$5:$F$204,$G$79),SAISIE!$E$5:$E$204,0)),"-"))</f>
        <v/>
      </c>
      <c r="C82" s="9">
        <f>IF(OR($G$79="",NOT(MAXIFS(SAISIE!$E$5:$E$204,SAISIE!$B$5:$B$204,"*Vent G/D*",SAISIE!$F$5:$F$204,$G$79)&gt;0)),"",IFERROR(INDEX(SAISIE!$D$5:$D$204,MATCH(MAXIFS(SAISIE!$E$5:$E$204,SAISIE!$B$5:$B$204,"*Vent G/D*",SAISIE!$F$5:$F$204,$G$79),SAISIE!$E$5:$E$204,0)),"-"))</f>
        <v/>
      </c>
      <c r="D82" s="9">
        <f>IF(OR($G$79="",NOT(MAXIFS(SAISIE!$E$5:$E$204,SAISIE!$B$5:$B$204,"*Vent G/D*",SAISIE!$F$5:$F$204,$G$79)&gt;0)),"",IFERROR(MAXIFS(SAISIE!$E$5:$E$204,SAISIE!$B$5:$B$204,"*Vent G/D*",SAISIE!$F$5:$F$204,$G$79),"-"))</f>
        <v/>
      </c>
      <c r="E82" s="9">
        <f>IF($G$79="","",IF(OR(D82="",D82="-"),"",IF(D82&gt;0,"(soulevement)",IF(D82&lt;0,"(compression)","-"))))</f>
        <v/>
      </c>
    </row>
    <row r="83">
      <c r="A83" s="8">
        <f>IF(OR($G$79="",NOT(COUNTIFS(SAISIE!$B$5:$B$204,"*Vent D/G*",SAISIE!$F$5:$F$204,$G$79)&gt;0)),"","Vent D/G")</f>
        <v/>
      </c>
      <c r="B83" s="9">
        <f>IF(OR($G$79="",NOT(COUNTIFS(SAISIE!$B$5:$B$204,"*Vent D/G*",SAISIE!$F$5:$F$204,$G$79)&gt;0)),"",IFERROR(IF(MINIFS(SAISIE!$E$5:$E$204,SAISIE!$B$5:$B$204,"*Vent D/G*",SAISIE!$F$5:$F$204,$G$79)&gt;=0,MAXIFS(SAISIE!$C$5:$C$204,SAISIE!$B$5:$B$204,"*Vent D/G*",SAISIE!$F$5:$F$204,$G$79),INDEX(SAISIE!$C$5:$C$204,MATCH(MINIFS(SAISIE!$E$5:$E$204,SAISIE!$B$5:$B$204,"*Vent D/G*",SAISIE!$F$5:$F$204,$G$79),SAISIE!$E$5:$E$204,0))),"-"))</f>
        <v/>
      </c>
      <c r="C83" s="9">
        <f>IF(OR($G$79="",NOT(COUNTIFS(SAISIE!$B$5:$B$204,"*Vent D/G*",SAISIE!$F$5:$F$204,$G$79)&gt;0)),"",IFERROR(IF(MINIFS(SAISIE!$E$5:$E$204,SAISIE!$B$5:$B$204,"*Vent D/G*",SAISIE!$F$5:$F$204,$G$79)&gt;=0,INDEX(SAISIE!$D$5:$D$204,MATCH(MAXIFS(SAISIE!$C$5:$C$204,SAISIE!$B$5:$B$204,"*Vent D/G*",SAISIE!$F$5:$F$204,$G$79),SAISIE!$C$5:$C$204,0)),INDEX(SAISIE!$D$5:$D$204,MATCH(MINIFS(SAISIE!$E$5:$E$204,SAISIE!$B$5:$B$204,"*Vent D/G*",SAISIE!$F$5:$F$204,$G$79),SAISIE!$E$5:$E$204,0))),"-"))</f>
        <v/>
      </c>
      <c r="D83" s="9">
        <f>IF(OR($G$79="",NOT(COUNTIFS(SAISIE!$B$5:$B$204,"*Vent D/G*",SAISIE!$F$5:$F$204,$G$79)&gt;0)),"",IFERROR(IF(MINIFS(SAISIE!$E$5:$E$204,SAISIE!$B$5:$B$204,"*Vent D/G*",SAISIE!$F$5:$F$204,$G$79)&gt;=0,0,MINIFS(SAISIE!$E$5:$E$204,SAISIE!$B$5:$B$204,"*Vent D/G*",SAISIE!$F$5:$F$204,$G$79)),"-"))</f>
        <v/>
      </c>
      <c r="E83" s="9">
        <f>IF($G$79="","",IF(OR(D83="",D83="-"),"",IF(D83&gt;0,"(soulevement)",IF(D83&lt;0,"(compression)","-"))))</f>
        <v/>
      </c>
    </row>
    <row r="84">
      <c r="A84" s="8">
        <f>IF(OR($G$79="",NOT(MAXIFS(SAISIE!$E$5:$E$204,SAISIE!$B$5:$B$204,"*Vent D/G*",SAISIE!$F$5:$F$204,$G$79)&gt;0)),"","Vent D/G")</f>
        <v/>
      </c>
      <c r="B84" s="9">
        <f>IF(OR($G$79="",NOT(MAXIFS(SAISIE!$E$5:$E$204,SAISIE!$B$5:$B$204,"*Vent D/G*",SAISIE!$F$5:$F$204,$G$79)&gt;0)),"",IFERROR(INDEX(SAISIE!$C$5:$C$204,MATCH(MAXIFS(SAISIE!$E$5:$E$204,SAISIE!$B$5:$B$204,"*Vent D/G*",SAISIE!$F$5:$F$204,$G$79),SAISIE!$E$5:$E$204,0)),"-"))</f>
        <v/>
      </c>
      <c r="C84" s="9">
        <f>IF(OR($G$79="",NOT(MAXIFS(SAISIE!$E$5:$E$204,SAISIE!$B$5:$B$204,"*Vent D/G*",SAISIE!$F$5:$F$204,$G$79)&gt;0)),"",IFERROR(INDEX(SAISIE!$D$5:$D$204,MATCH(MAXIFS(SAISIE!$E$5:$E$204,SAISIE!$B$5:$B$204,"*Vent D/G*",SAISIE!$F$5:$F$204,$G$79),SAISIE!$E$5:$E$204,0)),"-"))</f>
        <v/>
      </c>
      <c r="D84" s="9">
        <f>IF(OR($G$79="",NOT(MAXIFS(SAISIE!$E$5:$E$204,SAISIE!$B$5:$B$204,"*Vent D/G*",SAISIE!$F$5:$F$204,$G$79)&gt;0)),"",IFERROR(MAXIFS(SAISIE!$E$5:$E$204,SAISIE!$B$5:$B$204,"*Vent D/G*",SAISIE!$F$5:$F$204,$G$79),"-"))</f>
        <v/>
      </c>
      <c r="E84" s="9">
        <f>IF($G$79="","",IF(OR(D84="",D84="-"),"",IF(D84&gt;0,"(soulevement)",IF(D84&lt;0,"(compression)","-"))))</f>
        <v/>
      </c>
    </row>
    <row r="85">
      <c r="A85" s="8">
        <f>IF(OR($G$79="",NOT(COUNTIFS(SAISIE!$B$5:$B$204,"*Vent Av./Arr.*",SAISIE!$F$5:$F$204,$G$79)&gt;0)),"","Vent Av./Arr.")</f>
        <v/>
      </c>
      <c r="B85" s="9">
        <f>IF(OR($G$79="",NOT(COUNTIFS(SAISIE!$B$5:$B$204,"*Vent Av./Arr.*",SAISIE!$F$5:$F$204,$G$79)&gt;0)),"",IFERROR(IF(MINIFS(SAISIE!$E$5:$E$204,SAISIE!$B$5:$B$204,"*Vent Av./Arr.*",SAISIE!$F$5:$F$204,$G$79)&gt;=0,MAXIFS(SAISIE!$C$5:$C$204,SAISIE!$B$5:$B$204,"*Vent Av./Arr.*",SAISIE!$F$5:$F$204,$G$79),INDEX(SAISIE!$C$5:$C$204,MATCH(MINIFS(SAISIE!$E$5:$E$204,SAISIE!$B$5:$B$204,"*Vent Av./Arr.*",SAISIE!$F$5:$F$204,$G$79),SAISIE!$E$5:$E$204,0))),"-"))</f>
        <v/>
      </c>
      <c r="C85" s="9">
        <f>IF(OR($G$79="",NOT(COUNTIFS(SAISIE!$B$5:$B$204,"*Vent Av./Arr.*",SAISIE!$F$5:$F$204,$G$79)&gt;0)),"",IFERROR(IF(MINIFS(SAISIE!$E$5:$E$204,SAISIE!$B$5:$B$204,"*Vent Av./Arr.*",SAISIE!$F$5:$F$204,$G$79)&gt;=0,INDEX(SAISIE!$D$5:$D$204,MATCH(MAXIFS(SAISIE!$C$5:$C$204,SAISIE!$B$5:$B$204,"*Vent Av./Arr.*",SAISIE!$F$5:$F$204,$G$79),SAISIE!$C$5:$C$204,0)),INDEX(SAISIE!$D$5:$D$204,MATCH(MINIFS(SAISIE!$E$5:$E$204,SAISIE!$B$5:$B$204,"*Vent Av./Arr.*",SAISIE!$F$5:$F$204,$G$79),SAISIE!$E$5:$E$204,0))),"-"))</f>
        <v/>
      </c>
      <c r="D85" s="9">
        <f>IF(OR($G$79="",NOT(COUNTIFS(SAISIE!$B$5:$B$204,"*Vent Av./Arr.*",SAISIE!$F$5:$F$204,$G$79)&gt;0)),"",IFERROR(IF(MINIFS(SAISIE!$E$5:$E$204,SAISIE!$B$5:$B$204,"*Vent Av./Arr.*",SAISIE!$F$5:$F$204,$G$79)&gt;=0,0,MINIFS(SAISIE!$E$5:$E$204,SAISIE!$B$5:$B$204,"*Vent Av./Arr.*",SAISIE!$F$5:$F$204,$G$79)),"-"))</f>
        <v/>
      </c>
      <c r="E85" s="9">
        <f>IF($G$79="","",IF(OR(D85="",D85="-"),"",IF(D85&gt;0,"(soulevement)",IF(D85&lt;0,"(compression)","-"))))</f>
        <v/>
      </c>
    </row>
    <row r="86">
      <c r="A86" s="8">
        <f>IF(OR($G$79="",NOT(MAXIFS(SAISIE!$E$5:$E$204,SAISIE!$B$5:$B$204,"*Vent Av./Arr.*",SAISIE!$F$5:$F$204,$G$79)&gt;0)),"","Vent Av./Arr.")</f>
        <v/>
      </c>
      <c r="B86" s="9">
        <f>IF(OR($G$79="",NOT(MAXIFS(SAISIE!$E$5:$E$204,SAISIE!$B$5:$B$204,"*Vent Av./Arr.*",SAISIE!$F$5:$F$204,$G$79)&gt;0)),"",IFERROR(INDEX(SAISIE!$C$5:$C$204,MATCH(MAXIFS(SAISIE!$E$5:$E$204,SAISIE!$B$5:$B$204,"*Vent Av./Arr.*",SAISIE!$F$5:$F$204,$G$79),SAISIE!$E$5:$E$204,0)),"-"))</f>
        <v/>
      </c>
      <c r="C86" s="9">
        <f>IF(OR($G$79="",NOT(MAXIFS(SAISIE!$E$5:$E$204,SAISIE!$B$5:$B$204,"*Vent Av./Arr.*",SAISIE!$F$5:$F$204,$G$79)&gt;0)),"",IFERROR(INDEX(SAISIE!$D$5:$D$204,MATCH(MAXIFS(SAISIE!$E$5:$E$204,SAISIE!$B$5:$B$204,"*Vent Av./Arr.*",SAISIE!$F$5:$F$204,$G$79),SAISIE!$E$5:$E$204,0)),"-"))</f>
        <v/>
      </c>
      <c r="D86" s="9">
        <f>IF(OR($G$79="",NOT(MAXIFS(SAISIE!$E$5:$E$204,SAISIE!$B$5:$B$204,"*Vent Av./Arr.*",SAISIE!$F$5:$F$204,$G$79)&gt;0)),"",IFERROR(MAXIFS(SAISIE!$E$5:$E$204,SAISIE!$B$5:$B$204,"*Vent Av./Arr.*",SAISIE!$F$5:$F$204,$G$79),"-"))</f>
        <v/>
      </c>
      <c r="E86" s="9">
        <f>IF($G$79="","",IF(OR(D86="",D86="-"),"",IF(D86&gt;0,"(soulevement)",IF(D86&lt;0,"(compression)","-"))))</f>
        <v/>
      </c>
    </row>
    <row r="87">
      <c r="A87" s="8">
        <f>IF(OR($G$79="",NOT(COUNTIFS(SAISIE!$B$5:$B$204,"*Vent Arr./Av.*",SAISIE!$F$5:$F$204,$G$79)&gt;0)),"","Vent Arr./Av.")</f>
        <v/>
      </c>
      <c r="B87" s="9">
        <f>IF(OR($G$79="",NOT(COUNTIFS(SAISIE!$B$5:$B$204,"*Vent Arr./Av.*",SAISIE!$F$5:$F$204,$G$79)&gt;0)),"",IFERROR(IF(MINIFS(SAISIE!$E$5:$E$204,SAISIE!$B$5:$B$204,"*Vent Arr./Av.*",SAISIE!$F$5:$F$204,$G$79)&gt;=0,MAXIFS(SAISIE!$C$5:$C$204,SAISIE!$B$5:$B$204,"*Vent Arr./Av.*",SAISIE!$F$5:$F$204,$G$79),INDEX(SAISIE!$C$5:$C$204,MATCH(MINIFS(SAISIE!$E$5:$E$204,SAISIE!$B$5:$B$204,"*Vent Arr./Av.*",SAISIE!$F$5:$F$204,$G$79),SAISIE!$E$5:$E$204,0))),"-"))</f>
        <v/>
      </c>
      <c r="C87" s="9">
        <f>IF(OR($G$79="",NOT(COUNTIFS(SAISIE!$B$5:$B$204,"*Vent Arr./Av.*",SAISIE!$F$5:$F$204,$G$79)&gt;0)),"",IFERROR(IF(MINIFS(SAISIE!$E$5:$E$204,SAISIE!$B$5:$B$204,"*Vent Arr./Av.*",SAISIE!$F$5:$F$204,$G$79)&gt;=0,INDEX(SAISIE!$D$5:$D$204,MATCH(MAXIFS(SAISIE!$C$5:$C$204,SAISIE!$B$5:$B$204,"*Vent Arr./Av.*",SAISIE!$F$5:$F$204,$G$79),SAISIE!$C$5:$C$204,0)),INDEX(SAISIE!$D$5:$D$204,MATCH(MINIFS(SAISIE!$E$5:$E$204,SAISIE!$B$5:$B$204,"*Vent Arr./Av.*",SAISIE!$F$5:$F$204,$G$79),SAISIE!$E$5:$E$204,0))),"-"))</f>
        <v/>
      </c>
      <c r="D87" s="9">
        <f>IF(OR($G$79="",NOT(COUNTIFS(SAISIE!$B$5:$B$204,"*Vent Arr./Av.*",SAISIE!$F$5:$F$204,$G$79)&gt;0)),"",IFERROR(IF(MINIFS(SAISIE!$E$5:$E$204,SAISIE!$B$5:$B$204,"*Vent Arr./Av.*",SAISIE!$F$5:$F$204,$G$79)&gt;=0,0,MINIFS(SAISIE!$E$5:$E$204,SAISIE!$B$5:$B$204,"*Vent Arr./Av.*",SAISIE!$F$5:$F$204,$G$79)),"-"))</f>
        <v/>
      </c>
      <c r="E87" s="9">
        <f>IF($G$79="","",IF(OR(D87="",D87="-"),"",IF(D87&gt;0,"(soulevement)",IF(D87&lt;0,"(compression)","-"))))</f>
        <v/>
      </c>
    </row>
    <row r="88">
      <c r="A88" s="8">
        <f>IF(OR($G$79="",NOT(MAXIFS(SAISIE!$E$5:$E$204,SAISIE!$B$5:$B$204,"*Vent Arr./Av.*",SAISIE!$F$5:$F$204,$G$79)&gt;0)),"","Vent Arr./Av.")</f>
        <v/>
      </c>
      <c r="B88" s="9">
        <f>IF(OR($G$79="",NOT(MAXIFS(SAISIE!$E$5:$E$204,SAISIE!$B$5:$B$204,"*Vent Arr./Av.*",SAISIE!$F$5:$F$204,$G$79)&gt;0)),"",IFERROR(INDEX(SAISIE!$C$5:$C$204,MATCH(MAXIFS(SAISIE!$E$5:$E$204,SAISIE!$B$5:$B$204,"*Vent Arr./Av.*",SAISIE!$F$5:$F$204,$G$79),SAISIE!$E$5:$E$204,0)),"-"))</f>
        <v/>
      </c>
      <c r="C88" s="9">
        <f>IF(OR($G$79="",NOT(MAXIFS(SAISIE!$E$5:$E$204,SAISIE!$B$5:$B$204,"*Vent Arr./Av.*",SAISIE!$F$5:$F$204,$G$79)&gt;0)),"",IFERROR(INDEX(SAISIE!$D$5:$D$204,MATCH(MAXIFS(SAISIE!$E$5:$E$204,SAISIE!$B$5:$B$204,"*Vent Arr./Av.*",SAISIE!$F$5:$F$204,$G$79),SAISIE!$E$5:$E$204,0)),"-"))</f>
        <v/>
      </c>
      <c r="D88" s="9">
        <f>IF(OR($G$79="",NOT(MAXIFS(SAISIE!$E$5:$E$204,SAISIE!$B$5:$B$204,"*Vent Arr./Av.*",SAISIE!$F$5:$F$204,$G$79)&gt;0)),"",IFERROR(MAXIFS(SAISIE!$E$5:$E$204,SAISIE!$B$5:$B$204,"*Vent Arr./Av.*",SAISIE!$F$5:$F$204,$G$79),"-"))</f>
        <v/>
      </c>
      <c r="E88" s="9">
        <f>IF($G$79="","",IF(OR(D88="",D88="-"),"",IF(D88&gt;0,"(soulevement)",IF(D88&lt;0,"(compression)","-"))))</f>
        <v/>
      </c>
    </row>
    <row r="89">
      <c r="A89" s="8">
        <f>IF(OR($G$79="",NOT(TRUE)),"","Neige normale")</f>
        <v/>
      </c>
      <c r="B89" s="9">
        <f>IF($G$79="","",IFERROR(INDEX(SAISIE!$C$5:$C$204,MATCH(MINIFS(SAISIE!$E$5:$E$204,SAISIE!$B$5:$B$204,"*Neige*",SAISIE!$B$5:$B$204,"&lt;&gt;*accidentel*",SAISIE!$F$5:$F$204,$G$79),SAISIE!$E$5:$E$204,0)),"-"))</f>
        <v/>
      </c>
      <c r="C89" s="9">
        <f>IF($G$79="","",IFERROR(INDEX(SAISIE!$D$5:$D$204,MATCH(MINIFS(SAISIE!$E$5:$E$204,SAISIE!$B$5:$B$204,"*Neige*",SAISIE!$B$5:$B$204,"&lt;&gt;*accidentel*",SAISIE!$F$5:$F$204,$G$79),SAISIE!$E$5:$E$204,0)),"-"))</f>
        <v/>
      </c>
      <c r="D89" s="9">
        <f>IF($G$79="","",IFERROR(INDEX(SAISIE!$E$5:$E$204,MATCH(MINIFS(SAISIE!$E$5:$E$204,SAISIE!$B$5:$B$204,"*Neige*",SAISIE!$B$5:$B$204,"&lt;&gt;*accidentel*",SAISIE!$F$5:$F$204,$G$79),SAISIE!$E$5:$E$204,0)),"-"))</f>
        <v/>
      </c>
      <c r="E89" s="9">
        <f>IF($G$79="","",IF(OR(D89="",D89="-"),"",IF(D89&gt;0,"(soulevement)",IF(D89&lt;0,"(compression)","-"))))</f>
        <v/>
      </c>
    </row>
    <row r="90">
      <c r="A90" s="8">
        <f>IF(OR($G$79="",NOT(TRUE)),"","Neige accidentelle")</f>
        <v/>
      </c>
      <c r="B90" s="9">
        <f>IF($G$79="","",IFERROR(LOOKUP(2,1/((SAISIE!$F$5:$F$204=$G$79)*(ISNUMBER(SEARCH("accidentel",SAISIE!$B$5:$B$204)))),SAISIE!$C$5:$C$204),"-"))</f>
        <v/>
      </c>
      <c r="C90" s="9">
        <f>IF($G$79="","",IFERROR(LOOKUP(2,1/((SAISIE!$F$5:$F$204=$G$79)*(ISNUMBER(SEARCH("accidentel",SAISIE!$B$5:$B$204)))),SAISIE!$D$5:$D$204),"-"))</f>
        <v/>
      </c>
      <c r="D90" s="9">
        <f>IF($G$79="","",IFERROR(LOOKUP(2,1/((SAISIE!$F$5:$F$204=$G$79)*(ISNUMBER(SEARCH("accidentel",SAISIE!$B$5:$B$204)))),SAISIE!$E$5:$E$204),"-"))</f>
        <v/>
      </c>
      <c r="E90" s="9">
        <f>IF($G$79="","",IF(OR(D90="",D90="-"),"",IF(D90&gt;0,"(soulevement)",IF(D90&lt;0,"(compression)","-"))))</f>
        <v/>
      </c>
    </row>
    <row r="91">
      <c r="A91" s="6">
        <f>IF($G$91="","","Noeud "&amp;$G$91)</f>
        <v/>
      </c>
      <c r="B91" s="7" t="n"/>
      <c r="C91" s="7" t="n"/>
      <c r="D91" s="7" t="n"/>
      <c r="E91" s="7" t="n"/>
      <c r="G91">
        <f>IFERROR(INDEX(SAISIE!$F$5:$F$204,AGGREGATE(15,6,ROW(SAISIE!$F$5:$F$204)-ROW(SAISIE!$F$5)+1/(SAISIE!$F$5:$F$204&lt;&gt;"")/(COUNTIF($G$4:G90,SAISIE!$F$5:$F$204)=0),1)),"")</f>
        <v/>
      </c>
    </row>
    <row r="92">
      <c r="A92" s="8">
        <f>IF(OR($G$91="",NOT(TRUE)),"","Couverture")</f>
        <v/>
      </c>
      <c r="B92" s="9">
        <f>IF($G$91="","",IFERROR(IFERROR(LOOKUP(2,1/((SAISIE!$F$5:$F$204=$G$91)*(LEFT(SAISIE!$B$5:$B$204,2)="G ")),SAISIE!$C$5:$C$204),LOOKUP(2,1/((SAISIE!$F$5:$F$204=$G$91)*(ISNUMBER(SEARCH("Couverture",SAISIE!$B$5:$B$204)))),SAISIE!$C$5:$C$204)),"-"))</f>
        <v/>
      </c>
      <c r="C92" s="9">
        <f>IF($G$91="","",IFERROR(IFERROR(LOOKUP(2,1/((SAISIE!$F$5:$F$204=$G$91)*(LEFT(SAISIE!$B$5:$B$204,2)="G ")),SAISIE!$D$5:$D$204),LOOKUP(2,1/((SAISIE!$F$5:$F$204=$G$91)*(ISNUMBER(SEARCH("Couverture",SAISIE!$B$5:$B$204)))),SAISIE!$D$5:$D$204)),"-"))</f>
        <v/>
      </c>
      <c r="D92" s="9">
        <f>IF($G$91="","",IFERROR(IFERROR(LOOKUP(2,1/((SAISIE!$F$5:$F$204=$G$91)*(LEFT(SAISIE!$B$5:$B$204,2)="G ")),SAISIE!$E$5:$E$204),LOOKUP(2,1/((SAISIE!$F$5:$F$204=$G$91)*(ISNUMBER(SEARCH("Couverture",SAISIE!$B$5:$B$204)))),SAISIE!$E$5:$E$204)),"-"))</f>
        <v/>
      </c>
      <c r="E92" s="9">
        <f>IF($G$91="","",IF(OR(D92="",D92="-"),"",IF(D92&gt;0,"(soulevement)",IF(D92&lt;0,"(compression)","-"))))</f>
        <v/>
      </c>
    </row>
    <row r="93">
      <c r="A93" s="8">
        <f>IF(OR($G$91="",NOT(COUNTIFS(SAISIE!$B$5:$B$204,"*Vent G/D*",SAISIE!$F$5:$F$204,$G$91)&gt;0)),"","Vent G/D")</f>
        <v/>
      </c>
      <c r="B93" s="9">
        <f>IF(OR($G$91="",NOT(COUNTIFS(SAISIE!$B$5:$B$204,"*Vent G/D*",SAISIE!$F$5:$F$204,$G$91)&gt;0)),"",IFERROR(IF(MINIFS(SAISIE!$E$5:$E$204,SAISIE!$B$5:$B$204,"*Vent G/D*",SAISIE!$F$5:$F$204,$G$91)&gt;=0,MAXIFS(SAISIE!$C$5:$C$204,SAISIE!$B$5:$B$204,"*Vent G/D*",SAISIE!$F$5:$F$204,$G$91),INDEX(SAISIE!$C$5:$C$204,MATCH(MINIFS(SAISIE!$E$5:$E$204,SAISIE!$B$5:$B$204,"*Vent G/D*",SAISIE!$F$5:$F$204,$G$91),SAISIE!$E$5:$E$204,0))),"-"))</f>
        <v/>
      </c>
      <c r="C93" s="9">
        <f>IF(OR($G$91="",NOT(COUNTIFS(SAISIE!$B$5:$B$204,"*Vent G/D*",SAISIE!$F$5:$F$204,$G$91)&gt;0)),"",IFERROR(IF(MINIFS(SAISIE!$E$5:$E$204,SAISIE!$B$5:$B$204,"*Vent G/D*",SAISIE!$F$5:$F$204,$G$91)&gt;=0,INDEX(SAISIE!$D$5:$D$204,MATCH(MAXIFS(SAISIE!$C$5:$C$204,SAISIE!$B$5:$B$204,"*Vent G/D*",SAISIE!$F$5:$F$204,$G$91),SAISIE!$C$5:$C$204,0)),INDEX(SAISIE!$D$5:$D$204,MATCH(MINIFS(SAISIE!$E$5:$E$204,SAISIE!$B$5:$B$204,"*Vent G/D*",SAISIE!$F$5:$F$204,$G$91),SAISIE!$E$5:$E$204,0))),"-"))</f>
        <v/>
      </c>
      <c r="D93" s="9">
        <f>IF(OR($G$91="",NOT(COUNTIFS(SAISIE!$B$5:$B$204,"*Vent G/D*",SAISIE!$F$5:$F$204,$G$91)&gt;0)),"",IFERROR(IF(MINIFS(SAISIE!$E$5:$E$204,SAISIE!$B$5:$B$204,"*Vent G/D*",SAISIE!$F$5:$F$204,$G$91)&gt;=0,0,MINIFS(SAISIE!$E$5:$E$204,SAISIE!$B$5:$B$204,"*Vent G/D*",SAISIE!$F$5:$F$204,$G$91)),"-"))</f>
        <v/>
      </c>
      <c r="E93" s="9">
        <f>IF($G$91="","",IF(OR(D93="",D93="-"),"",IF(D93&gt;0,"(soulevement)",IF(D93&lt;0,"(compression)","-"))))</f>
        <v/>
      </c>
    </row>
    <row r="94">
      <c r="A94" s="8">
        <f>IF(OR($G$91="",NOT(MAXIFS(SAISIE!$E$5:$E$204,SAISIE!$B$5:$B$204,"*Vent G/D*",SAISIE!$F$5:$F$204,$G$91)&gt;0)),"","Vent G/D")</f>
        <v/>
      </c>
      <c r="B94" s="9">
        <f>IF(OR($G$91="",NOT(MAXIFS(SAISIE!$E$5:$E$204,SAISIE!$B$5:$B$204,"*Vent G/D*",SAISIE!$F$5:$F$204,$G$91)&gt;0)),"",IFERROR(INDEX(SAISIE!$C$5:$C$204,MATCH(MAXIFS(SAISIE!$E$5:$E$204,SAISIE!$B$5:$B$204,"*Vent G/D*",SAISIE!$F$5:$F$204,$G$91),SAISIE!$E$5:$E$204,0)),"-"))</f>
        <v/>
      </c>
      <c r="C94" s="9">
        <f>IF(OR($G$91="",NOT(MAXIFS(SAISIE!$E$5:$E$204,SAISIE!$B$5:$B$204,"*Vent G/D*",SAISIE!$F$5:$F$204,$G$91)&gt;0)),"",IFERROR(INDEX(SAISIE!$D$5:$D$204,MATCH(MAXIFS(SAISIE!$E$5:$E$204,SAISIE!$B$5:$B$204,"*Vent G/D*",SAISIE!$F$5:$F$204,$G$91),SAISIE!$E$5:$E$204,0)),"-"))</f>
        <v/>
      </c>
      <c r="D94" s="9">
        <f>IF(OR($G$91="",NOT(MAXIFS(SAISIE!$E$5:$E$204,SAISIE!$B$5:$B$204,"*Vent G/D*",SAISIE!$F$5:$F$204,$G$91)&gt;0)),"",IFERROR(MAXIFS(SAISIE!$E$5:$E$204,SAISIE!$B$5:$B$204,"*Vent G/D*",SAISIE!$F$5:$F$204,$G$91),"-"))</f>
        <v/>
      </c>
      <c r="E94" s="9">
        <f>IF($G$91="","",IF(OR(D94="",D94="-"),"",IF(D94&gt;0,"(soulevement)",IF(D94&lt;0,"(compression)","-"))))</f>
        <v/>
      </c>
    </row>
    <row r="95">
      <c r="A95" s="8">
        <f>IF(OR($G$91="",NOT(COUNTIFS(SAISIE!$B$5:$B$204,"*Vent D/G*",SAISIE!$F$5:$F$204,$G$91)&gt;0)),"","Vent D/G")</f>
        <v/>
      </c>
      <c r="B95" s="9">
        <f>IF(OR($G$91="",NOT(COUNTIFS(SAISIE!$B$5:$B$204,"*Vent D/G*",SAISIE!$F$5:$F$204,$G$91)&gt;0)),"",IFERROR(IF(MINIFS(SAISIE!$E$5:$E$204,SAISIE!$B$5:$B$204,"*Vent D/G*",SAISIE!$F$5:$F$204,$G$91)&gt;=0,MAXIFS(SAISIE!$C$5:$C$204,SAISIE!$B$5:$B$204,"*Vent D/G*",SAISIE!$F$5:$F$204,$G$91),INDEX(SAISIE!$C$5:$C$204,MATCH(MINIFS(SAISIE!$E$5:$E$204,SAISIE!$B$5:$B$204,"*Vent D/G*",SAISIE!$F$5:$F$204,$G$91),SAISIE!$E$5:$E$204,0))),"-"))</f>
        <v/>
      </c>
      <c r="C95" s="9">
        <f>IF(OR($G$91="",NOT(COUNTIFS(SAISIE!$B$5:$B$204,"*Vent D/G*",SAISIE!$F$5:$F$204,$G$91)&gt;0)),"",IFERROR(IF(MINIFS(SAISIE!$E$5:$E$204,SAISIE!$B$5:$B$204,"*Vent D/G*",SAISIE!$F$5:$F$204,$G$91)&gt;=0,INDEX(SAISIE!$D$5:$D$204,MATCH(MAXIFS(SAISIE!$C$5:$C$204,SAISIE!$B$5:$B$204,"*Vent D/G*",SAISIE!$F$5:$F$204,$G$91),SAISIE!$C$5:$C$204,0)),INDEX(SAISIE!$D$5:$D$204,MATCH(MINIFS(SAISIE!$E$5:$E$204,SAISIE!$B$5:$B$204,"*Vent D/G*",SAISIE!$F$5:$F$204,$G$91),SAISIE!$E$5:$E$204,0))),"-"))</f>
        <v/>
      </c>
      <c r="D95" s="9">
        <f>IF(OR($G$91="",NOT(COUNTIFS(SAISIE!$B$5:$B$204,"*Vent D/G*",SAISIE!$F$5:$F$204,$G$91)&gt;0)),"",IFERROR(IF(MINIFS(SAISIE!$E$5:$E$204,SAISIE!$B$5:$B$204,"*Vent D/G*",SAISIE!$F$5:$F$204,$G$91)&gt;=0,0,MINIFS(SAISIE!$E$5:$E$204,SAISIE!$B$5:$B$204,"*Vent D/G*",SAISIE!$F$5:$F$204,$G$91)),"-"))</f>
        <v/>
      </c>
      <c r="E95" s="9">
        <f>IF($G$91="","",IF(OR(D95="",D95="-"),"",IF(D95&gt;0,"(soulevement)",IF(D95&lt;0,"(compression)","-"))))</f>
        <v/>
      </c>
    </row>
    <row r="96">
      <c r="A96" s="8">
        <f>IF(OR($G$91="",NOT(MAXIFS(SAISIE!$E$5:$E$204,SAISIE!$B$5:$B$204,"*Vent D/G*",SAISIE!$F$5:$F$204,$G$91)&gt;0)),"","Vent D/G")</f>
        <v/>
      </c>
      <c r="B96" s="9">
        <f>IF(OR($G$91="",NOT(MAXIFS(SAISIE!$E$5:$E$204,SAISIE!$B$5:$B$204,"*Vent D/G*",SAISIE!$F$5:$F$204,$G$91)&gt;0)),"",IFERROR(INDEX(SAISIE!$C$5:$C$204,MATCH(MAXIFS(SAISIE!$E$5:$E$204,SAISIE!$B$5:$B$204,"*Vent D/G*",SAISIE!$F$5:$F$204,$G$91),SAISIE!$E$5:$E$204,0)),"-"))</f>
        <v/>
      </c>
      <c r="C96" s="9">
        <f>IF(OR($G$91="",NOT(MAXIFS(SAISIE!$E$5:$E$204,SAISIE!$B$5:$B$204,"*Vent D/G*",SAISIE!$F$5:$F$204,$G$91)&gt;0)),"",IFERROR(INDEX(SAISIE!$D$5:$D$204,MATCH(MAXIFS(SAISIE!$E$5:$E$204,SAISIE!$B$5:$B$204,"*Vent D/G*",SAISIE!$F$5:$F$204,$G$91),SAISIE!$E$5:$E$204,0)),"-"))</f>
        <v/>
      </c>
      <c r="D96" s="9">
        <f>IF(OR($G$91="",NOT(MAXIFS(SAISIE!$E$5:$E$204,SAISIE!$B$5:$B$204,"*Vent D/G*",SAISIE!$F$5:$F$204,$G$91)&gt;0)),"",IFERROR(MAXIFS(SAISIE!$E$5:$E$204,SAISIE!$B$5:$B$204,"*Vent D/G*",SAISIE!$F$5:$F$204,$G$91),"-"))</f>
        <v/>
      </c>
      <c r="E96" s="9">
        <f>IF($G$91="","",IF(OR(D96="",D96="-"),"",IF(D96&gt;0,"(soulevement)",IF(D96&lt;0,"(compression)","-"))))</f>
        <v/>
      </c>
    </row>
    <row r="97">
      <c r="A97" s="8">
        <f>IF(OR($G$91="",NOT(COUNTIFS(SAISIE!$B$5:$B$204,"*Vent Av./Arr.*",SAISIE!$F$5:$F$204,$G$91)&gt;0)),"","Vent Av./Arr.")</f>
        <v/>
      </c>
      <c r="B97" s="9">
        <f>IF(OR($G$91="",NOT(COUNTIFS(SAISIE!$B$5:$B$204,"*Vent Av./Arr.*",SAISIE!$F$5:$F$204,$G$91)&gt;0)),"",IFERROR(IF(MINIFS(SAISIE!$E$5:$E$204,SAISIE!$B$5:$B$204,"*Vent Av./Arr.*",SAISIE!$F$5:$F$204,$G$91)&gt;=0,MAXIFS(SAISIE!$C$5:$C$204,SAISIE!$B$5:$B$204,"*Vent Av./Arr.*",SAISIE!$F$5:$F$204,$G$91),INDEX(SAISIE!$C$5:$C$204,MATCH(MINIFS(SAISIE!$E$5:$E$204,SAISIE!$B$5:$B$204,"*Vent Av./Arr.*",SAISIE!$F$5:$F$204,$G$91),SAISIE!$E$5:$E$204,0))),"-"))</f>
        <v/>
      </c>
      <c r="C97" s="9">
        <f>IF(OR($G$91="",NOT(COUNTIFS(SAISIE!$B$5:$B$204,"*Vent Av./Arr.*",SAISIE!$F$5:$F$204,$G$91)&gt;0)),"",IFERROR(IF(MINIFS(SAISIE!$E$5:$E$204,SAISIE!$B$5:$B$204,"*Vent Av./Arr.*",SAISIE!$F$5:$F$204,$G$91)&gt;=0,INDEX(SAISIE!$D$5:$D$204,MATCH(MAXIFS(SAISIE!$C$5:$C$204,SAISIE!$B$5:$B$204,"*Vent Av./Arr.*",SAISIE!$F$5:$F$204,$G$91),SAISIE!$C$5:$C$204,0)),INDEX(SAISIE!$D$5:$D$204,MATCH(MINIFS(SAISIE!$E$5:$E$204,SAISIE!$B$5:$B$204,"*Vent Av./Arr.*",SAISIE!$F$5:$F$204,$G$91),SAISIE!$E$5:$E$204,0))),"-"))</f>
        <v/>
      </c>
      <c r="D97" s="9">
        <f>IF(OR($G$91="",NOT(COUNTIFS(SAISIE!$B$5:$B$204,"*Vent Av./Arr.*",SAISIE!$F$5:$F$204,$G$91)&gt;0)),"",IFERROR(IF(MINIFS(SAISIE!$E$5:$E$204,SAISIE!$B$5:$B$204,"*Vent Av./Arr.*",SAISIE!$F$5:$F$204,$G$91)&gt;=0,0,MINIFS(SAISIE!$E$5:$E$204,SAISIE!$B$5:$B$204,"*Vent Av./Arr.*",SAISIE!$F$5:$F$204,$G$91)),"-"))</f>
        <v/>
      </c>
      <c r="E97" s="9">
        <f>IF($G$91="","",IF(OR(D97="",D97="-"),"",IF(D97&gt;0,"(soulevement)",IF(D97&lt;0,"(compression)","-"))))</f>
        <v/>
      </c>
    </row>
    <row r="98">
      <c r="A98" s="8">
        <f>IF(OR($G$91="",NOT(MAXIFS(SAISIE!$E$5:$E$204,SAISIE!$B$5:$B$204,"*Vent Av./Arr.*",SAISIE!$F$5:$F$204,$G$91)&gt;0)),"","Vent Av./Arr.")</f>
        <v/>
      </c>
      <c r="B98" s="9">
        <f>IF(OR($G$91="",NOT(MAXIFS(SAISIE!$E$5:$E$204,SAISIE!$B$5:$B$204,"*Vent Av./Arr.*",SAISIE!$F$5:$F$204,$G$91)&gt;0)),"",IFERROR(INDEX(SAISIE!$C$5:$C$204,MATCH(MAXIFS(SAISIE!$E$5:$E$204,SAISIE!$B$5:$B$204,"*Vent Av./Arr.*",SAISIE!$F$5:$F$204,$G$91),SAISIE!$E$5:$E$204,0)),"-"))</f>
        <v/>
      </c>
      <c r="C98" s="9">
        <f>IF(OR($G$91="",NOT(MAXIFS(SAISIE!$E$5:$E$204,SAISIE!$B$5:$B$204,"*Vent Av./Arr.*",SAISIE!$F$5:$F$204,$G$91)&gt;0)),"",IFERROR(INDEX(SAISIE!$D$5:$D$204,MATCH(MAXIFS(SAISIE!$E$5:$E$204,SAISIE!$B$5:$B$204,"*Vent Av./Arr.*",SAISIE!$F$5:$F$204,$G$91),SAISIE!$E$5:$E$204,0)),"-"))</f>
        <v/>
      </c>
      <c r="D98" s="9">
        <f>IF(OR($G$91="",NOT(MAXIFS(SAISIE!$E$5:$E$204,SAISIE!$B$5:$B$204,"*Vent Av./Arr.*",SAISIE!$F$5:$F$204,$G$91)&gt;0)),"",IFERROR(MAXIFS(SAISIE!$E$5:$E$204,SAISIE!$B$5:$B$204,"*Vent Av./Arr.*",SAISIE!$F$5:$F$204,$G$91),"-"))</f>
        <v/>
      </c>
      <c r="E98" s="9">
        <f>IF($G$91="","",IF(OR(D98="",D98="-"),"",IF(D98&gt;0,"(soulevement)",IF(D98&lt;0,"(compression)","-"))))</f>
        <v/>
      </c>
    </row>
    <row r="99">
      <c r="A99" s="8">
        <f>IF(OR($G$91="",NOT(COUNTIFS(SAISIE!$B$5:$B$204,"*Vent Arr./Av.*",SAISIE!$F$5:$F$204,$G$91)&gt;0)),"","Vent Arr./Av.")</f>
        <v/>
      </c>
      <c r="B99" s="9">
        <f>IF(OR($G$91="",NOT(COUNTIFS(SAISIE!$B$5:$B$204,"*Vent Arr./Av.*",SAISIE!$F$5:$F$204,$G$91)&gt;0)),"",IFERROR(IF(MINIFS(SAISIE!$E$5:$E$204,SAISIE!$B$5:$B$204,"*Vent Arr./Av.*",SAISIE!$F$5:$F$204,$G$91)&gt;=0,MAXIFS(SAISIE!$C$5:$C$204,SAISIE!$B$5:$B$204,"*Vent Arr./Av.*",SAISIE!$F$5:$F$204,$G$91),INDEX(SAISIE!$C$5:$C$204,MATCH(MINIFS(SAISIE!$E$5:$E$204,SAISIE!$B$5:$B$204,"*Vent Arr./Av.*",SAISIE!$F$5:$F$204,$G$91),SAISIE!$E$5:$E$204,0))),"-"))</f>
        <v/>
      </c>
      <c r="C99" s="9">
        <f>IF(OR($G$91="",NOT(COUNTIFS(SAISIE!$B$5:$B$204,"*Vent Arr./Av.*",SAISIE!$F$5:$F$204,$G$91)&gt;0)),"",IFERROR(IF(MINIFS(SAISIE!$E$5:$E$204,SAISIE!$B$5:$B$204,"*Vent Arr./Av.*",SAISIE!$F$5:$F$204,$G$91)&gt;=0,INDEX(SAISIE!$D$5:$D$204,MATCH(MAXIFS(SAISIE!$C$5:$C$204,SAISIE!$B$5:$B$204,"*Vent Arr./Av.*",SAISIE!$F$5:$F$204,$G$91),SAISIE!$C$5:$C$204,0)),INDEX(SAISIE!$D$5:$D$204,MATCH(MINIFS(SAISIE!$E$5:$E$204,SAISIE!$B$5:$B$204,"*Vent Arr./Av.*",SAISIE!$F$5:$F$204,$G$91),SAISIE!$E$5:$E$204,0))),"-"))</f>
        <v/>
      </c>
      <c r="D99" s="9">
        <f>IF(OR($G$91="",NOT(COUNTIFS(SAISIE!$B$5:$B$204,"*Vent Arr./Av.*",SAISIE!$F$5:$F$204,$G$91)&gt;0)),"",IFERROR(IF(MINIFS(SAISIE!$E$5:$E$204,SAISIE!$B$5:$B$204,"*Vent Arr./Av.*",SAISIE!$F$5:$F$204,$G$91)&gt;=0,0,MINIFS(SAISIE!$E$5:$E$204,SAISIE!$B$5:$B$204,"*Vent Arr./Av.*",SAISIE!$F$5:$F$204,$G$91)),"-"))</f>
        <v/>
      </c>
      <c r="E99" s="9">
        <f>IF($G$91="","",IF(OR(D99="",D99="-"),"",IF(D99&gt;0,"(soulevement)",IF(D99&lt;0,"(compression)","-"))))</f>
        <v/>
      </c>
    </row>
    <row r="100">
      <c r="A100" s="8">
        <f>IF(OR($G$91="",NOT(MAXIFS(SAISIE!$E$5:$E$204,SAISIE!$B$5:$B$204,"*Vent Arr./Av.*",SAISIE!$F$5:$F$204,$G$91)&gt;0)),"","Vent Arr./Av.")</f>
        <v/>
      </c>
      <c r="B100" s="9">
        <f>IF(OR($G$91="",NOT(MAXIFS(SAISIE!$E$5:$E$204,SAISIE!$B$5:$B$204,"*Vent Arr./Av.*",SAISIE!$F$5:$F$204,$G$91)&gt;0)),"",IFERROR(INDEX(SAISIE!$C$5:$C$204,MATCH(MAXIFS(SAISIE!$E$5:$E$204,SAISIE!$B$5:$B$204,"*Vent Arr./Av.*",SAISIE!$F$5:$F$204,$G$91),SAISIE!$E$5:$E$204,0)),"-"))</f>
        <v/>
      </c>
      <c r="C100" s="9">
        <f>IF(OR($G$91="",NOT(MAXIFS(SAISIE!$E$5:$E$204,SAISIE!$B$5:$B$204,"*Vent Arr./Av.*",SAISIE!$F$5:$F$204,$G$91)&gt;0)),"",IFERROR(INDEX(SAISIE!$D$5:$D$204,MATCH(MAXIFS(SAISIE!$E$5:$E$204,SAISIE!$B$5:$B$204,"*Vent Arr./Av.*",SAISIE!$F$5:$F$204,$G$91),SAISIE!$E$5:$E$204,0)),"-"))</f>
        <v/>
      </c>
      <c r="D100" s="9">
        <f>IF(OR($G$91="",NOT(MAXIFS(SAISIE!$E$5:$E$204,SAISIE!$B$5:$B$204,"*Vent Arr./Av.*",SAISIE!$F$5:$F$204,$G$91)&gt;0)),"",IFERROR(MAXIFS(SAISIE!$E$5:$E$204,SAISIE!$B$5:$B$204,"*Vent Arr./Av.*",SAISIE!$F$5:$F$204,$G$91),"-"))</f>
        <v/>
      </c>
      <c r="E100" s="9">
        <f>IF($G$91="","",IF(OR(D100="",D100="-"),"",IF(D100&gt;0,"(soulevement)",IF(D100&lt;0,"(compression)","-"))))</f>
        <v/>
      </c>
    </row>
    <row r="101">
      <c r="A101" s="8">
        <f>IF(OR($G$91="",NOT(TRUE)),"","Neige normale")</f>
        <v/>
      </c>
      <c r="B101" s="9">
        <f>IF($G$91="","",IFERROR(INDEX(SAISIE!$C$5:$C$204,MATCH(MINIFS(SAISIE!$E$5:$E$204,SAISIE!$B$5:$B$204,"*Neige*",SAISIE!$B$5:$B$204,"&lt;&gt;*accidentel*",SAISIE!$F$5:$F$204,$G$91),SAISIE!$E$5:$E$204,0)),"-"))</f>
        <v/>
      </c>
      <c r="C101" s="9">
        <f>IF($G$91="","",IFERROR(INDEX(SAISIE!$D$5:$D$204,MATCH(MINIFS(SAISIE!$E$5:$E$204,SAISIE!$B$5:$B$204,"*Neige*",SAISIE!$B$5:$B$204,"&lt;&gt;*accidentel*",SAISIE!$F$5:$F$204,$G$91),SAISIE!$E$5:$E$204,0)),"-"))</f>
        <v/>
      </c>
      <c r="D101" s="9">
        <f>IF($G$91="","",IFERROR(INDEX(SAISIE!$E$5:$E$204,MATCH(MINIFS(SAISIE!$E$5:$E$204,SAISIE!$B$5:$B$204,"*Neige*",SAISIE!$B$5:$B$204,"&lt;&gt;*accidentel*",SAISIE!$F$5:$F$204,$G$91),SAISIE!$E$5:$E$204,0)),"-"))</f>
        <v/>
      </c>
      <c r="E101" s="9">
        <f>IF($G$91="","",IF(OR(D101="",D101="-"),"",IF(D101&gt;0,"(soulevement)",IF(D101&lt;0,"(compression)","-"))))</f>
        <v/>
      </c>
    </row>
    <row r="102">
      <c r="A102" s="8">
        <f>IF(OR($G$91="",NOT(TRUE)),"","Neige accidentelle")</f>
        <v/>
      </c>
      <c r="B102" s="9">
        <f>IF($G$91="","",IFERROR(LOOKUP(2,1/((SAISIE!$F$5:$F$204=$G$91)*(ISNUMBER(SEARCH("accidentel",SAISIE!$B$5:$B$204)))),SAISIE!$C$5:$C$204),"-"))</f>
        <v/>
      </c>
      <c r="C102" s="9">
        <f>IF($G$91="","",IFERROR(LOOKUP(2,1/((SAISIE!$F$5:$F$204=$G$91)*(ISNUMBER(SEARCH("accidentel",SAISIE!$B$5:$B$204)))),SAISIE!$D$5:$D$204),"-"))</f>
        <v/>
      </c>
      <c r="D102" s="9">
        <f>IF($G$91="","",IFERROR(LOOKUP(2,1/((SAISIE!$F$5:$F$204=$G$91)*(ISNUMBER(SEARCH("accidentel",SAISIE!$B$5:$B$204)))),SAISIE!$E$5:$E$204),"-"))</f>
        <v/>
      </c>
      <c r="E102" s="9">
        <f>IF($G$91="","",IF(OR(D102="",D102="-"),"",IF(D102&gt;0,"(soulevement)",IF(D102&lt;0,"(compression)","-"))))</f>
        <v/>
      </c>
    </row>
    <row r="103">
      <c r="A103" s="6">
        <f>IF($G$103="","","Noeud "&amp;$G$103)</f>
        <v/>
      </c>
      <c r="B103" s="7" t="n"/>
      <c r="C103" s="7" t="n"/>
      <c r="D103" s="7" t="n"/>
      <c r="E103" s="7" t="n"/>
      <c r="G103">
        <f>IFERROR(INDEX(SAISIE!$F$5:$F$204,AGGREGATE(15,6,ROW(SAISIE!$F$5:$F$204)-ROW(SAISIE!$F$5)+1/(SAISIE!$F$5:$F$204&lt;&gt;"")/(COUNTIF($G$4:G102,SAISIE!$F$5:$F$204)=0),1)),"")</f>
        <v/>
      </c>
    </row>
    <row r="104">
      <c r="A104" s="8">
        <f>IF(OR($G$103="",NOT(TRUE)),"","Couverture")</f>
        <v/>
      </c>
      <c r="B104" s="9">
        <f>IF($G$103="","",IFERROR(IFERROR(LOOKUP(2,1/((SAISIE!$F$5:$F$204=$G$103)*(LEFT(SAISIE!$B$5:$B$204,2)="G ")),SAISIE!$C$5:$C$204),LOOKUP(2,1/((SAISIE!$F$5:$F$204=$G$103)*(ISNUMBER(SEARCH("Couverture",SAISIE!$B$5:$B$204)))),SAISIE!$C$5:$C$204)),"-"))</f>
        <v/>
      </c>
      <c r="C104" s="9">
        <f>IF($G$103="","",IFERROR(IFERROR(LOOKUP(2,1/((SAISIE!$F$5:$F$204=$G$103)*(LEFT(SAISIE!$B$5:$B$204,2)="G ")),SAISIE!$D$5:$D$204),LOOKUP(2,1/((SAISIE!$F$5:$F$204=$G$103)*(ISNUMBER(SEARCH("Couverture",SAISIE!$B$5:$B$204)))),SAISIE!$D$5:$D$204)),"-"))</f>
        <v/>
      </c>
      <c r="D104" s="9">
        <f>IF($G$103="","",IFERROR(IFERROR(LOOKUP(2,1/((SAISIE!$F$5:$F$204=$G$103)*(LEFT(SAISIE!$B$5:$B$204,2)="G ")),SAISIE!$E$5:$E$204),LOOKUP(2,1/((SAISIE!$F$5:$F$204=$G$103)*(ISNUMBER(SEARCH("Couverture",SAISIE!$B$5:$B$204)))),SAISIE!$E$5:$E$204)),"-"))</f>
        <v/>
      </c>
      <c r="E104" s="9">
        <f>IF($G$103="","",IF(OR(D104="",D104="-"),"",IF(D104&gt;0,"(soulevement)",IF(D104&lt;0,"(compression)","-"))))</f>
        <v/>
      </c>
    </row>
    <row r="105">
      <c r="A105" s="8">
        <f>IF(OR($G$103="",NOT(COUNTIFS(SAISIE!$B$5:$B$204,"*Vent G/D*",SAISIE!$F$5:$F$204,$G$103)&gt;0)),"","Vent G/D")</f>
        <v/>
      </c>
      <c r="B105" s="9">
        <f>IF(OR($G$103="",NOT(COUNTIFS(SAISIE!$B$5:$B$204,"*Vent G/D*",SAISIE!$F$5:$F$204,$G$103)&gt;0)),"",IFERROR(IF(MINIFS(SAISIE!$E$5:$E$204,SAISIE!$B$5:$B$204,"*Vent G/D*",SAISIE!$F$5:$F$204,$G$103)&gt;=0,MAXIFS(SAISIE!$C$5:$C$204,SAISIE!$B$5:$B$204,"*Vent G/D*",SAISIE!$F$5:$F$204,$G$103),INDEX(SAISIE!$C$5:$C$204,MATCH(MINIFS(SAISIE!$E$5:$E$204,SAISIE!$B$5:$B$204,"*Vent G/D*",SAISIE!$F$5:$F$204,$G$103),SAISIE!$E$5:$E$204,0))),"-"))</f>
        <v/>
      </c>
      <c r="C105" s="9">
        <f>IF(OR($G$103="",NOT(COUNTIFS(SAISIE!$B$5:$B$204,"*Vent G/D*",SAISIE!$F$5:$F$204,$G$103)&gt;0)),"",IFERROR(IF(MINIFS(SAISIE!$E$5:$E$204,SAISIE!$B$5:$B$204,"*Vent G/D*",SAISIE!$F$5:$F$204,$G$103)&gt;=0,INDEX(SAISIE!$D$5:$D$204,MATCH(MAXIFS(SAISIE!$C$5:$C$204,SAISIE!$B$5:$B$204,"*Vent G/D*",SAISIE!$F$5:$F$204,$G$103),SAISIE!$C$5:$C$204,0)),INDEX(SAISIE!$D$5:$D$204,MATCH(MINIFS(SAISIE!$E$5:$E$204,SAISIE!$B$5:$B$204,"*Vent G/D*",SAISIE!$F$5:$F$204,$G$103),SAISIE!$E$5:$E$204,0))),"-"))</f>
        <v/>
      </c>
      <c r="D105" s="9">
        <f>IF(OR($G$103="",NOT(COUNTIFS(SAISIE!$B$5:$B$204,"*Vent G/D*",SAISIE!$F$5:$F$204,$G$103)&gt;0)),"",IFERROR(IF(MINIFS(SAISIE!$E$5:$E$204,SAISIE!$B$5:$B$204,"*Vent G/D*",SAISIE!$F$5:$F$204,$G$103)&gt;=0,0,MINIFS(SAISIE!$E$5:$E$204,SAISIE!$B$5:$B$204,"*Vent G/D*",SAISIE!$F$5:$F$204,$G$103)),"-"))</f>
        <v/>
      </c>
      <c r="E105" s="9">
        <f>IF($G$103="","",IF(OR(D105="",D105="-"),"",IF(D105&gt;0,"(soulevement)",IF(D105&lt;0,"(compression)","-"))))</f>
        <v/>
      </c>
    </row>
    <row r="106">
      <c r="A106" s="8">
        <f>IF(OR($G$103="",NOT(MAXIFS(SAISIE!$E$5:$E$204,SAISIE!$B$5:$B$204,"*Vent G/D*",SAISIE!$F$5:$F$204,$G$103)&gt;0)),"","Vent G/D")</f>
        <v/>
      </c>
      <c r="B106" s="9">
        <f>IF(OR($G$103="",NOT(MAXIFS(SAISIE!$E$5:$E$204,SAISIE!$B$5:$B$204,"*Vent G/D*",SAISIE!$F$5:$F$204,$G$103)&gt;0)),"",IFERROR(INDEX(SAISIE!$C$5:$C$204,MATCH(MAXIFS(SAISIE!$E$5:$E$204,SAISIE!$B$5:$B$204,"*Vent G/D*",SAISIE!$F$5:$F$204,$G$103),SAISIE!$E$5:$E$204,0)),"-"))</f>
        <v/>
      </c>
      <c r="C106" s="9">
        <f>IF(OR($G$103="",NOT(MAXIFS(SAISIE!$E$5:$E$204,SAISIE!$B$5:$B$204,"*Vent G/D*",SAISIE!$F$5:$F$204,$G$103)&gt;0)),"",IFERROR(INDEX(SAISIE!$D$5:$D$204,MATCH(MAXIFS(SAISIE!$E$5:$E$204,SAISIE!$B$5:$B$204,"*Vent G/D*",SAISIE!$F$5:$F$204,$G$103),SAISIE!$E$5:$E$204,0)),"-"))</f>
        <v/>
      </c>
      <c r="D106" s="9">
        <f>IF(OR($G$103="",NOT(MAXIFS(SAISIE!$E$5:$E$204,SAISIE!$B$5:$B$204,"*Vent G/D*",SAISIE!$F$5:$F$204,$G$103)&gt;0)),"",IFERROR(MAXIFS(SAISIE!$E$5:$E$204,SAISIE!$B$5:$B$204,"*Vent G/D*",SAISIE!$F$5:$F$204,$G$103),"-"))</f>
        <v/>
      </c>
      <c r="E106" s="9">
        <f>IF($G$103="","",IF(OR(D106="",D106="-"),"",IF(D106&gt;0,"(soulevement)",IF(D106&lt;0,"(compression)","-"))))</f>
        <v/>
      </c>
    </row>
    <row r="107">
      <c r="A107" s="8">
        <f>IF(OR($G$103="",NOT(COUNTIFS(SAISIE!$B$5:$B$204,"*Vent D/G*",SAISIE!$F$5:$F$204,$G$103)&gt;0)),"","Vent D/G")</f>
        <v/>
      </c>
      <c r="B107" s="9">
        <f>IF(OR($G$103="",NOT(COUNTIFS(SAISIE!$B$5:$B$204,"*Vent D/G*",SAISIE!$F$5:$F$204,$G$103)&gt;0)),"",IFERROR(IF(MINIFS(SAISIE!$E$5:$E$204,SAISIE!$B$5:$B$204,"*Vent D/G*",SAISIE!$F$5:$F$204,$G$103)&gt;=0,MAXIFS(SAISIE!$C$5:$C$204,SAISIE!$B$5:$B$204,"*Vent D/G*",SAISIE!$F$5:$F$204,$G$103),INDEX(SAISIE!$C$5:$C$204,MATCH(MINIFS(SAISIE!$E$5:$E$204,SAISIE!$B$5:$B$204,"*Vent D/G*",SAISIE!$F$5:$F$204,$G$103),SAISIE!$E$5:$E$204,0))),"-"))</f>
        <v/>
      </c>
      <c r="C107" s="9">
        <f>IF(OR($G$103="",NOT(COUNTIFS(SAISIE!$B$5:$B$204,"*Vent D/G*",SAISIE!$F$5:$F$204,$G$103)&gt;0)),"",IFERROR(IF(MINIFS(SAISIE!$E$5:$E$204,SAISIE!$B$5:$B$204,"*Vent D/G*",SAISIE!$F$5:$F$204,$G$103)&gt;=0,INDEX(SAISIE!$D$5:$D$204,MATCH(MAXIFS(SAISIE!$C$5:$C$204,SAISIE!$B$5:$B$204,"*Vent D/G*",SAISIE!$F$5:$F$204,$G$103),SAISIE!$C$5:$C$204,0)),INDEX(SAISIE!$D$5:$D$204,MATCH(MINIFS(SAISIE!$E$5:$E$204,SAISIE!$B$5:$B$204,"*Vent D/G*",SAISIE!$F$5:$F$204,$G$103),SAISIE!$E$5:$E$204,0))),"-"))</f>
        <v/>
      </c>
      <c r="D107" s="9">
        <f>IF(OR($G$103="",NOT(COUNTIFS(SAISIE!$B$5:$B$204,"*Vent D/G*",SAISIE!$F$5:$F$204,$G$103)&gt;0)),"",IFERROR(IF(MINIFS(SAISIE!$E$5:$E$204,SAISIE!$B$5:$B$204,"*Vent D/G*",SAISIE!$F$5:$F$204,$G$103)&gt;=0,0,MINIFS(SAISIE!$E$5:$E$204,SAISIE!$B$5:$B$204,"*Vent D/G*",SAISIE!$F$5:$F$204,$G$103)),"-"))</f>
        <v/>
      </c>
      <c r="E107" s="9">
        <f>IF($G$103="","",IF(OR(D107="",D107="-"),"",IF(D107&gt;0,"(soulevement)",IF(D107&lt;0,"(compression)","-"))))</f>
        <v/>
      </c>
    </row>
    <row r="108">
      <c r="A108" s="8">
        <f>IF(OR($G$103="",NOT(MAXIFS(SAISIE!$E$5:$E$204,SAISIE!$B$5:$B$204,"*Vent D/G*",SAISIE!$F$5:$F$204,$G$103)&gt;0)),"","Vent D/G")</f>
        <v/>
      </c>
      <c r="B108" s="9">
        <f>IF(OR($G$103="",NOT(MAXIFS(SAISIE!$E$5:$E$204,SAISIE!$B$5:$B$204,"*Vent D/G*",SAISIE!$F$5:$F$204,$G$103)&gt;0)),"",IFERROR(INDEX(SAISIE!$C$5:$C$204,MATCH(MAXIFS(SAISIE!$E$5:$E$204,SAISIE!$B$5:$B$204,"*Vent D/G*",SAISIE!$F$5:$F$204,$G$103),SAISIE!$E$5:$E$204,0)),"-"))</f>
        <v/>
      </c>
      <c r="C108" s="9">
        <f>IF(OR($G$103="",NOT(MAXIFS(SAISIE!$E$5:$E$204,SAISIE!$B$5:$B$204,"*Vent D/G*",SAISIE!$F$5:$F$204,$G$103)&gt;0)),"",IFERROR(INDEX(SAISIE!$D$5:$D$204,MATCH(MAXIFS(SAISIE!$E$5:$E$204,SAISIE!$B$5:$B$204,"*Vent D/G*",SAISIE!$F$5:$F$204,$G$103),SAISIE!$E$5:$E$204,0)),"-"))</f>
        <v/>
      </c>
      <c r="D108" s="9">
        <f>IF(OR($G$103="",NOT(MAXIFS(SAISIE!$E$5:$E$204,SAISIE!$B$5:$B$204,"*Vent D/G*",SAISIE!$F$5:$F$204,$G$103)&gt;0)),"",IFERROR(MAXIFS(SAISIE!$E$5:$E$204,SAISIE!$B$5:$B$204,"*Vent D/G*",SAISIE!$F$5:$F$204,$G$103),"-"))</f>
        <v/>
      </c>
      <c r="E108" s="9">
        <f>IF($G$103="","",IF(OR(D108="",D108="-"),"",IF(D108&gt;0,"(soulevement)",IF(D108&lt;0,"(compression)","-"))))</f>
        <v/>
      </c>
    </row>
    <row r="109">
      <c r="A109" s="8">
        <f>IF(OR($G$103="",NOT(COUNTIFS(SAISIE!$B$5:$B$204,"*Vent Av./Arr.*",SAISIE!$F$5:$F$204,$G$103)&gt;0)),"","Vent Av./Arr.")</f>
        <v/>
      </c>
      <c r="B109" s="9">
        <f>IF(OR($G$103="",NOT(COUNTIFS(SAISIE!$B$5:$B$204,"*Vent Av./Arr.*",SAISIE!$F$5:$F$204,$G$103)&gt;0)),"",IFERROR(IF(MINIFS(SAISIE!$E$5:$E$204,SAISIE!$B$5:$B$204,"*Vent Av./Arr.*",SAISIE!$F$5:$F$204,$G$103)&gt;=0,MAXIFS(SAISIE!$C$5:$C$204,SAISIE!$B$5:$B$204,"*Vent Av./Arr.*",SAISIE!$F$5:$F$204,$G$103),INDEX(SAISIE!$C$5:$C$204,MATCH(MINIFS(SAISIE!$E$5:$E$204,SAISIE!$B$5:$B$204,"*Vent Av./Arr.*",SAISIE!$F$5:$F$204,$G$103),SAISIE!$E$5:$E$204,0))),"-"))</f>
        <v/>
      </c>
      <c r="C109" s="9">
        <f>IF(OR($G$103="",NOT(COUNTIFS(SAISIE!$B$5:$B$204,"*Vent Av./Arr.*",SAISIE!$F$5:$F$204,$G$103)&gt;0)),"",IFERROR(IF(MINIFS(SAISIE!$E$5:$E$204,SAISIE!$B$5:$B$204,"*Vent Av./Arr.*",SAISIE!$F$5:$F$204,$G$103)&gt;=0,INDEX(SAISIE!$D$5:$D$204,MATCH(MAXIFS(SAISIE!$C$5:$C$204,SAISIE!$B$5:$B$204,"*Vent Av./Arr.*",SAISIE!$F$5:$F$204,$G$103),SAISIE!$C$5:$C$204,0)),INDEX(SAISIE!$D$5:$D$204,MATCH(MINIFS(SAISIE!$E$5:$E$204,SAISIE!$B$5:$B$204,"*Vent Av./Arr.*",SAISIE!$F$5:$F$204,$G$103),SAISIE!$E$5:$E$204,0))),"-"))</f>
        <v/>
      </c>
      <c r="D109" s="9">
        <f>IF(OR($G$103="",NOT(COUNTIFS(SAISIE!$B$5:$B$204,"*Vent Av./Arr.*",SAISIE!$F$5:$F$204,$G$103)&gt;0)),"",IFERROR(IF(MINIFS(SAISIE!$E$5:$E$204,SAISIE!$B$5:$B$204,"*Vent Av./Arr.*",SAISIE!$F$5:$F$204,$G$103)&gt;=0,0,MINIFS(SAISIE!$E$5:$E$204,SAISIE!$B$5:$B$204,"*Vent Av./Arr.*",SAISIE!$F$5:$F$204,$G$103)),"-"))</f>
        <v/>
      </c>
      <c r="E109" s="9">
        <f>IF($G$103="","",IF(OR(D109="",D109="-"),"",IF(D109&gt;0,"(soulevement)",IF(D109&lt;0,"(compression)","-"))))</f>
        <v/>
      </c>
    </row>
    <row r="110">
      <c r="A110" s="8">
        <f>IF(OR($G$103="",NOT(MAXIFS(SAISIE!$E$5:$E$204,SAISIE!$B$5:$B$204,"*Vent Av./Arr.*",SAISIE!$F$5:$F$204,$G$103)&gt;0)),"","Vent Av./Arr.")</f>
        <v/>
      </c>
      <c r="B110" s="9">
        <f>IF(OR($G$103="",NOT(MAXIFS(SAISIE!$E$5:$E$204,SAISIE!$B$5:$B$204,"*Vent Av./Arr.*",SAISIE!$F$5:$F$204,$G$103)&gt;0)),"",IFERROR(INDEX(SAISIE!$C$5:$C$204,MATCH(MAXIFS(SAISIE!$E$5:$E$204,SAISIE!$B$5:$B$204,"*Vent Av./Arr.*",SAISIE!$F$5:$F$204,$G$103),SAISIE!$E$5:$E$204,0)),"-"))</f>
        <v/>
      </c>
      <c r="C110" s="9">
        <f>IF(OR($G$103="",NOT(MAXIFS(SAISIE!$E$5:$E$204,SAISIE!$B$5:$B$204,"*Vent Av./Arr.*",SAISIE!$F$5:$F$204,$G$103)&gt;0)),"",IFERROR(INDEX(SAISIE!$D$5:$D$204,MATCH(MAXIFS(SAISIE!$E$5:$E$204,SAISIE!$B$5:$B$204,"*Vent Av./Arr.*",SAISIE!$F$5:$F$204,$G$103),SAISIE!$E$5:$E$204,0)),"-"))</f>
        <v/>
      </c>
      <c r="D110" s="9">
        <f>IF(OR($G$103="",NOT(MAXIFS(SAISIE!$E$5:$E$204,SAISIE!$B$5:$B$204,"*Vent Av./Arr.*",SAISIE!$F$5:$F$204,$G$103)&gt;0)),"",IFERROR(MAXIFS(SAISIE!$E$5:$E$204,SAISIE!$B$5:$B$204,"*Vent Av./Arr.*",SAISIE!$F$5:$F$204,$G$103),"-"))</f>
        <v/>
      </c>
      <c r="E110" s="9">
        <f>IF($G$103="","",IF(OR(D110="",D110="-"),"",IF(D110&gt;0,"(soulevement)",IF(D110&lt;0,"(compression)","-"))))</f>
        <v/>
      </c>
    </row>
    <row r="111">
      <c r="A111" s="8">
        <f>IF(OR($G$103="",NOT(COUNTIFS(SAISIE!$B$5:$B$204,"*Vent Arr./Av.*",SAISIE!$F$5:$F$204,$G$103)&gt;0)),"","Vent Arr./Av.")</f>
        <v/>
      </c>
      <c r="B111" s="9">
        <f>IF(OR($G$103="",NOT(COUNTIFS(SAISIE!$B$5:$B$204,"*Vent Arr./Av.*",SAISIE!$F$5:$F$204,$G$103)&gt;0)),"",IFERROR(IF(MINIFS(SAISIE!$E$5:$E$204,SAISIE!$B$5:$B$204,"*Vent Arr./Av.*",SAISIE!$F$5:$F$204,$G$103)&gt;=0,MAXIFS(SAISIE!$C$5:$C$204,SAISIE!$B$5:$B$204,"*Vent Arr./Av.*",SAISIE!$F$5:$F$204,$G$103),INDEX(SAISIE!$C$5:$C$204,MATCH(MINIFS(SAISIE!$E$5:$E$204,SAISIE!$B$5:$B$204,"*Vent Arr./Av.*",SAISIE!$F$5:$F$204,$G$103),SAISIE!$E$5:$E$204,0))),"-"))</f>
        <v/>
      </c>
      <c r="C111" s="9">
        <f>IF(OR($G$103="",NOT(COUNTIFS(SAISIE!$B$5:$B$204,"*Vent Arr./Av.*",SAISIE!$F$5:$F$204,$G$103)&gt;0)),"",IFERROR(IF(MINIFS(SAISIE!$E$5:$E$204,SAISIE!$B$5:$B$204,"*Vent Arr./Av.*",SAISIE!$F$5:$F$204,$G$103)&gt;=0,INDEX(SAISIE!$D$5:$D$204,MATCH(MAXIFS(SAISIE!$C$5:$C$204,SAISIE!$B$5:$B$204,"*Vent Arr./Av.*",SAISIE!$F$5:$F$204,$G$103),SAISIE!$C$5:$C$204,0)),INDEX(SAISIE!$D$5:$D$204,MATCH(MINIFS(SAISIE!$E$5:$E$204,SAISIE!$B$5:$B$204,"*Vent Arr./Av.*",SAISIE!$F$5:$F$204,$G$103),SAISIE!$E$5:$E$204,0))),"-"))</f>
        <v/>
      </c>
      <c r="D111" s="9">
        <f>IF(OR($G$103="",NOT(COUNTIFS(SAISIE!$B$5:$B$204,"*Vent Arr./Av.*",SAISIE!$F$5:$F$204,$G$103)&gt;0)),"",IFERROR(IF(MINIFS(SAISIE!$E$5:$E$204,SAISIE!$B$5:$B$204,"*Vent Arr./Av.*",SAISIE!$F$5:$F$204,$G$103)&gt;=0,0,MINIFS(SAISIE!$E$5:$E$204,SAISIE!$B$5:$B$204,"*Vent Arr./Av.*",SAISIE!$F$5:$F$204,$G$103)),"-"))</f>
        <v/>
      </c>
      <c r="E111" s="9">
        <f>IF($G$103="","",IF(OR(D111="",D111="-"),"",IF(D111&gt;0,"(soulevement)",IF(D111&lt;0,"(compression)","-"))))</f>
        <v/>
      </c>
    </row>
    <row r="112">
      <c r="A112" s="8">
        <f>IF(OR($G$103="",NOT(MAXIFS(SAISIE!$E$5:$E$204,SAISIE!$B$5:$B$204,"*Vent Arr./Av.*",SAISIE!$F$5:$F$204,$G$103)&gt;0)),"","Vent Arr./Av.")</f>
        <v/>
      </c>
      <c r="B112" s="9">
        <f>IF(OR($G$103="",NOT(MAXIFS(SAISIE!$E$5:$E$204,SAISIE!$B$5:$B$204,"*Vent Arr./Av.*",SAISIE!$F$5:$F$204,$G$103)&gt;0)),"",IFERROR(INDEX(SAISIE!$C$5:$C$204,MATCH(MAXIFS(SAISIE!$E$5:$E$204,SAISIE!$B$5:$B$204,"*Vent Arr./Av.*",SAISIE!$F$5:$F$204,$G$103),SAISIE!$E$5:$E$204,0)),"-"))</f>
        <v/>
      </c>
      <c r="C112" s="9">
        <f>IF(OR($G$103="",NOT(MAXIFS(SAISIE!$E$5:$E$204,SAISIE!$B$5:$B$204,"*Vent Arr./Av.*",SAISIE!$F$5:$F$204,$G$103)&gt;0)),"",IFERROR(INDEX(SAISIE!$D$5:$D$204,MATCH(MAXIFS(SAISIE!$E$5:$E$204,SAISIE!$B$5:$B$204,"*Vent Arr./Av.*",SAISIE!$F$5:$F$204,$G$103),SAISIE!$E$5:$E$204,0)),"-"))</f>
        <v/>
      </c>
      <c r="D112" s="9">
        <f>IF(OR($G$103="",NOT(MAXIFS(SAISIE!$E$5:$E$204,SAISIE!$B$5:$B$204,"*Vent Arr./Av.*",SAISIE!$F$5:$F$204,$G$103)&gt;0)),"",IFERROR(MAXIFS(SAISIE!$E$5:$E$204,SAISIE!$B$5:$B$204,"*Vent Arr./Av.*",SAISIE!$F$5:$F$204,$G$103),"-"))</f>
        <v/>
      </c>
      <c r="E112" s="9">
        <f>IF($G$103="","",IF(OR(D112="",D112="-"),"",IF(D112&gt;0,"(soulevement)",IF(D112&lt;0,"(compression)","-"))))</f>
        <v/>
      </c>
    </row>
    <row r="113">
      <c r="A113" s="8">
        <f>IF(OR($G$103="",NOT(TRUE)),"","Neige normale")</f>
        <v/>
      </c>
      <c r="B113" s="9">
        <f>IF($G$103="","",IFERROR(INDEX(SAISIE!$C$5:$C$204,MATCH(MINIFS(SAISIE!$E$5:$E$204,SAISIE!$B$5:$B$204,"*Neige*",SAISIE!$B$5:$B$204,"&lt;&gt;*accidentel*",SAISIE!$F$5:$F$204,$G$103),SAISIE!$E$5:$E$204,0)),"-"))</f>
        <v/>
      </c>
      <c r="C113" s="9">
        <f>IF($G$103="","",IFERROR(INDEX(SAISIE!$D$5:$D$204,MATCH(MINIFS(SAISIE!$E$5:$E$204,SAISIE!$B$5:$B$204,"*Neige*",SAISIE!$B$5:$B$204,"&lt;&gt;*accidentel*",SAISIE!$F$5:$F$204,$G$103),SAISIE!$E$5:$E$204,0)),"-"))</f>
        <v/>
      </c>
      <c r="D113" s="9">
        <f>IF($G$103="","",IFERROR(INDEX(SAISIE!$E$5:$E$204,MATCH(MINIFS(SAISIE!$E$5:$E$204,SAISIE!$B$5:$B$204,"*Neige*",SAISIE!$B$5:$B$204,"&lt;&gt;*accidentel*",SAISIE!$F$5:$F$204,$G$103),SAISIE!$E$5:$E$204,0)),"-"))</f>
        <v/>
      </c>
      <c r="E113" s="9">
        <f>IF($G$103="","",IF(OR(D113="",D113="-"),"",IF(D113&gt;0,"(soulevement)",IF(D113&lt;0,"(compression)","-"))))</f>
        <v/>
      </c>
    </row>
    <row r="114">
      <c r="A114" s="8">
        <f>IF(OR($G$103="",NOT(TRUE)),"","Neige accidentelle")</f>
        <v/>
      </c>
      <c r="B114" s="9">
        <f>IF($G$103="","",IFERROR(LOOKUP(2,1/((SAISIE!$F$5:$F$204=$G$103)*(ISNUMBER(SEARCH("accidentel",SAISIE!$B$5:$B$204)))),SAISIE!$C$5:$C$204),"-"))</f>
        <v/>
      </c>
      <c r="C114" s="9">
        <f>IF($G$103="","",IFERROR(LOOKUP(2,1/((SAISIE!$F$5:$F$204=$G$103)*(ISNUMBER(SEARCH("accidentel",SAISIE!$B$5:$B$204)))),SAISIE!$D$5:$D$204),"-"))</f>
        <v/>
      </c>
      <c r="D114" s="9">
        <f>IF($G$103="","",IFERROR(LOOKUP(2,1/((SAISIE!$F$5:$F$204=$G$103)*(ISNUMBER(SEARCH("accidentel",SAISIE!$B$5:$B$204)))),SAISIE!$E$5:$E$204),"-"))</f>
        <v/>
      </c>
      <c r="E114" s="9">
        <f>IF($G$103="","",IF(OR(D114="",D114="-"),"",IF(D114&gt;0,"(soulevement)",IF(D114&lt;0,"(compression)","-"))))</f>
        <v/>
      </c>
    </row>
    <row r="115">
      <c r="A115" s="6">
        <f>IF($G$115="","","Noeud "&amp;$G$115)</f>
        <v/>
      </c>
      <c r="B115" s="7" t="n"/>
      <c r="C115" s="7" t="n"/>
      <c r="D115" s="7" t="n"/>
      <c r="E115" s="7" t="n"/>
      <c r="G115">
        <f>IFERROR(INDEX(SAISIE!$F$5:$F$204,AGGREGATE(15,6,ROW(SAISIE!$F$5:$F$204)-ROW(SAISIE!$F$5)+1/(SAISIE!$F$5:$F$204&lt;&gt;"")/(COUNTIF($G$4:G114,SAISIE!$F$5:$F$204)=0),1)),"")</f>
        <v/>
      </c>
    </row>
    <row r="116">
      <c r="A116" s="8">
        <f>IF(OR($G$115="",NOT(TRUE)),"","Couverture")</f>
        <v/>
      </c>
      <c r="B116" s="9">
        <f>IF($G$115="","",IFERROR(IFERROR(LOOKUP(2,1/((SAISIE!$F$5:$F$204=$G$115)*(LEFT(SAISIE!$B$5:$B$204,2)="G ")),SAISIE!$C$5:$C$204),LOOKUP(2,1/((SAISIE!$F$5:$F$204=$G$115)*(ISNUMBER(SEARCH("Couverture",SAISIE!$B$5:$B$204)))),SAISIE!$C$5:$C$204)),"-"))</f>
        <v/>
      </c>
      <c r="C116" s="9">
        <f>IF($G$115="","",IFERROR(IFERROR(LOOKUP(2,1/((SAISIE!$F$5:$F$204=$G$115)*(LEFT(SAISIE!$B$5:$B$204,2)="G ")),SAISIE!$D$5:$D$204),LOOKUP(2,1/((SAISIE!$F$5:$F$204=$G$115)*(ISNUMBER(SEARCH("Couverture",SAISIE!$B$5:$B$204)))),SAISIE!$D$5:$D$204)),"-"))</f>
        <v/>
      </c>
      <c r="D116" s="9">
        <f>IF($G$115="","",IFERROR(IFERROR(LOOKUP(2,1/((SAISIE!$F$5:$F$204=$G$115)*(LEFT(SAISIE!$B$5:$B$204,2)="G ")),SAISIE!$E$5:$E$204),LOOKUP(2,1/((SAISIE!$F$5:$F$204=$G$115)*(ISNUMBER(SEARCH("Couverture",SAISIE!$B$5:$B$204)))),SAISIE!$E$5:$E$204)),"-"))</f>
        <v/>
      </c>
      <c r="E116" s="9">
        <f>IF($G$115="","",IF(OR(D116="",D116="-"),"",IF(D116&gt;0,"(soulevement)",IF(D116&lt;0,"(compression)","-"))))</f>
        <v/>
      </c>
    </row>
    <row r="117">
      <c r="A117" s="8">
        <f>IF(OR($G$115="",NOT(COUNTIFS(SAISIE!$B$5:$B$204,"*Vent G/D*",SAISIE!$F$5:$F$204,$G$115)&gt;0)),"","Vent G/D")</f>
        <v/>
      </c>
      <c r="B117" s="9">
        <f>IF(OR($G$115="",NOT(COUNTIFS(SAISIE!$B$5:$B$204,"*Vent G/D*",SAISIE!$F$5:$F$204,$G$115)&gt;0)),"",IFERROR(IF(MINIFS(SAISIE!$E$5:$E$204,SAISIE!$B$5:$B$204,"*Vent G/D*",SAISIE!$F$5:$F$204,$G$115)&gt;=0,MAXIFS(SAISIE!$C$5:$C$204,SAISIE!$B$5:$B$204,"*Vent G/D*",SAISIE!$F$5:$F$204,$G$115),INDEX(SAISIE!$C$5:$C$204,MATCH(MINIFS(SAISIE!$E$5:$E$204,SAISIE!$B$5:$B$204,"*Vent G/D*",SAISIE!$F$5:$F$204,$G$115),SAISIE!$E$5:$E$204,0))),"-"))</f>
        <v/>
      </c>
      <c r="C117" s="9">
        <f>IF(OR($G$115="",NOT(COUNTIFS(SAISIE!$B$5:$B$204,"*Vent G/D*",SAISIE!$F$5:$F$204,$G$115)&gt;0)),"",IFERROR(IF(MINIFS(SAISIE!$E$5:$E$204,SAISIE!$B$5:$B$204,"*Vent G/D*",SAISIE!$F$5:$F$204,$G$115)&gt;=0,INDEX(SAISIE!$D$5:$D$204,MATCH(MAXIFS(SAISIE!$C$5:$C$204,SAISIE!$B$5:$B$204,"*Vent G/D*",SAISIE!$F$5:$F$204,$G$115),SAISIE!$C$5:$C$204,0)),INDEX(SAISIE!$D$5:$D$204,MATCH(MINIFS(SAISIE!$E$5:$E$204,SAISIE!$B$5:$B$204,"*Vent G/D*",SAISIE!$F$5:$F$204,$G$115),SAISIE!$E$5:$E$204,0))),"-"))</f>
        <v/>
      </c>
      <c r="D117" s="9">
        <f>IF(OR($G$115="",NOT(COUNTIFS(SAISIE!$B$5:$B$204,"*Vent G/D*",SAISIE!$F$5:$F$204,$G$115)&gt;0)),"",IFERROR(IF(MINIFS(SAISIE!$E$5:$E$204,SAISIE!$B$5:$B$204,"*Vent G/D*",SAISIE!$F$5:$F$204,$G$115)&gt;=0,0,MINIFS(SAISIE!$E$5:$E$204,SAISIE!$B$5:$B$204,"*Vent G/D*",SAISIE!$F$5:$F$204,$G$115)),"-"))</f>
        <v/>
      </c>
      <c r="E117" s="9">
        <f>IF($G$115="","",IF(OR(D117="",D117="-"),"",IF(D117&gt;0,"(soulevement)",IF(D117&lt;0,"(compression)","-"))))</f>
        <v/>
      </c>
    </row>
    <row r="118">
      <c r="A118" s="8">
        <f>IF(OR($G$115="",NOT(MAXIFS(SAISIE!$E$5:$E$204,SAISIE!$B$5:$B$204,"*Vent G/D*",SAISIE!$F$5:$F$204,$G$115)&gt;0)),"","Vent G/D")</f>
        <v/>
      </c>
      <c r="B118" s="9">
        <f>IF(OR($G$115="",NOT(MAXIFS(SAISIE!$E$5:$E$204,SAISIE!$B$5:$B$204,"*Vent G/D*",SAISIE!$F$5:$F$204,$G$115)&gt;0)),"",IFERROR(INDEX(SAISIE!$C$5:$C$204,MATCH(MAXIFS(SAISIE!$E$5:$E$204,SAISIE!$B$5:$B$204,"*Vent G/D*",SAISIE!$F$5:$F$204,$G$115),SAISIE!$E$5:$E$204,0)),"-"))</f>
        <v/>
      </c>
      <c r="C118" s="9">
        <f>IF(OR($G$115="",NOT(MAXIFS(SAISIE!$E$5:$E$204,SAISIE!$B$5:$B$204,"*Vent G/D*",SAISIE!$F$5:$F$204,$G$115)&gt;0)),"",IFERROR(INDEX(SAISIE!$D$5:$D$204,MATCH(MAXIFS(SAISIE!$E$5:$E$204,SAISIE!$B$5:$B$204,"*Vent G/D*",SAISIE!$F$5:$F$204,$G$115),SAISIE!$E$5:$E$204,0)),"-"))</f>
        <v/>
      </c>
      <c r="D118" s="9">
        <f>IF(OR($G$115="",NOT(MAXIFS(SAISIE!$E$5:$E$204,SAISIE!$B$5:$B$204,"*Vent G/D*",SAISIE!$F$5:$F$204,$G$115)&gt;0)),"",IFERROR(MAXIFS(SAISIE!$E$5:$E$204,SAISIE!$B$5:$B$204,"*Vent G/D*",SAISIE!$F$5:$F$204,$G$115),"-"))</f>
        <v/>
      </c>
      <c r="E118" s="9">
        <f>IF($G$115="","",IF(OR(D118="",D118="-"),"",IF(D118&gt;0,"(soulevement)",IF(D118&lt;0,"(compression)","-"))))</f>
        <v/>
      </c>
    </row>
    <row r="119">
      <c r="A119" s="8">
        <f>IF(OR($G$115="",NOT(COUNTIFS(SAISIE!$B$5:$B$204,"*Vent D/G*",SAISIE!$F$5:$F$204,$G$115)&gt;0)),"","Vent D/G")</f>
        <v/>
      </c>
      <c r="B119" s="9">
        <f>IF(OR($G$115="",NOT(COUNTIFS(SAISIE!$B$5:$B$204,"*Vent D/G*",SAISIE!$F$5:$F$204,$G$115)&gt;0)),"",IFERROR(IF(MINIFS(SAISIE!$E$5:$E$204,SAISIE!$B$5:$B$204,"*Vent D/G*",SAISIE!$F$5:$F$204,$G$115)&gt;=0,MAXIFS(SAISIE!$C$5:$C$204,SAISIE!$B$5:$B$204,"*Vent D/G*",SAISIE!$F$5:$F$204,$G$115),INDEX(SAISIE!$C$5:$C$204,MATCH(MINIFS(SAISIE!$E$5:$E$204,SAISIE!$B$5:$B$204,"*Vent D/G*",SAISIE!$F$5:$F$204,$G$115),SAISIE!$E$5:$E$204,0))),"-"))</f>
        <v/>
      </c>
      <c r="C119" s="9">
        <f>IF(OR($G$115="",NOT(COUNTIFS(SAISIE!$B$5:$B$204,"*Vent D/G*",SAISIE!$F$5:$F$204,$G$115)&gt;0)),"",IFERROR(IF(MINIFS(SAISIE!$E$5:$E$204,SAISIE!$B$5:$B$204,"*Vent D/G*",SAISIE!$F$5:$F$204,$G$115)&gt;=0,INDEX(SAISIE!$D$5:$D$204,MATCH(MAXIFS(SAISIE!$C$5:$C$204,SAISIE!$B$5:$B$204,"*Vent D/G*",SAISIE!$F$5:$F$204,$G$115),SAISIE!$C$5:$C$204,0)),INDEX(SAISIE!$D$5:$D$204,MATCH(MINIFS(SAISIE!$E$5:$E$204,SAISIE!$B$5:$B$204,"*Vent D/G*",SAISIE!$F$5:$F$204,$G$115),SAISIE!$E$5:$E$204,0))),"-"))</f>
        <v/>
      </c>
      <c r="D119" s="9">
        <f>IF(OR($G$115="",NOT(COUNTIFS(SAISIE!$B$5:$B$204,"*Vent D/G*",SAISIE!$F$5:$F$204,$G$115)&gt;0)),"",IFERROR(IF(MINIFS(SAISIE!$E$5:$E$204,SAISIE!$B$5:$B$204,"*Vent D/G*",SAISIE!$F$5:$F$204,$G$115)&gt;=0,0,MINIFS(SAISIE!$E$5:$E$204,SAISIE!$B$5:$B$204,"*Vent D/G*",SAISIE!$F$5:$F$204,$G$115)),"-"))</f>
        <v/>
      </c>
      <c r="E119" s="9">
        <f>IF($G$115="","",IF(OR(D119="",D119="-"),"",IF(D119&gt;0,"(soulevement)",IF(D119&lt;0,"(compression)","-"))))</f>
        <v/>
      </c>
    </row>
    <row r="120">
      <c r="A120" s="8">
        <f>IF(OR($G$115="",NOT(MAXIFS(SAISIE!$E$5:$E$204,SAISIE!$B$5:$B$204,"*Vent D/G*",SAISIE!$F$5:$F$204,$G$115)&gt;0)),"","Vent D/G")</f>
        <v/>
      </c>
      <c r="B120" s="9">
        <f>IF(OR($G$115="",NOT(MAXIFS(SAISIE!$E$5:$E$204,SAISIE!$B$5:$B$204,"*Vent D/G*",SAISIE!$F$5:$F$204,$G$115)&gt;0)),"",IFERROR(INDEX(SAISIE!$C$5:$C$204,MATCH(MAXIFS(SAISIE!$E$5:$E$204,SAISIE!$B$5:$B$204,"*Vent D/G*",SAISIE!$F$5:$F$204,$G$115),SAISIE!$E$5:$E$204,0)),"-"))</f>
        <v/>
      </c>
      <c r="C120" s="9">
        <f>IF(OR($G$115="",NOT(MAXIFS(SAISIE!$E$5:$E$204,SAISIE!$B$5:$B$204,"*Vent D/G*",SAISIE!$F$5:$F$204,$G$115)&gt;0)),"",IFERROR(INDEX(SAISIE!$D$5:$D$204,MATCH(MAXIFS(SAISIE!$E$5:$E$204,SAISIE!$B$5:$B$204,"*Vent D/G*",SAISIE!$F$5:$F$204,$G$115),SAISIE!$E$5:$E$204,0)),"-"))</f>
        <v/>
      </c>
      <c r="D120" s="9">
        <f>IF(OR($G$115="",NOT(MAXIFS(SAISIE!$E$5:$E$204,SAISIE!$B$5:$B$204,"*Vent D/G*",SAISIE!$F$5:$F$204,$G$115)&gt;0)),"",IFERROR(MAXIFS(SAISIE!$E$5:$E$204,SAISIE!$B$5:$B$204,"*Vent D/G*",SAISIE!$F$5:$F$204,$G$115),"-"))</f>
        <v/>
      </c>
      <c r="E120" s="9">
        <f>IF($G$115="","",IF(OR(D120="",D120="-"),"",IF(D120&gt;0,"(soulevement)",IF(D120&lt;0,"(compression)","-"))))</f>
        <v/>
      </c>
    </row>
    <row r="121">
      <c r="A121" s="8">
        <f>IF(OR($G$115="",NOT(COUNTIFS(SAISIE!$B$5:$B$204,"*Vent Av./Arr.*",SAISIE!$F$5:$F$204,$G$115)&gt;0)),"","Vent Av./Arr.")</f>
        <v/>
      </c>
      <c r="B121" s="9">
        <f>IF(OR($G$115="",NOT(COUNTIFS(SAISIE!$B$5:$B$204,"*Vent Av./Arr.*",SAISIE!$F$5:$F$204,$G$115)&gt;0)),"",IFERROR(IF(MINIFS(SAISIE!$E$5:$E$204,SAISIE!$B$5:$B$204,"*Vent Av./Arr.*",SAISIE!$F$5:$F$204,$G$115)&gt;=0,MAXIFS(SAISIE!$C$5:$C$204,SAISIE!$B$5:$B$204,"*Vent Av./Arr.*",SAISIE!$F$5:$F$204,$G$115),INDEX(SAISIE!$C$5:$C$204,MATCH(MINIFS(SAISIE!$E$5:$E$204,SAISIE!$B$5:$B$204,"*Vent Av./Arr.*",SAISIE!$F$5:$F$204,$G$115),SAISIE!$E$5:$E$204,0))),"-"))</f>
        <v/>
      </c>
      <c r="C121" s="9">
        <f>IF(OR($G$115="",NOT(COUNTIFS(SAISIE!$B$5:$B$204,"*Vent Av./Arr.*",SAISIE!$F$5:$F$204,$G$115)&gt;0)),"",IFERROR(IF(MINIFS(SAISIE!$E$5:$E$204,SAISIE!$B$5:$B$204,"*Vent Av./Arr.*",SAISIE!$F$5:$F$204,$G$115)&gt;=0,INDEX(SAISIE!$D$5:$D$204,MATCH(MAXIFS(SAISIE!$C$5:$C$204,SAISIE!$B$5:$B$204,"*Vent Av./Arr.*",SAISIE!$F$5:$F$204,$G$115),SAISIE!$C$5:$C$204,0)),INDEX(SAISIE!$D$5:$D$204,MATCH(MINIFS(SAISIE!$E$5:$E$204,SAISIE!$B$5:$B$204,"*Vent Av./Arr.*",SAISIE!$F$5:$F$204,$G$115),SAISIE!$E$5:$E$204,0))),"-"))</f>
        <v/>
      </c>
      <c r="D121" s="9">
        <f>IF(OR($G$115="",NOT(COUNTIFS(SAISIE!$B$5:$B$204,"*Vent Av./Arr.*",SAISIE!$F$5:$F$204,$G$115)&gt;0)),"",IFERROR(IF(MINIFS(SAISIE!$E$5:$E$204,SAISIE!$B$5:$B$204,"*Vent Av./Arr.*",SAISIE!$F$5:$F$204,$G$115)&gt;=0,0,MINIFS(SAISIE!$E$5:$E$204,SAISIE!$B$5:$B$204,"*Vent Av./Arr.*",SAISIE!$F$5:$F$204,$G$115)),"-"))</f>
        <v/>
      </c>
      <c r="E121" s="9">
        <f>IF($G$115="","",IF(OR(D121="",D121="-"),"",IF(D121&gt;0,"(soulevement)",IF(D121&lt;0,"(compression)","-"))))</f>
        <v/>
      </c>
    </row>
    <row r="122">
      <c r="A122" s="8">
        <f>IF(OR($G$115="",NOT(MAXIFS(SAISIE!$E$5:$E$204,SAISIE!$B$5:$B$204,"*Vent Av./Arr.*",SAISIE!$F$5:$F$204,$G$115)&gt;0)),"","Vent Av./Arr.")</f>
        <v/>
      </c>
      <c r="B122" s="9">
        <f>IF(OR($G$115="",NOT(MAXIFS(SAISIE!$E$5:$E$204,SAISIE!$B$5:$B$204,"*Vent Av./Arr.*",SAISIE!$F$5:$F$204,$G$115)&gt;0)),"",IFERROR(INDEX(SAISIE!$C$5:$C$204,MATCH(MAXIFS(SAISIE!$E$5:$E$204,SAISIE!$B$5:$B$204,"*Vent Av./Arr.*",SAISIE!$F$5:$F$204,$G$115),SAISIE!$E$5:$E$204,0)),"-"))</f>
        <v/>
      </c>
      <c r="C122" s="9">
        <f>IF(OR($G$115="",NOT(MAXIFS(SAISIE!$E$5:$E$204,SAISIE!$B$5:$B$204,"*Vent Av./Arr.*",SAISIE!$F$5:$F$204,$G$115)&gt;0)),"",IFERROR(INDEX(SAISIE!$D$5:$D$204,MATCH(MAXIFS(SAISIE!$E$5:$E$204,SAISIE!$B$5:$B$204,"*Vent Av./Arr.*",SAISIE!$F$5:$F$204,$G$115),SAISIE!$E$5:$E$204,0)),"-"))</f>
        <v/>
      </c>
      <c r="D122" s="9">
        <f>IF(OR($G$115="",NOT(MAXIFS(SAISIE!$E$5:$E$204,SAISIE!$B$5:$B$204,"*Vent Av./Arr.*",SAISIE!$F$5:$F$204,$G$115)&gt;0)),"",IFERROR(MAXIFS(SAISIE!$E$5:$E$204,SAISIE!$B$5:$B$204,"*Vent Av./Arr.*",SAISIE!$F$5:$F$204,$G$115),"-"))</f>
        <v/>
      </c>
      <c r="E122" s="9">
        <f>IF($G$115="","",IF(OR(D122="",D122="-"),"",IF(D122&gt;0,"(soulevement)",IF(D122&lt;0,"(compression)","-"))))</f>
        <v/>
      </c>
    </row>
    <row r="123">
      <c r="A123" s="8">
        <f>IF(OR($G$115="",NOT(COUNTIFS(SAISIE!$B$5:$B$204,"*Vent Arr./Av.*",SAISIE!$F$5:$F$204,$G$115)&gt;0)),"","Vent Arr./Av.")</f>
        <v/>
      </c>
      <c r="B123" s="9">
        <f>IF(OR($G$115="",NOT(COUNTIFS(SAISIE!$B$5:$B$204,"*Vent Arr./Av.*",SAISIE!$F$5:$F$204,$G$115)&gt;0)),"",IFERROR(IF(MINIFS(SAISIE!$E$5:$E$204,SAISIE!$B$5:$B$204,"*Vent Arr./Av.*",SAISIE!$F$5:$F$204,$G$115)&gt;=0,MAXIFS(SAISIE!$C$5:$C$204,SAISIE!$B$5:$B$204,"*Vent Arr./Av.*",SAISIE!$F$5:$F$204,$G$115),INDEX(SAISIE!$C$5:$C$204,MATCH(MINIFS(SAISIE!$E$5:$E$204,SAISIE!$B$5:$B$204,"*Vent Arr./Av.*",SAISIE!$F$5:$F$204,$G$115),SAISIE!$E$5:$E$204,0))),"-"))</f>
        <v/>
      </c>
      <c r="C123" s="9">
        <f>IF(OR($G$115="",NOT(COUNTIFS(SAISIE!$B$5:$B$204,"*Vent Arr./Av.*",SAISIE!$F$5:$F$204,$G$115)&gt;0)),"",IFERROR(IF(MINIFS(SAISIE!$E$5:$E$204,SAISIE!$B$5:$B$204,"*Vent Arr./Av.*",SAISIE!$F$5:$F$204,$G$115)&gt;=0,INDEX(SAISIE!$D$5:$D$204,MATCH(MAXIFS(SAISIE!$C$5:$C$204,SAISIE!$B$5:$B$204,"*Vent Arr./Av.*",SAISIE!$F$5:$F$204,$G$115),SAISIE!$C$5:$C$204,0)),INDEX(SAISIE!$D$5:$D$204,MATCH(MINIFS(SAISIE!$E$5:$E$204,SAISIE!$B$5:$B$204,"*Vent Arr./Av.*",SAISIE!$F$5:$F$204,$G$115),SAISIE!$E$5:$E$204,0))),"-"))</f>
        <v/>
      </c>
      <c r="D123" s="9">
        <f>IF(OR($G$115="",NOT(COUNTIFS(SAISIE!$B$5:$B$204,"*Vent Arr./Av.*",SAISIE!$F$5:$F$204,$G$115)&gt;0)),"",IFERROR(IF(MINIFS(SAISIE!$E$5:$E$204,SAISIE!$B$5:$B$204,"*Vent Arr./Av.*",SAISIE!$F$5:$F$204,$G$115)&gt;=0,0,MINIFS(SAISIE!$E$5:$E$204,SAISIE!$B$5:$B$204,"*Vent Arr./Av.*",SAISIE!$F$5:$F$204,$G$115)),"-"))</f>
        <v/>
      </c>
      <c r="E123" s="9">
        <f>IF($G$115="","",IF(OR(D123="",D123="-"),"",IF(D123&gt;0,"(soulevement)",IF(D123&lt;0,"(compression)","-"))))</f>
        <v/>
      </c>
    </row>
    <row r="124">
      <c r="A124" s="8">
        <f>IF(OR($G$115="",NOT(MAXIFS(SAISIE!$E$5:$E$204,SAISIE!$B$5:$B$204,"*Vent Arr./Av.*",SAISIE!$F$5:$F$204,$G$115)&gt;0)),"","Vent Arr./Av.")</f>
        <v/>
      </c>
      <c r="B124" s="9">
        <f>IF(OR($G$115="",NOT(MAXIFS(SAISIE!$E$5:$E$204,SAISIE!$B$5:$B$204,"*Vent Arr./Av.*",SAISIE!$F$5:$F$204,$G$115)&gt;0)),"",IFERROR(INDEX(SAISIE!$C$5:$C$204,MATCH(MAXIFS(SAISIE!$E$5:$E$204,SAISIE!$B$5:$B$204,"*Vent Arr./Av.*",SAISIE!$F$5:$F$204,$G$115),SAISIE!$E$5:$E$204,0)),"-"))</f>
        <v/>
      </c>
      <c r="C124" s="9">
        <f>IF(OR($G$115="",NOT(MAXIFS(SAISIE!$E$5:$E$204,SAISIE!$B$5:$B$204,"*Vent Arr./Av.*",SAISIE!$F$5:$F$204,$G$115)&gt;0)),"",IFERROR(INDEX(SAISIE!$D$5:$D$204,MATCH(MAXIFS(SAISIE!$E$5:$E$204,SAISIE!$B$5:$B$204,"*Vent Arr./Av.*",SAISIE!$F$5:$F$204,$G$115),SAISIE!$E$5:$E$204,0)),"-"))</f>
        <v/>
      </c>
      <c r="D124" s="9">
        <f>IF(OR($G$115="",NOT(MAXIFS(SAISIE!$E$5:$E$204,SAISIE!$B$5:$B$204,"*Vent Arr./Av.*",SAISIE!$F$5:$F$204,$G$115)&gt;0)),"",IFERROR(MAXIFS(SAISIE!$E$5:$E$204,SAISIE!$B$5:$B$204,"*Vent Arr./Av.*",SAISIE!$F$5:$F$204,$G$115),"-"))</f>
        <v/>
      </c>
      <c r="E124" s="9">
        <f>IF($G$115="","",IF(OR(D124="",D124="-"),"",IF(D124&gt;0,"(soulevement)",IF(D124&lt;0,"(compression)","-"))))</f>
        <v/>
      </c>
    </row>
    <row r="125">
      <c r="A125" s="8">
        <f>IF(OR($G$115="",NOT(TRUE)),"","Neige normale")</f>
        <v/>
      </c>
      <c r="B125" s="9">
        <f>IF($G$115="","",IFERROR(INDEX(SAISIE!$C$5:$C$204,MATCH(MINIFS(SAISIE!$E$5:$E$204,SAISIE!$B$5:$B$204,"*Neige*",SAISIE!$B$5:$B$204,"&lt;&gt;*accidentel*",SAISIE!$F$5:$F$204,$G$115),SAISIE!$E$5:$E$204,0)),"-"))</f>
        <v/>
      </c>
      <c r="C125" s="9">
        <f>IF($G$115="","",IFERROR(INDEX(SAISIE!$D$5:$D$204,MATCH(MINIFS(SAISIE!$E$5:$E$204,SAISIE!$B$5:$B$204,"*Neige*",SAISIE!$B$5:$B$204,"&lt;&gt;*accidentel*",SAISIE!$F$5:$F$204,$G$115),SAISIE!$E$5:$E$204,0)),"-"))</f>
        <v/>
      </c>
      <c r="D125" s="9">
        <f>IF($G$115="","",IFERROR(INDEX(SAISIE!$E$5:$E$204,MATCH(MINIFS(SAISIE!$E$5:$E$204,SAISIE!$B$5:$B$204,"*Neige*",SAISIE!$B$5:$B$204,"&lt;&gt;*accidentel*",SAISIE!$F$5:$F$204,$G$115),SAISIE!$E$5:$E$204,0)),"-"))</f>
        <v/>
      </c>
      <c r="E125" s="9">
        <f>IF($G$115="","",IF(OR(D125="",D125="-"),"",IF(D125&gt;0,"(soulevement)",IF(D125&lt;0,"(compression)","-"))))</f>
        <v/>
      </c>
    </row>
    <row r="126">
      <c r="A126" s="8">
        <f>IF(OR($G$115="",NOT(TRUE)),"","Neige accidentelle")</f>
        <v/>
      </c>
      <c r="B126" s="9">
        <f>IF($G$115="","",IFERROR(LOOKUP(2,1/((SAISIE!$F$5:$F$204=$G$115)*(ISNUMBER(SEARCH("accidentel",SAISIE!$B$5:$B$204)))),SAISIE!$C$5:$C$204),"-"))</f>
        <v/>
      </c>
      <c r="C126" s="9">
        <f>IF($G$115="","",IFERROR(LOOKUP(2,1/((SAISIE!$F$5:$F$204=$G$115)*(ISNUMBER(SEARCH("accidentel",SAISIE!$B$5:$B$204)))),SAISIE!$D$5:$D$204),"-"))</f>
        <v/>
      </c>
      <c r="D126" s="9">
        <f>IF($G$115="","",IFERROR(LOOKUP(2,1/((SAISIE!$F$5:$F$204=$G$115)*(ISNUMBER(SEARCH("accidentel",SAISIE!$B$5:$B$204)))),SAISIE!$E$5:$E$204),"-"))</f>
        <v/>
      </c>
      <c r="E126" s="9">
        <f>IF($G$115="","",IF(OR(D126="",D126="-"),"",IF(D126&gt;0,"(soulevement)",IF(D126&lt;0,"(compression)","-"))))</f>
        <v/>
      </c>
    </row>
    <row r="127">
      <c r="A127" s="6">
        <f>IF($G$127="","","Noeud "&amp;$G$127)</f>
        <v/>
      </c>
      <c r="B127" s="7" t="n"/>
      <c r="C127" s="7" t="n"/>
      <c r="D127" s="7" t="n"/>
      <c r="E127" s="7" t="n"/>
      <c r="G127">
        <f>IFERROR(INDEX(SAISIE!$F$5:$F$204,AGGREGATE(15,6,ROW(SAISIE!$F$5:$F$204)-ROW(SAISIE!$F$5)+1/(SAISIE!$F$5:$F$204&lt;&gt;"")/(COUNTIF($G$4:G126,SAISIE!$F$5:$F$204)=0),1)),"")</f>
        <v/>
      </c>
    </row>
    <row r="128">
      <c r="A128" s="8">
        <f>IF(OR($G$127="",NOT(TRUE)),"","Couverture")</f>
        <v/>
      </c>
      <c r="B128" s="9">
        <f>IF($G$127="","",IFERROR(IFERROR(LOOKUP(2,1/((SAISIE!$F$5:$F$204=$G$127)*(LEFT(SAISIE!$B$5:$B$204,2)="G ")),SAISIE!$C$5:$C$204),LOOKUP(2,1/((SAISIE!$F$5:$F$204=$G$127)*(ISNUMBER(SEARCH("Couverture",SAISIE!$B$5:$B$204)))),SAISIE!$C$5:$C$204)),"-"))</f>
        <v/>
      </c>
      <c r="C128" s="9">
        <f>IF($G$127="","",IFERROR(IFERROR(LOOKUP(2,1/((SAISIE!$F$5:$F$204=$G$127)*(LEFT(SAISIE!$B$5:$B$204,2)="G ")),SAISIE!$D$5:$D$204),LOOKUP(2,1/((SAISIE!$F$5:$F$204=$G$127)*(ISNUMBER(SEARCH("Couverture",SAISIE!$B$5:$B$204)))),SAISIE!$D$5:$D$204)),"-"))</f>
        <v/>
      </c>
      <c r="D128" s="9">
        <f>IF($G$127="","",IFERROR(IFERROR(LOOKUP(2,1/((SAISIE!$F$5:$F$204=$G$127)*(LEFT(SAISIE!$B$5:$B$204,2)="G ")),SAISIE!$E$5:$E$204),LOOKUP(2,1/((SAISIE!$F$5:$F$204=$G$127)*(ISNUMBER(SEARCH("Couverture",SAISIE!$B$5:$B$204)))),SAISIE!$E$5:$E$204)),"-"))</f>
        <v/>
      </c>
      <c r="E128" s="9">
        <f>IF($G$127="","",IF(OR(D128="",D128="-"),"",IF(D128&gt;0,"(soulevement)",IF(D128&lt;0,"(compression)","-"))))</f>
        <v/>
      </c>
    </row>
    <row r="129">
      <c r="A129" s="8">
        <f>IF(OR($G$127="",NOT(COUNTIFS(SAISIE!$B$5:$B$204,"*Vent G/D*",SAISIE!$F$5:$F$204,$G$127)&gt;0)),"","Vent G/D")</f>
        <v/>
      </c>
      <c r="B129" s="9">
        <f>IF(OR($G$127="",NOT(COUNTIFS(SAISIE!$B$5:$B$204,"*Vent G/D*",SAISIE!$F$5:$F$204,$G$127)&gt;0)),"",IFERROR(IF(MINIFS(SAISIE!$E$5:$E$204,SAISIE!$B$5:$B$204,"*Vent G/D*",SAISIE!$F$5:$F$204,$G$127)&gt;=0,MAXIFS(SAISIE!$C$5:$C$204,SAISIE!$B$5:$B$204,"*Vent G/D*",SAISIE!$F$5:$F$204,$G$127),INDEX(SAISIE!$C$5:$C$204,MATCH(MINIFS(SAISIE!$E$5:$E$204,SAISIE!$B$5:$B$204,"*Vent G/D*",SAISIE!$F$5:$F$204,$G$127),SAISIE!$E$5:$E$204,0))),"-"))</f>
        <v/>
      </c>
      <c r="C129" s="9">
        <f>IF(OR($G$127="",NOT(COUNTIFS(SAISIE!$B$5:$B$204,"*Vent G/D*",SAISIE!$F$5:$F$204,$G$127)&gt;0)),"",IFERROR(IF(MINIFS(SAISIE!$E$5:$E$204,SAISIE!$B$5:$B$204,"*Vent G/D*",SAISIE!$F$5:$F$204,$G$127)&gt;=0,INDEX(SAISIE!$D$5:$D$204,MATCH(MAXIFS(SAISIE!$C$5:$C$204,SAISIE!$B$5:$B$204,"*Vent G/D*",SAISIE!$F$5:$F$204,$G$127),SAISIE!$C$5:$C$204,0)),INDEX(SAISIE!$D$5:$D$204,MATCH(MINIFS(SAISIE!$E$5:$E$204,SAISIE!$B$5:$B$204,"*Vent G/D*",SAISIE!$F$5:$F$204,$G$127),SAISIE!$E$5:$E$204,0))),"-"))</f>
        <v/>
      </c>
      <c r="D129" s="9">
        <f>IF(OR($G$127="",NOT(COUNTIFS(SAISIE!$B$5:$B$204,"*Vent G/D*",SAISIE!$F$5:$F$204,$G$127)&gt;0)),"",IFERROR(IF(MINIFS(SAISIE!$E$5:$E$204,SAISIE!$B$5:$B$204,"*Vent G/D*",SAISIE!$F$5:$F$204,$G$127)&gt;=0,0,MINIFS(SAISIE!$E$5:$E$204,SAISIE!$B$5:$B$204,"*Vent G/D*",SAISIE!$F$5:$F$204,$G$127)),"-"))</f>
        <v/>
      </c>
      <c r="E129" s="9">
        <f>IF($G$127="","",IF(OR(D129="",D129="-"),"",IF(D129&gt;0,"(soulevement)",IF(D129&lt;0,"(compression)","-"))))</f>
        <v/>
      </c>
    </row>
    <row r="130">
      <c r="A130" s="8">
        <f>IF(OR($G$127="",NOT(MAXIFS(SAISIE!$E$5:$E$204,SAISIE!$B$5:$B$204,"*Vent G/D*",SAISIE!$F$5:$F$204,$G$127)&gt;0)),"","Vent G/D")</f>
        <v/>
      </c>
      <c r="B130" s="9">
        <f>IF(OR($G$127="",NOT(MAXIFS(SAISIE!$E$5:$E$204,SAISIE!$B$5:$B$204,"*Vent G/D*",SAISIE!$F$5:$F$204,$G$127)&gt;0)),"",IFERROR(INDEX(SAISIE!$C$5:$C$204,MATCH(MAXIFS(SAISIE!$E$5:$E$204,SAISIE!$B$5:$B$204,"*Vent G/D*",SAISIE!$F$5:$F$204,$G$127),SAISIE!$E$5:$E$204,0)),"-"))</f>
        <v/>
      </c>
      <c r="C130" s="9">
        <f>IF(OR($G$127="",NOT(MAXIFS(SAISIE!$E$5:$E$204,SAISIE!$B$5:$B$204,"*Vent G/D*",SAISIE!$F$5:$F$204,$G$127)&gt;0)),"",IFERROR(INDEX(SAISIE!$D$5:$D$204,MATCH(MAXIFS(SAISIE!$E$5:$E$204,SAISIE!$B$5:$B$204,"*Vent G/D*",SAISIE!$F$5:$F$204,$G$127),SAISIE!$E$5:$E$204,0)),"-"))</f>
        <v/>
      </c>
      <c r="D130" s="9">
        <f>IF(OR($G$127="",NOT(MAXIFS(SAISIE!$E$5:$E$204,SAISIE!$B$5:$B$204,"*Vent G/D*",SAISIE!$F$5:$F$204,$G$127)&gt;0)),"",IFERROR(MAXIFS(SAISIE!$E$5:$E$204,SAISIE!$B$5:$B$204,"*Vent G/D*",SAISIE!$F$5:$F$204,$G$127),"-"))</f>
        <v/>
      </c>
      <c r="E130" s="9">
        <f>IF($G$127="","",IF(OR(D130="",D130="-"),"",IF(D130&gt;0,"(soulevement)",IF(D130&lt;0,"(compression)","-"))))</f>
        <v/>
      </c>
    </row>
    <row r="131">
      <c r="A131" s="8">
        <f>IF(OR($G$127="",NOT(COUNTIFS(SAISIE!$B$5:$B$204,"*Vent D/G*",SAISIE!$F$5:$F$204,$G$127)&gt;0)),"","Vent D/G")</f>
        <v/>
      </c>
      <c r="B131" s="9">
        <f>IF(OR($G$127="",NOT(COUNTIFS(SAISIE!$B$5:$B$204,"*Vent D/G*",SAISIE!$F$5:$F$204,$G$127)&gt;0)),"",IFERROR(IF(MINIFS(SAISIE!$E$5:$E$204,SAISIE!$B$5:$B$204,"*Vent D/G*",SAISIE!$F$5:$F$204,$G$127)&gt;=0,MAXIFS(SAISIE!$C$5:$C$204,SAISIE!$B$5:$B$204,"*Vent D/G*",SAISIE!$F$5:$F$204,$G$127),INDEX(SAISIE!$C$5:$C$204,MATCH(MINIFS(SAISIE!$E$5:$E$204,SAISIE!$B$5:$B$204,"*Vent D/G*",SAISIE!$F$5:$F$204,$G$127),SAISIE!$E$5:$E$204,0))),"-"))</f>
        <v/>
      </c>
      <c r="C131" s="9">
        <f>IF(OR($G$127="",NOT(COUNTIFS(SAISIE!$B$5:$B$204,"*Vent D/G*",SAISIE!$F$5:$F$204,$G$127)&gt;0)),"",IFERROR(IF(MINIFS(SAISIE!$E$5:$E$204,SAISIE!$B$5:$B$204,"*Vent D/G*",SAISIE!$F$5:$F$204,$G$127)&gt;=0,INDEX(SAISIE!$D$5:$D$204,MATCH(MAXIFS(SAISIE!$C$5:$C$204,SAISIE!$B$5:$B$204,"*Vent D/G*",SAISIE!$F$5:$F$204,$G$127),SAISIE!$C$5:$C$204,0)),INDEX(SAISIE!$D$5:$D$204,MATCH(MINIFS(SAISIE!$E$5:$E$204,SAISIE!$B$5:$B$204,"*Vent D/G*",SAISIE!$F$5:$F$204,$G$127),SAISIE!$E$5:$E$204,0))),"-"))</f>
        <v/>
      </c>
      <c r="D131" s="9">
        <f>IF(OR($G$127="",NOT(COUNTIFS(SAISIE!$B$5:$B$204,"*Vent D/G*",SAISIE!$F$5:$F$204,$G$127)&gt;0)),"",IFERROR(IF(MINIFS(SAISIE!$E$5:$E$204,SAISIE!$B$5:$B$204,"*Vent D/G*",SAISIE!$F$5:$F$204,$G$127)&gt;=0,0,MINIFS(SAISIE!$E$5:$E$204,SAISIE!$B$5:$B$204,"*Vent D/G*",SAISIE!$F$5:$F$204,$G$127)),"-"))</f>
        <v/>
      </c>
      <c r="E131" s="9">
        <f>IF($G$127="","",IF(OR(D131="",D131="-"),"",IF(D131&gt;0,"(soulevement)",IF(D131&lt;0,"(compression)","-"))))</f>
        <v/>
      </c>
    </row>
    <row r="132">
      <c r="A132" s="8">
        <f>IF(OR($G$127="",NOT(MAXIFS(SAISIE!$E$5:$E$204,SAISIE!$B$5:$B$204,"*Vent D/G*",SAISIE!$F$5:$F$204,$G$127)&gt;0)),"","Vent D/G")</f>
        <v/>
      </c>
      <c r="B132" s="9">
        <f>IF(OR($G$127="",NOT(MAXIFS(SAISIE!$E$5:$E$204,SAISIE!$B$5:$B$204,"*Vent D/G*",SAISIE!$F$5:$F$204,$G$127)&gt;0)),"",IFERROR(INDEX(SAISIE!$C$5:$C$204,MATCH(MAXIFS(SAISIE!$E$5:$E$204,SAISIE!$B$5:$B$204,"*Vent D/G*",SAISIE!$F$5:$F$204,$G$127),SAISIE!$E$5:$E$204,0)),"-"))</f>
        <v/>
      </c>
      <c r="C132" s="9">
        <f>IF(OR($G$127="",NOT(MAXIFS(SAISIE!$E$5:$E$204,SAISIE!$B$5:$B$204,"*Vent D/G*",SAISIE!$F$5:$F$204,$G$127)&gt;0)),"",IFERROR(INDEX(SAISIE!$D$5:$D$204,MATCH(MAXIFS(SAISIE!$E$5:$E$204,SAISIE!$B$5:$B$204,"*Vent D/G*",SAISIE!$F$5:$F$204,$G$127),SAISIE!$E$5:$E$204,0)),"-"))</f>
        <v/>
      </c>
      <c r="D132" s="9">
        <f>IF(OR($G$127="",NOT(MAXIFS(SAISIE!$E$5:$E$204,SAISIE!$B$5:$B$204,"*Vent D/G*",SAISIE!$F$5:$F$204,$G$127)&gt;0)),"",IFERROR(MAXIFS(SAISIE!$E$5:$E$204,SAISIE!$B$5:$B$204,"*Vent D/G*",SAISIE!$F$5:$F$204,$G$127),"-"))</f>
        <v/>
      </c>
      <c r="E132" s="9">
        <f>IF($G$127="","",IF(OR(D132="",D132="-"),"",IF(D132&gt;0,"(soulevement)",IF(D132&lt;0,"(compression)","-"))))</f>
        <v/>
      </c>
    </row>
    <row r="133">
      <c r="A133" s="8">
        <f>IF(OR($G$127="",NOT(COUNTIFS(SAISIE!$B$5:$B$204,"*Vent Av./Arr.*",SAISIE!$F$5:$F$204,$G$127)&gt;0)),"","Vent Av./Arr.")</f>
        <v/>
      </c>
      <c r="B133" s="9">
        <f>IF(OR($G$127="",NOT(COUNTIFS(SAISIE!$B$5:$B$204,"*Vent Av./Arr.*",SAISIE!$F$5:$F$204,$G$127)&gt;0)),"",IFERROR(IF(MINIFS(SAISIE!$E$5:$E$204,SAISIE!$B$5:$B$204,"*Vent Av./Arr.*",SAISIE!$F$5:$F$204,$G$127)&gt;=0,MAXIFS(SAISIE!$C$5:$C$204,SAISIE!$B$5:$B$204,"*Vent Av./Arr.*",SAISIE!$F$5:$F$204,$G$127),INDEX(SAISIE!$C$5:$C$204,MATCH(MINIFS(SAISIE!$E$5:$E$204,SAISIE!$B$5:$B$204,"*Vent Av./Arr.*",SAISIE!$F$5:$F$204,$G$127),SAISIE!$E$5:$E$204,0))),"-"))</f>
        <v/>
      </c>
      <c r="C133" s="9">
        <f>IF(OR($G$127="",NOT(COUNTIFS(SAISIE!$B$5:$B$204,"*Vent Av./Arr.*",SAISIE!$F$5:$F$204,$G$127)&gt;0)),"",IFERROR(IF(MINIFS(SAISIE!$E$5:$E$204,SAISIE!$B$5:$B$204,"*Vent Av./Arr.*",SAISIE!$F$5:$F$204,$G$127)&gt;=0,INDEX(SAISIE!$D$5:$D$204,MATCH(MAXIFS(SAISIE!$C$5:$C$204,SAISIE!$B$5:$B$204,"*Vent Av./Arr.*",SAISIE!$F$5:$F$204,$G$127),SAISIE!$C$5:$C$204,0)),INDEX(SAISIE!$D$5:$D$204,MATCH(MINIFS(SAISIE!$E$5:$E$204,SAISIE!$B$5:$B$204,"*Vent Av./Arr.*",SAISIE!$F$5:$F$204,$G$127),SAISIE!$E$5:$E$204,0))),"-"))</f>
        <v/>
      </c>
      <c r="D133" s="9">
        <f>IF(OR($G$127="",NOT(COUNTIFS(SAISIE!$B$5:$B$204,"*Vent Av./Arr.*",SAISIE!$F$5:$F$204,$G$127)&gt;0)),"",IFERROR(IF(MINIFS(SAISIE!$E$5:$E$204,SAISIE!$B$5:$B$204,"*Vent Av./Arr.*",SAISIE!$F$5:$F$204,$G$127)&gt;=0,0,MINIFS(SAISIE!$E$5:$E$204,SAISIE!$B$5:$B$204,"*Vent Av./Arr.*",SAISIE!$F$5:$F$204,$G$127)),"-"))</f>
        <v/>
      </c>
      <c r="E133" s="9">
        <f>IF($G$127="","",IF(OR(D133="",D133="-"),"",IF(D133&gt;0,"(soulevement)",IF(D133&lt;0,"(compression)","-"))))</f>
        <v/>
      </c>
    </row>
    <row r="134">
      <c r="A134" s="8">
        <f>IF(OR($G$127="",NOT(MAXIFS(SAISIE!$E$5:$E$204,SAISIE!$B$5:$B$204,"*Vent Av./Arr.*",SAISIE!$F$5:$F$204,$G$127)&gt;0)),"","Vent Av./Arr.")</f>
        <v/>
      </c>
      <c r="B134" s="9">
        <f>IF(OR($G$127="",NOT(MAXIFS(SAISIE!$E$5:$E$204,SAISIE!$B$5:$B$204,"*Vent Av./Arr.*",SAISIE!$F$5:$F$204,$G$127)&gt;0)),"",IFERROR(INDEX(SAISIE!$C$5:$C$204,MATCH(MAXIFS(SAISIE!$E$5:$E$204,SAISIE!$B$5:$B$204,"*Vent Av./Arr.*",SAISIE!$F$5:$F$204,$G$127),SAISIE!$E$5:$E$204,0)),"-"))</f>
        <v/>
      </c>
      <c r="C134" s="9">
        <f>IF(OR($G$127="",NOT(MAXIFS(SAISIE!$E$5:$E$204,SAISIE!$B$5:$B$204,"*Vent Av./Arr.*",SAISIE!$F$5:$F$204,$G$127)&gt;0)),"",IFERROR(INDEX(SAISIE!$D$5:$D$204,MATCH(MAXIFS(SAISIE!$E$5:$E$204,SAISIE!$B$5:$B$204,"*Vent Av./Arr.*",SAISIE!$F$5:$F$204,$G$127),SAISIE!$E$5:$E$204,0)),"-"))</f>
        <v/>
      </c>
      <c r="D134" s="9">
        <f>IF(OR($G$127="",NOT(MAXIFS(SAISIE!$E$5:$E$204,SAISIE!$B$5:$B$204,"*Vent Av./Arr.*",SAISIE!$F$5:$F$204,$G$127)&gt;0)),"",IFERROR(MAXIFS(SAISIE!$E$5:$E$204,SAISIE!$B$5:$B$204,"*Vent Av./Arr.*",SAISIE!$F$5:$F$204,$G$127),"-"))</f>
        <v/>
      </c>
      <c r="E134" s="9">
        <f>IF($G$127="","",IF(OR(D134="",D134="-"),"",IF(D134&gt;0,"(soulevement)",IF(D134&lt;0,"(compression)","-"))))</f>
        <v/>
      </c>
    </row>
    <row r="135">
      <c r="A135" s="8">
        <f>IF(OR($G$127="",NOT(COUNTIFS(SAISIE!$B$5:$B$204,"*Vent Arr./Av.*",SAISIE!$F$5:$F$204,$G$127)&gt;0)),"","Vent Arr./Av.")</f>
        <v/>
      </c>
      <c r="B135" s="9">
        <f>IF(OR($G$127="",NOT(COUNTIFS(SAISIE!$B$5:$B$204,"*Vent Arr./Av.*",SAISIE!$F$5:$F$204,$G$127)&gt;0)),"",IFERROR(IF(MINIFS(SAISIE!$E$5:$E$204,SAISIE!$B$5:$B$204,"*Vent Arr./Av.*",SAISIE!$F$5:$F$204,$G$127)&gt;=0,MAXIFS(SAISIE!$C$5:$C$204,SAISIE!$B$5:$B$204,"*Vent Arr./Av.*",SAISIE!$F$5:$F$204,$G$127),INDEX(SAISIE!$C$5:$C$204,MATCH(MINIFS(SAISIE!$E$5:$E$204,SAISIE!$B$5:$B$204,"*Vent Arr./Av.*",SAISIE!$F$5:$F$204,$G$127),SAISIE!$E$5:$E$204,0))),"-"))</f>
        <v/>
      </c>
      <c r="C135" s="9">
        <f>IF(OR($G$127="",NOT(COUNTIFS(SAISIE!$B$5:$B$204,"*Vent Arr./Av.*",SAISIE!$F$5:$F$204,$G$127)&gt;0)),"",IFERROR(IF(MINIFS(SAISIE!$E$5:$E$204,SAISIE!$B$5:$B$204,"*Vent Arr./Av.*",SAISIE!$F$5:$F$204,$G$127)&gt;=0,INDEX(SAISIE!$D$5:$D$204,MATCH(MAXIFS(SAISIE!$C$5:$C$204,SAISIE!$B$5:$B$204,"*Vent Arr./Av.*",SAISIE!$F$5:$F$204,$G$127),SAISIE!$C$5:$C$204,0)),INDEX(SAISIE!$D$5:$D$204,MATCH(MINIFS(SAISIE!$E$5:$E$204,SAISIE!$B$5:$B$204,"*Vent Arr./Av.*",SAISIE!$F$5:$F$204,$G$127),SAISIE!$E$5:$E$204,0))),"-"))</f>
        <v/>
      </c>
      <c r="D135" s="9">
        <f>IF(OR($G$127="",NOT(COUNTIFS(SAISIE!$B$5:$B$204,"*Vent Arr./Av.*",SAISIE!$F$5:$F$204,$G$127)&gt;0)),"",IFERROR(IF(MINIFS(SAISIE!$E$5:$E$204,SAISIE!$B$5:$B$204,"*Vent Arr./Av.*",SAISIE!$F$5:$F$204,$G$127)&gt;=0,0,MINIFS(SAISIE!$E$5:$E$204,SAISIE!$B$5:$B$204,"*Vent Arr./Av.*",SAISIE!$F$5:$F$204,$G$127)),"-"))</f>
        <v/>
      </c>
      <c r="E135" s="9">
        <f>IF($G$127="","",IF(OR(D135="",D135="-"),"",IF(D135&gt;0,"(soulevement)",IF(D135&lt;0,"(compression)","-"))))</f>
        <v/>
      </c>
    </row>
    <row r="136">
      <c r="A136" s="8">
        <f>IF(OR($G$127="",NOT(MAXIFS(SAISIE!$E$5:$E$204,SAISIE!$B$5:$B$204,"*Vent Arr./Av.*",SAISIE!$F$5:$F$204,$G$127)&gt;0)),"","Vent Arr./Av.")</f>
        <v/>
      </c>
      <c r="B136" s="9">
        <f>IF(OR($G$127="",NOT(MAXIFS(SAISIE!$E$5:$E$204,SAISIE!$B$5:$B$204,"*Vent Arr./Av.*",SAISIE!$F$5:$F$204,$G$127)&gt;0)),"",IFERROR(INDEX(SAISIE!$C$5:$C$204,MATCH(MAXIFS(SAISIE!$E$5:$E$204,SAISIE!$B$5:$B$204,"*Vent Arr./Av.*",SAISIE!$F$5:$F$204,$G$127),SAISIE!$E$5:$E$204,0)),"-"))</f>
        <v/>
      </c>
      <c r="C136" s="9">
        <f>IF(OR($G$127="",NOT(MAXIFS(SAISIE!$E$5:$E$204,SAISIE!$B$5:$B$204,"*Vent Arr./Av.*",SAISIE!$F$5:$F$204,$G$127)&gt;0)),"",IFERROR(INDEX(SAISIE!$D$5:$D$204,MATCH(MAXIFS(SAISIE!$E$5:$E$204,SAISIE!$B$5:$B$204,"*Vent Arr./Av.*",SAISIE!$F$5:$F$204,$G$127),SAISIE!$E$5:$E$204,0)),"-"))</f>
        <v/>
      </c>
      <c r="D136" s="9">
        <f>IF(OR($G$127="",NOT(MAXIFS(SAISIE!$E$5:$E$204,SAISIE!$B$5:$B$204,"*Vent Arr./Av.*",SAISIE!$F$5:$F$204,$G$127)&gt;0)),"",IFERROR(MAXIFS(SAISIE!$E$5:$E$204,SAISIE!$B$5:$B$204,"*Vent Arr./Av.*",SAISIE!$F$5:$F$204,$G$127),"-"))</f>
        <v/>
      </c>
      <c r="E136" s="9">
        <f>IF($G$127="","",IF(OR(D136="",D136="-"),"",IF(D136&gt;0,"(soulevement)",IF(D136&lt;0,"(compression)","-"))))</f>
        <v/>
      </c>
    </row>
    <row r="137">
      <c r="A137" s="8">
        <f>IF(OR($G$127="",NOT(TRUE)),"","Neige normale")</f>
        <v/>
      </c>
      <c r="B137" s="9">
        <f>IF($G$127="","",IFERROR(INDEX(SAISIE!$C$5:$C$204,MATCH(MINIFS(SAISIE!$E$5:$E$204,SAISIE!$B$5:$B$204,"*Neige*",SAISIE!$B$5:$B$204,"&lt;&gt;*accidentel*",SAISIE!$F$5:$F$204,$G$127),SAISIE!$E$5:$E$204,0)),"-"))</f>
        <v/>
      </c>
      <c r="C137" s="9">
        <f>IF($G$127="","",IFERROR(INDEX(SAISIE!$D$5:$D$204,MATCH(MINIFS(SAISIE!$E$5:$E$204,SAISIE!$B$5:$B$204,"*Neige*",SAISIE!$B$5:$B$204,"&lt;&gt;*accidentel*",SAISIE!$F$5:$F$204,$G$127),SAISIE!$E$5:$E$204,0)),"-"))</f>
        <v/>
      </c>
      <c r="D137" s="9">
        <f>IF($G$127="","",IFERROR(INDEX(SAISIE!$E$5:$E$204,MATCH(MINIFS(SAISIE!$E$5:$E$204,SAISIE!$B$5:$B$204,"*Neige*",SAISIE!$B$5:$B$204,"&lt;&gt;*accidentel*",SAISIE!$F$5:$F$204,$G$127),SAISIE!$E$5:$E$204,0)),"-"))</f>
        <v/>
      </c>
      <c r="E137" s="9">
        <f>IF($G$127="","",IF(OR(D137="",D137="-"),"",IF(D137&gt;0,"(soulevement)",IF(D137&lt;0,"(compression)","-"))))</f>
        <v/>
      </c>
    </row>
    <row r="138">
      <c r="A138" s="8">
        <f>IF(OR($G$127="",NOT(TRUE)),"","Neige accidentelle")</f>
        <v/>
      </c>
      <c r="B138" s="9">
        <f>IF($G$127="","",IFERROR(LOOKUP(2,1/((SAISIE!$F$5:$F$204=$G$127)*(ISNUMBER(SEARCH("accidentel",SAISIE!$B$5:$B$204)))),SAISIE!$C$5:$C$204),"-"))</f>
        <v/>
      </c>
      <c r="C138" s="9">
        <f>IF($G$127="","",IFERROR(LOOKUP(2,1/((SAISIE!$F$5:$F$204=$G$127)*(ISNUMBER(SEARCH("accidentel",SAISIE!$B$5:$B$204)))),SAISIE!$D$5:$D$204),"-"))</f>
        <v/>
      </c>
      <c r="D138" s="9">
        <f>IF($G$127="","",IFERROR(LOOKUP(2,1/((SAISIE!$F$5:$F$204=$G$127)*(ISNUMBER(SEARCH("accidentel",SAISIE!$B$5:$B$204)))),SAISIE!$E$5:$E$204),"-"))</f>
        <v/>
      </c>
      <c r="E138" s="9">
        <f>IF($G$127="","",IF(OR(D138="",D138="-"),"",IF(D138&gt;0,"(soulevement)",IF(D138&lt;0,"(compression)","-"))))</f>
        <v/>
      </c>
    </row>
    <row r="139">
      <c r="A139" s="6">
        <f>IF($G$139="","","Noeud "&amp;$G$139)</f>
        <v/>
      </c>
      <c r="B139" s="7" t="n"/>
      <c r="C139" s="7" t="n"/>
      <c r="D139" s="7" t="n"/>
      <c r="E139" s="7" t="n"/>
      <c r="G139">
        <f>IFERROR(INDEX(SAISIE!$F$5:$F$204,AGGREGATE(15,6,ROW(SAISIE!$F$5:$F$204)-ROW(SAISIE!$F$5)+1/(SAISIE!$F$5:$F$204&lt;&gt;"")/(COUNTIF($G$4:G138,SAISIE!$F$5:$F$204)=0),1)),"")</f>
        <v/>
      </c>
    </row>
    <row r="140">
      <c r="A140" s="8">
        <f>IF(OR($G$139="",NOT(TRUE)),"","Couverture")</f>
        <v/>
      </c>
      <c r="B140" s="9">
        <f>IF($G$139="","",IFERROR(IFERROR(LOOKUP(2,1/((SAISIE!$F$5:$F$204=$G$139)*(LEFT(SAISIE!$B$5:$B$204,2)="G ")),SAISIE!$C$5:$C$204),LOOKUP(2,1/((SAISIE!$F$5:$F$204=$G$139)*(ISNUMBER(SEARCH("Couverture",SAISIE!$B$5:$B$204)))),SAISIE!$C$5:$C$204)),"-"))</f>
        <v/>
      </c>
      <c r="C140" s="9">
        <f>IF($G$139="","",IFERROR(IFERROR(LOOKUP(2,1/((SAISIE!$F$5:$F$204=$G$139)*(LEFT(SAISIE!$B$5:$B$204,2)="G ")),SAISIE!$D$5:$D$204),LOOKUP(2,1/((SAISIE!$F$5:$F$204=$G$139)*(ISNUMBER(SEARCH("Couverture",SAISIE!$B$5:$B$204)))),SAISIE!$D$5:$D$204)),"-"))</f>
        <v/>
      </c>
      <c r="D140" s="9">
        <f>IF($G$139="","",IFERROR(IFERROR(LOOKUP(2,1/((SAISIE!$F$5:$F$204=$G$139)*(LEFT(SAISIE!$B$5:$B$204,2)="G ")),SAISIE!$E$5:$E$204),LOOKUP(2,1/((SAISIE!$F$5:$F$204=$G$139)*(ISNUMBER(SEARCH("Couverture",SAISIE!$B$5:$B$204)))),SAISIE!$E$5:$E$204)),"-"))</f>
        <v/>
      </c>
      <c r="E140" s="9">
        <f>IF($G$139="","",IF(OR(D140="",D140="-"),"",IF(D140&gt;0,"(soulevement)",IF(D140&lt;0,"(compression)","-"))))</f>
        <v/>
      </c>
    </row>
    <row r="141">
      <c r="A141" s="8">
        <f>IF(OR($G$139="",NOT(COUNTIFS(SAISIE!$B$5:$B$204,"*Vent G/D*",SAISIE!$F$5:$F$204,$G$139)&gt;0)),"","Vent G/D")</f>
        <v/>
      </c>
      <c r="B141" s="9">
        <f>IF(OR($G$139="",NOT(COUNTIFS(SAISIE!$B$5:$B$204,"*Vent G/D*",SAISIE!$F$5:$F$204,$G$139)&gt;0)),"",IFERROR(IF(MINIFS(SAISIE!$E$5:$E$204,SAISIE!$B$5:$B$204,"*Vent G/D*",SAISIE!$F$5:$F$204,$G$139)&gt;=0,MAXIFS(SAISIE!$C$5:$C$204,SAISIE!$B$5:$B$204,"*Vent G/D*",SAISIE!$F$5:$F$204,$G$139),INDEX(SAISIE!$C$5:$C$204,MATCH(MINIFS(SAISIE!$E$5:$E$204,SAISIE!$B$5:$B$204,"*Vent G/D*",SAISIE!$F$5:$F$204,$G$139),SAISIE!$E$5:$E$204,0))),"-"))</f>
        <v/>
      </c>
      <c r="C141" s="9">
        <f>IF(OR($G$139="",NOT(COUNTIFS(SAISIE!$B$5:$B$204,"*Vent G/D*",SAISIE!$F$5:$F$204,$G$139)&gt;0)),"",IFERROR(IF(MINIFS(SAISIE!$E$5:$E$204,SAISIE!$B$5:$B$204,"*Vent G/D*",SAISIE!$F$5:$F$204,$G$139)&gt;=0,INDEX(SAISIE!$D$5:$D$204,MATCH(MAXIFS(SAISIE!$C$5:$C$204,SAISIE!$B$5:$B$204,"*Vent G/D*",SAISIE!$F$5:$F$204,$G$139),SAISIE!$C$5:$C$204,0)),INDEX(SAISIE!$D$5:$D$204,MATCH(MINIFS(SAISIE!$E$5:$E$204,SAISIE!$B$5:$B$204,"*Vent G/D*",SAISIE!$F$5:$F$204,$G$139),SAISIE!$E$5:$E$204,0))),"-"))</f>
        <v/>
      </c>
      <c r="D141" s="9">
        <f>IF(OR($G$139="",NOT(COUNTIFS(SAISIE!$B$5:$B$204,"*Vent G/D*",SAISIE!$F$5:$F$204,$G$139)&gt;0)),"",IFERROR(IF(MINIFS(SAISIE!$E$5:$E$204,SAISIE!$B$5:$B$204,"*Vent G/D*",SAISIE!$F$5:$F$204,$G$139)&gt;=0,0,MINIFS(SAISIE!$E$5:$E$204,SAISIE!$B$5:$B$204,"*Vent G/D*",SAISIE!$F$5:$F$204,$G$139)),"-"))</f>
        <v/>
      </c>
      <c r="E141" s="9">
        <f>IF($G$139="","",IF(OR(D141="",D141="-"),"",IF(D141&gt;0,"(soulevement)",IF(D141&lt;0,"(compression)","-"))))</f>
        <v/>
      </c>
    </row>
    <row r="142">
      <c r="A142" s="8">
        <f>IF(OR($G$139="",NOT(MAXIFS(SAISIE!$E$5:$E$204,SAISIE!$B$5:$B$204,"*Vent G/D*",SAISIE!$F$5:$F$204,$G$139)&gt;0)),"","Vent G/D")</f>
        <v/>
      </c>
      <c r="B142" s="9">
        <f>IF(OR($G$139="",NOT(MAXIFS(SAISIE!$E$5:$E$204,SAISIE!$B$5:$B$204,"*Vent G/D*",SAISIE!$F$5:$F$204,$G$139)&gt;0)),"",IFERROR(INDEX(SAISIE!$C$5:$C$204,MATCH(MAXIFS(SAISIE!$E$5:$E$204,SAISIE!$B$5:$B$204,"*Vent G/D*",SAISIE!$F$5:$F$204,$G$139),SAISIE!$E$5:$E$204,0)),"-"))</f>
        <v/>
      </c>
      <c r="C142" s="9">
        <f>IF(OR($G$139="",NOT(MAXIFS(SAISIE!$E$5:$E$204,SAISIE!$B$5:$B$204,"*Vent G/D*",SAISIE!$F$5:$F$204,$G$139)&gt;0)),"",IFERROR(INDEX(SAISIE!$D$5:$D$204,MATCH(MAXIFS(SAISIE!$E$5:$E$204,SAISIE!$B$5:$B$204,"*Vent G/D*",SAISIE!$F$5:$F$204,$G$139),SAISIE!$E$5:$E$204,0)),"-"))</f>
        <v/>
      </c>
      <c r="D142" s="9">
        <f>IF(OR($G$139="",NOT(MAXIFS(SAISIE!$E$5:$E$204,SAISIE!$B$5:$B$204,"*Vent G/D*",SAISIE!$F$5:$F$204,$G$139)&gt;0)),"",IFERROR(MAXIFS(SAISIE!$E$5:$E$204,SAISIE!$B$5:$B$204,"*Vent G/D*",SAISIE!$F$5:$F$204,$G$139),"-"))</f>
        <v/>
      </c>
      <c r="E142" s="9">
        <f>IF($G$139="","",IF(OR(D142="",D142="-"),"",IF(D142&gt;0,"(soulevement)",IF(D142&lt;0,"(compression)","-"))))</f>
        <v/>
      </c>
    </row>
    <row r="143">
      <c r="A143" s="8">
        <f>IF(OR($G$139="",NOT(COUNTIFS(SAISIE!$B$5:$B$204,"*Vent D/G*",SAISIE!$F$5:$F$204,$G$139)&gt;0)),"","Vent D/G")</f>
        <v/>
      </c>
      <c r="B143" s="9">
        <f>IF(OR($G$139="",NOT(COUNTIFS(SAISIE!$B$5:$B$204,"*Vent D/G*",SAISIE!$F$5:$F$204,$G$139)&gt;0)),"",IFERROR(IF(MINIFS(SAISIE!$E$5:$E$204,SAISIE!$B$5:$B$204,"*Vent D/G*",SAISIE!$F$5:$F$204,$G$139)&gt;=0,MAXIFS(SAISIE!$C$5:$C$204,SAISIE!$B$5:$B$204,"*Vent D/G*",SAISIE!$F$5:$F$204,$G$139),INDEX(SAISIE!$C$5:$C$204,MATCH(MINIFS(SAISIE!$E$5:$E$204,SAISIE!$B$5:$B$204,"*Vent D/G*",SAISIE!$F$5:$F$204,$G$139),SAISIE!$E$5:$E$204,0))),"-"))</f>
        <v/>
      </c>
      <c r="C143" s="9">
        <f>IF(OR($G$139="",NOT(COUNTIFS(SAISIE!$B$5:$B$204,"*Vent D/G*",SAISIE!$F$5:$F$204,$G$139)&gt;0)),"",IFERROR(IF(MINIFS(SAISIE!$E$5:$E$204,SAISIE!$B$5:$B$204,"*Vent D/G*",SAISIE!$F$5:$F$204,$G$139)&gt;=0,INDEX(SAISIE!$D$5:$D$204,MATCH(MAXIFS(SAISIE!$C$5:$C$204,SAISIE!$B$5:$B$204,"*Vent D/G*",SAISIE!$F$5:$F$204,$G$139),SAISIE!$C$5:$C$204,0)),INDEX(SAISIE!$D$5:$D$204,MATCH(MINIFS(SAISIE!$E$5:$E$204,SAISIE!$B$5:$B$204,"*Vent D/G*",SAISIE!$F$5:$F$204,$G$139),SAISIE!$E$5:$E$204,0))),"-"))</f>
        <v/>
      </c>
      <c r="D143" s="9">
        <f>IF(OR($G$139="",NOT(COUNTIFS(SAISIE!$B$5:$B$204,"*Vent D/G*",SAISIE!$F$5:$F$204,$G$139)&gt;0)),"",IFERROR(IF(MINIFS(SAISIE!$E$5:$E$204,SAISIE!$B$5:$B$204,"*Vent D/G*",SAISIE!$F$5:$F$204,$G$139)&gt;=0,0,MINIFS(SAISIE!$E$5:$E$204,SAISIE!$B$5:$B$204,"*Vent D/G*",SAISIE!$F$5:$F$204,$G$139)),"-"))</f>
        <v/>
      </c>
      <c r="E143" s="9">
        <f>IF($G$139="","",IF(OR(D143="",D143="-"),"",IF(D143&gt;0,"(soulevement)",IF(D143&lt;0,"(compression)","-"))))</f>
        <v/>
      </c>
    </row>
    <row r="144">
      <c r="A144" s="8">
        <f>IF(OR($G$139="",NOT(MAXIFS(SAISIE!$E$5:$E$204,SAISIE!$B$5:$B$204,"*Vent D/G*",SAISIE!$F$5:$F$204,$G$139)&gt;0)),"","Vent D/G")</f>
        <v/>
      </c>
      <c r="B144" s="9">
        <f>IF(OR($G$139="",NOT(MAXIFS(SAISIE!$E$5:$E$204,SAISIE!$B$5:$B$204,"*Vent D/G*",SAISIE!$F$5:$F$204,$G$139)&gt;0)),"",IFERROR(INDEX(SAISIE!$C$5:$C$204,MATCH(MAXIFS(SAISIE!$E$5:$E$204,SAISIE!$B$5:$B$204,"*Vent D/G*",SAISIE!$F$5:$F$204,$G$139),SAISIE!$E$5:$E$204,0)),"-"))</f>
        <v/>
      </c>
      <c r="C144" s="9">
        <f>IF(OR($G$139="",NOT(MAXIFS(SAISIE!$E$5:$E$204,SAISIE!$B$5:$B$204,"*Vent D/G*",SAISIE!$F$5:$F$204,$G$139)&gt;0)),"",IFERROR(INDEX(SAISIE!$D$5:$D$204,MATCH(MAXIFS(SAISIE!$E$5:$E$204,SAISIE!$B$5:$B$204,"*Vent D/G*",SAISIE!$F$5:$F$204,$G$139),SAISIE!$E$5:$E$204,0)),"-"))</f>
        <v/>
      </c>
      <c r="D144" s="9">
        <f>IF(OR($G$139="",NOT(MAXIFS(SAISIE!$E$5:$E$204,SAISIE!$B$5:$B$204,"*Vent D/G*",SAISIE!$F$5:$F$204,$G$139)&gt;0)),"",IFERROR(MAXIFS(SAISIE!$E$5:$E$204,SAISIE!$B$5:$B$204,"*Vent D/G*",SAISIE!$F$5:$F$204,$G$139),"-"))</f>
        <v/>
      </c>
      <c r="E144" s="9">
        <f>IF($G$139="","",IF(OR(D144="",D144="-"),"",IF(D144&gt;0,"(soulevement)",IF(D144&lt;0,"(compression)","-"))))</f>
        <v/>
      </c>
    </row>
    <row r="145">
      <c r="A145" s="8">
        <f>IF(OR($G$139="",NOT(COUNTIFS(SAISIE!$B$5:$B$204,"*Vent Av./Arr.*",SAISIE!$F$5:$F$204,$G$139)&gt;0)),"","Vent Av./Arr.")</f>
        <v/>
      </c>
      <c r="B145" s="9">
        <f>IF(OR($G$139="",NOT(COUNTIFS(SAISIE!$B$5:$B$204,"*Vent Av./Arr.*",SAISIE!$F$5:$F$204,$G$139)&gt;0)),"",IFERROR(IF(MINIFS(SAISIE!$E$5:$E$204,SAISIE!$B$5:$B$204,"*Vent Av./Arr.*",SAISIE!$F$5:$F$204,$G$139)&gt;=0,MAXIFS(SAISIE!$C$5:$C$204,SAISIE!$B$5:$B$204,"*Vent Av./Arr.*",SAISIE!$F$5:$F$204,$G$139),INDEX(SAISIE!$C$5:$C$204,MATCH(MINIFS(SAISIE!$E$5:$E$204,SAISIE!$B$5:$B$204,"*Vent Av./Arr.*",SAISIE!$F$5:$F$204,$G$139),SAISIE!$E$5:$E$204,0))),"-"))</f>
        <v/>
      </c>
      <c r="C145" s="9">
        <f>IF(OR($G$139="",NOT(COUNTIFS(SAISIE!$B$5:$B$204,"*Vent Av./Arr.*",SAISIE!$F$5:$F$204,$G$139)&gt;0)),"",IFERROR(IF(MINIFS(SAISIE!$E$5:$E$204,SAISIE!$B$5:$B$204,"*Vent Av./Arr.*",SAISIE!$F$5:$F$204,$G$139)&gt;=0,INDEX(SAISIE!$D$5:$D$204,MATCH(MAXIFS(SAISIE!$C$5:$C$204,SAISIE!$B$5:$B$204,"*Vent Av./Arr.*",SAISIE!$F$5:$F$204,$G$139),SAISIE!$C$5:$C$204,0)),INDEX(SAISIE!$D$5:$D$204,MATCH(MINIFS(SAISIE!$E$5:$E$204,SAISIE!$B$5:$B$204,"*Vent Av./Arr.*",SAISIE!$F$5:$F$204,$G$139),SAISIE!$E$5:$E$204,0))),"-"))</f>
        <v/>
      </c>
      <c r="D145" s="9">
        <f>IF(OR($G$139="",NOT(COUNTIFS(SAISIE!$B$5:$B$204,"*Vent Av./Arr.*",SAISIE!$F$5:$F$204,$G$139)&gt;0)),"",IFERROR(IF(MINIFS(SAISIE!$E$5:$E$204,SAISIE!$B$5:$B$204,"*Vent Av./Arr.*",SAISIE!$F$5:$F$204,$G$139)&gt;=0,0,MINIFS(SAISIE!$E$5:$E$204,SAISIE!$B$5:$B$204,"*Vent Av./Arr.*",SAISIE!$F$5:$F$204,$G$139)),"-"))</f>
        <v/>
      </c>
      <c r="E145" s="9">
        <f>IF($G$139="","",IF(OR(D145="",D145="-"),"",IF(D145&gt;0,"(soulevement)",IF(D145&lt;0,"(compression)","-"))))</f>
        <v/>
      </c>
    </row>
    <row r="146">
      <c r="A146" s="8">
        <f>IF(OR($G$139="",NOT(MAXIFS(SAISIE!$E$5:$E$204,SAISIE!$B$5:$B$204,"*Vent Av./Arr.*",SAISIE!$F$5:$F$204,$G$139)&gt;0)),"","Vent Av./Arr.")</f>
        <v/>
      </c>
      <c r="B146" s="9">
        <f>IF(OR($G$139="",NOT(MAXIFS(SAISIE!$E$5:$E$204,SAISIE!$B$5:$B$204,"*Vent Av./Arr.*",SAISIE!$F$5:$F$204,$G$139)&gt;0)),"",IFERROR(INDEX(SAISIE!$C$5:$C$204,MATCH(MAXIFS(SAISIE!$E$5:$E$204,SAISIE!$B$5:$B$204,"*Vent Av./Arr.*",SAISIE!$F$5:$F$204,$G$139),SAISIE!$E$5:$E$204,0)),"-"))</f>
        <v/>
      </c>
      <c r="C146" s="9">
        <f>IF(OR($G$139="",NOT(MAXIFS(SAISIE!$E$5:$E$204,SAISIE!$B$5:$B$204,"*Vent Av./Arr.*",SAISIE!$F$5:$F$204,$G$139)&gt;0)),"",IFERROR(INDEX(SAISIE!$D$5:$D$204,MATCH(MAXIFS(SAISIE!$E$5:$E$204,SAISIE!$B$5:$B$204,"*Vent Av./Arr.*",SAISIE!$F$5:$F$204,$G$139),SAISIE!$E$5:$E$204,0)),"-"))</f>
        <v/>
      </c>
      <c r="D146" s="9">
        <f>IF(OR($G$139="",NOT(MAXIFS(SAISIE!$E$5:$E$204,SAISIE!$B$5:$B$204,"*Vent Av./Arr.*",SAISIE!$F$5:$F$204,$G$139)&gt;0)),"",IFERROR(MAXIFS(SAISIE!$E$5:$E$204,SAISIE!$B$5:$B$204,"*Vent Av./Arr.*",SAISIE!$F$5:$F$204,$G$139),"-"))</f>
        <v/>
      </c>
      <c r="E146" s="9">
        <f>IF($G$139="","",IF(OR(D146="",D146="-"),"",IF(D146&gt;0,"(soulevement)",IF(D146&lt;0,"(compression)","-"))))</f>
        <v/>
      </c>
    </row>
    <row r="147">
      <c r="A147" s="8">
        <f>IF(OR($G$139="",NOT(COUNTIFS(SAISIE!$B$5:$B$204,"*Vent Arr./Av.*",SAISIE!$F$5:$F$204,$G$139)&gt;0)),"","Vent Arr./Av.")</f>
        <v/>
      </c>
      <c r="B147" s="9">
        <f>IF(OR($G$139="",NOT(COUNTIFS(SAISIE!$B$5:$B$204,"*Vent Arr./Av.*",SAISIE!$F$5:$F$204,$G$139)&gt;0)),"",IFERROR(IF(MINIFS(SAISIE!$E$5:$E$204,SAISIE!$B$5:$B$204,"*Vent Arr./Av.*",SAISIE!$F$5:$F$204,$G$139)&gt;=0,MAXIFS(SAISIE!$C$5:$C$204,SAISIE!$B$5:$B$204,"*Vent Arr./Av.*",SAISIE!$F$5:$F$204,$G$139),INDEX(SAISIE!$C$5:$C$204,MATCH(MINIFS(SAISIE!$E$5:$E$204,SAISIE!$B$5:$B$204,"*Vent Arr./Av.*",SAISIE!$F$5:$F$204,$G$139),SAISIE!$E$5:$E$204,0))),"-"))</f>
        <v/>
      </c>
      <c r="C147" s="9">
        <f>IF(OR($G$139="",NOT(COUNTIFS(SAISIE!$B$5:$B$204,"*Vent Arr./Av.*",SAISIE!$F$5:$F$204,$G$139)&gt;0)),"",IFERROR(IF(MINIFS(SAISIE!$E$5:$E$204,SAISIE!$B$5:$B$204,"*Vent Arr./Av.*",SAISIE!$F$5:$F$204,$G$139)&gt;=0,INDEX(SAISIE!$D$5:$D$204,MATCH(MAXIFS(SAISIE!$C$5:$C$204,SAISIE!$B$5:$B$204,"*Vent Arr./Av.*",SAISIE!$F$5:$F$204,$G$139),SAISIE!$C$5:$C$204,0)),INDEX(SAISIE!$D$5:$D$204,MATCH(MINIFS(SAISIE!$E$5:$E$204,SAISIE!$B$5:$B$204,"*Vent Arr./Av.*",SAISIE!$F$5:$F$204,$G$139),SAISIE!$E$5:$E$204,0))),"-"))</f>
        <v/>
      </c>
      <c r="D147" s="9">
        <f>IF(OR($G$139="",NOT(COUNTIFS(SAISIE!$B$5:$B$204,"*Vent Arr./Av.*",SAISIE!$F$5:$F$204,$G$139)&gt;0)),"",IFERROR(IF(MINIFS(SAISIE!$E$5:$E$204,SAISIE!$B$5:$B$204,"*Vent Arr./Av.*",SAISIE!$F$5:$F$204,$G$139)&gt;=0,0,MINIFS(SAISIE!$E$5:$E$204,SAISIE!$B$5:$B$204,"*Vent Arr./Av.*",SAISIE!$F$5:$F$204,$G$139)),"-"))</f>
        <v/>
      </c>
      <c r="E147" s="9">
        <f>IF($G$139="","",IF(OR(D147="",D147="-"),"",IF(D147&gt;0,"(soulevement)",IF(D147&lt;0,"(compression)","-"))))</f>
        <v/>
      </c>
    </row>
    <row r="148">
      <c r="A148" s="8">
        <f>IF(OR($G$139="",NOT(MAXIFS(SAISIE!$E$5:$E$204,SAISIE!$B$5:$B$204,"*Vent Arr./Av.*",SAISIE!$F$5:$F$204,$G$139)&gt;0)),"","Vent Arr./Av.")</f>
        <v/>
      </c>
      <c r="B148" s="9">
        <f>IF(OR($G$139="",NOT(MAXIFS(SAISIE!$E$5:$E$204,SAISIE!$B$5:$B$204,"*Vent Arr./Av.*",SAISIE!$F$5:$F$204,$G$139)&gt;0)),"",IFERROR(INDEX(SAISIE!$C$5:$C$204,MATCH(MAXIFS(SAISIE!$E$5:$E$204,SAISIE!$B$5:$B$204,"*Vent Arr./Av.*",SAISIE!$F$5:$F$204,$G$139),SAISIE!$E$5:$E$204,0)),"-"))</f>
        <v/>
      </c>
      <c r="C148" s="9">
        <f>IF(OR($G$139="",NOT(MAXIFS(SAISIE!$E$5:$E$204,SAISIE!$B$5:$B$204,"*Vent Arr./Av.*",SAISIE!$F$5:$F$204,$G$139)&gt;0)),"",IFERROR(INDEX(SAISIE!$D$5:$D$204,MATCH(MAXIFS(SAISIE!$E$5:$E$204,SAISIE!$B$5:$B$204,"*Vent Arr./Av.*",SAISIE!$F$5:$F$204,$G$139),SAISIE!$E$5:$E$204,0)),"-"))</f>
        <v/>
      </c>
      <c r="D148" s="9">
        <f>IF(OR($G$139="",NOT(MAXIFS(SAISIE!$E$5:$E$204,SAISIE!$B$5:$B$204,"*Vent Arr./Av.*",SAISIE!$F$5:$F$204,$G$139)&gt;0)),"",IFERROR(MAXIFS(SAISIE!$E$5:$E$204,SAISIE!$B$5:$B$204,"*Vent Arr./Av.*",SAISIE!$F$5:$F$204,$G$139),"-"))</f>
        <v/>
      </c>
      <c r="E148" s="9">
        <f>IF($G$139="","",IF(OR(D148="",D148="-"),"",IF(D148&gt;0,"(soulevement)",IF(D148&lt;0,"(compression)","-"))))</f>
        <v/>
      </c>
    </row>
    <row r="149">
      <c r="A149" s="8">
        <f>IF(OR($G$139="",NOT(TRUE)),"","Neige normale")</f>
        <v/>
      </c>
      <c r="B149" s="9">
        <f>IF($G$139="","",IFERROR(INDEX(SAISIE!$C$5:$C$204,MATCH(MINIFS(SAISIE!$E$5:$E$204,SAISIE!$B$5:$B$204,"*Neige*",SAISIE!$B$5:$B$204,"&lt;&gt;*accidentel*",SAISIE!$F$5:$F$204,$G$139),SAISIE!$E$5:$E$204,0)),"-"))</f>
        <v/>
      </c>
      <c r="C149" s="9">
        <f>IF($G$139="","",IFERROR(INDEX(SAISIE!$D$5:$D$204,MATCH(MINIFS(SAISIE!$E$5:$E$204,SAISIE!$B$5:$B$204,"*Neige*",SAISIE!$B$5:$B$204,"&lt;&gt;*accidentel*",SAISIE!$F$5:$F$204,$G$139),SAISIE!$E$5:$E$204,0)),"-"))</f>
        <v/>
      </c>
      <c r="D149" s="9">
        <f>IF($G$139="","",IFERROR(INDEX(SAISIE!$E$5:$E$204,MATCH(MINIFS(SAISIE!$E$5:$E$204,SAISIE!$B$5:$B$204,"*Neige*",SAISIE!$B$5:$B$204,"&lt;&gt;*accidentel*",SAISIE!$F$5:$F$204,$G$139),SAISIE!$E$5:$E$204,0)),"-"))</f>
        <v/>
      </c>
      <c r="E149" s="9">
        <f>IF($G$139="","",IF(OR(D149="",D149="-"),"",IF(D149&gt;0,"(soulevement)",IF(D149&lt;0,"(compression)","-"))))</f>
        <v/>
      </c>
    </row>
    <row r="150">
      <c r="A150" s="8">
        <f>IF(OR($G$139="",NOT(TRUE)),"","Neige accidentelle")</f>
        <v/>
      </c>
      <c r="B150" s="9">
        <f>IF($G$139="","",IFERROR(LOOKUP(2,1/((SAISIE!$F$5:$F$204=$G$139)*(ISNUMBER(SEARCH("accidentel",SAISIE!$B$5:$B$204)))),SAISIE!$C$5:$C$204),"-"))</f>
        <v/>
      </c>
      <c r="C150" s="9">
        <f>IF($G$139="","",IFERROR(LOOKUP(2,1/((SAISIE!$F$5:$F$204=$G$139)*(ISNUMBER(SEARCH("accidentel",SAISIE!$B$5:$B$204)))),SAISIE!$D$5:$D$204),"-"))</f>
        <v/>
      </c>
      <c r="D150" s="9">
        <f>IF($G$139="","",IFERROR(LOOKUP(2,1/((SAISIE!$F$5:$F$204=$G$139)*(ISNUMBER(SEARCH("accidentel",SAISIE!$B$5:$B$204)))),SAISIE!$E$5:$E$204),"-"))</f>
        <v/>
      </c>
      <c r="E150" s="9">
        <f>IF($G$139="","",IF(OR(D150="",D150="-"),"",IF(D150&gt;0,"(soulevement)",IF(D150&lt;0,"(compression)","-"))))</f>
        <v/>
      </c>
    </row>
    <row r="151">
      <c r="A151" s="6">
        <f>IF($G$151="","","Noeud "&amp;$G$151)</f>
        <v/>
      </c>
      <c r="B151" s="7" t="n"/>
      <c r="C151" s="7" t="n"/>
      <c r="D151" s="7" t="n"/>
      <c r="E151" s="7" t="n"/>
      <c r="G151">
        <f>IFERROR(INDEX(SAISIE!$F$5:$F$204,AGGREGATE(15,6,ROW(SAISIE!$F$5:$F$204)-ROW(SAISIE!$F$5)+1/(SAISIE!$F$5:$F$204&lt;&gt;"")/(COUNTIF($G$4:G150,SAISIE!$F$5:$F$204)=0),1)),"")</f>
        <v/>
      </c>
    </row>
    <row r="152">
      <c r="A152" s="8">
        <f>IF(OR($G$151="",NOT(TRUE)),"","Couverture")</f>
        <v/>
      </c>
      <c r="B152" s="9">
        <f>IF($G$151="","",IFERROR(IFERROR(LOOKUP(2,1/((SAISIE!$F$5:$F$204=$G$151)*(LEFT(SAISIE!$B$5:$B$204,2)="G ")),SAISIE!$C$5:$C$204),LOOKUP(2,1/((SAISIE!$F$5:$F$204=$G$151)*(ISNUMBER(SEARCH("Couverture",SAISIE!$B$5:$B$204)))),SAISIE!$C$5:$C$204)),"-"))</f>
        <v/>
      </c>
      <c r="C152" s="9">
        <f>IF($G$151="","",IFERROR(IFERROR(LOOKUP(2,1/((SAISIE!$F$5:$F$204=$G$151)*(LEFT(SAISIE!$B$5:$B$204,2)="G ")),SAISIE!$D$5:$D$204),LOOKUP(2,1/((SAISIE!$F$5:$F$204=$G$151)*(ISNUMBER(SEARCH("Couverture",SAISIE!$B$5:$B$204)))),SAISIE!$D$5:$D$204)),"-"))</f>
        <v/>
      </c>
      <c r="D152" s="9">
        <f>IF($G$151="","",IFERROR(IFERROR(LOOKUP(2,1/((SAISIE!$F$5:$F$204=$G$151)*(LEFT(SAISIE!$B$5:$B$204,2)="G ")),SAISIE!$E$5:$E$204),LOOKUP(2,1/((SAISIE!$F$5:$F$204=$G$151)*(ISNUMBER(SEARCH("Couverture",SAISIE!$B$5:$B$204)))),SAISIE!$E$5:$E$204)),"-"))</f>
        <v/>
      </c>
      <c r="E152" s="9">
        <f>IF($G$151="","",IF(OR(D152="",D152="-"),"",IF(D152&gt;0,"(soulevement)",IF(D152&lt;0,"(compression)","-"))))</f>
        <v/>
      </c>
    </row>
    <row r="153">
      <c r="A153" s="8">
        <f>IF(OR($G$151="",NOT(COUNTIFS(SAISIE!$B$5:$B$204,"*Vent G/D*",SAISIE!$F$5:$F$204,$G$151)&gt;0)),"","Vent G/D")</f>
        <v/>
      </c>
      <c r="B153" s="9">
        <f>IF(OR($G$151="",NOT(COUNTIFS(SAISIE!$B$5:$B$204,"*Vent G/D*",SAISIE!$F$5:$F$204,$G$151)&gt;0)),"",IFERROR(IF(MINIFS(SAISIE!$E$5:$E$204,SAISIE!$B$5:$B$204,"*Vent G/D*",SAISIE!$F$5:$F$204,$G$151)&gt;=0,MAXIFS(SAISIE!$C$5:$C$204,SAISIE!$B$5:$B$204,"*Vent G/D*",SAISIE!$F$5:$F$204,$G$151),INDEX(SAISIE!$C$5:$C$204,MATCH(MINIFS(SAISIE!$E$5:$E$204,SAISIE!$B$5:$B$204,"*Vent G/D*",SAISIE!$F$5:$F$204,$G$151),SAISIE!$E$5:$E$204,0))),"-"))</f>
        <v/>
      </c>
      <c r="C153" s="9">
        <f>IF(OR($G$151="",NOT(COUNTIFS(SAISIE!$B$5:$B$204,"*Vent G/D*",SAISIE!$F$5:$F$204,$G$151)&gt;0)),"",IFERROR(IF(MINIFS(SAISIE!$E$5:$E$204,SAISIE!$B$5:$B$204,"*Vent G/D*",SAISIE!$F$5:$F$204,$G$151)&gt;=0,INDEX(SAISIE!$D$5:$D$204,MATCH(MAXIFS(SAISIE!$C$5:$C$204,SAISIE!$B$5:$B$204,"*Vent G/D*",SAISIE!$F$5:$F$204,$G$151),SAISIE!$C$5:$C$204,0)),INDEX(SAISIE!$D$5:$D$204,MATCH(MINIFS(SAISIE!$E$5:$E$204,SAISIE!$B$5:$B$204,"*Vent G/D*",SAISIE!$F$5:$F$204,$G$151),SAISIE!$E$5:$E$204,0))),"-"))</f>
        <v/>
      </c>
      <c r="D153" s="9">
        <f>IF(OR($G$151="",NOT(COUNTIFS(SAISIE!$B$5:$B$204,"*Vent G/D*",SAISIE!$F$5:$F$204,$G$151)&gt;0)),"",IFERROR(IF(MINIFS(SAISIE!$E$5:$E$204,SAISIE!$B$5:$B$204,"*Vent G/D*",SAISIE!$F$5:$F$204,$G$151)&gt;=0,0,MINIFS(SAISIE!$E$5:$E$204,SAISIE!$B$5:$B$204,"*Vent G/D*",SAISIE!$F$5:$F$204,$G$151)),"-"))</f>
        <v/>
      </c>
      <c r="E153" s="9">
        <f>IF($G$151="","",IF(OR(D153="",D153="-"),"",IF(D153&gt;0,"(soulevement)",IF(D153&lt;0,"(compression)","-"))))</f>
        <v/>
      </c>
    </row>
    <row r="154">
      <c r="A154" s="8">
        <f>IF(OR($G$151="",NOT(MAXIFS(SAISIE!$E$5:$E$204,SAISIE!$B$5:$B$204,"*Vent G/D*",SAISIE!$F$5:$F$204,$G$151)&gt;0)),"","Vent G/D")</f>
        <v/>
      </c>
      <c r="B154" s="9">
        <f>IF(OR($G$151="",NOT(MAXIFS(SAISIE!$E$5:$E$204,SAISIE!$B$5:$B$204,"*Vent G/D*",SAISIE!$F$5:$F$204,$G$151)&gt;0)),"",IFERROR(INDEX(SAISIE!$C$5:$C$204,MATCH(MAXIFS(SAISIE!$E$5:$E$204,SAISIE!$B$5:$B$204,"*Vent G/D*",SAISIE!$F$5:$F$204,$G$151),SAISIE!$E$5:$E$204,0)),"-"))</f>
        <v/>
      </c>
      <c r="C154" s="9">
        <f>IF(OR($G$151="",NOT(MAXIFS(SAISIE!$E$5:$E$204,SAISIE!$B$5:$B$204,"*Vent G/D*",SAISIE!$F$5:$F$204,$G$151)&gt;0)),"",IFERROR(INDEX(SAISIE!$D$5:$D$204,MATCH(MAXIFS(SAISIE!$E$5:$E$204,SAISIE!$B$5:$B$204,"*Vent G/D*",SAISIE!$F$5:$F$204,$G$151),SAISIE!$E$5:$E$204,0)),"-"))</f>
        <v/>
      </c>
      <c r="D154" s="9">
        <f>IF(OR($G$151="",NOT(MAXIFS(SAISIE!$E$5:$E$204,SAISIE!$B$5:$B$204,"*Vent G/D*",SAISIE!$F$5:$F$204,$G$151)&gt;0)),"",IFERROR(MAXIFS(SAISIE!$E$5:$E$204,SAISIE!$B$5:$B$204,"*Vent G/D*",SAISIE!$F$5:$F$204,$G$151),"-"))</f>
        <v/>
      </c>
      <c r="E154" s="9">
        <f>IF($G$151="","",IF(OR(D154="",D154="-"),"",IF(D154&gt;0,"(soulevement)",IF(D154&lt;0,"(compression)","-"))))</f>
        <v/>
      </c>
    </row>
    <row r="155">
      <c r="A155" s="8">
        <f>IF(OR($G$151="",NOT(COUNTIFS(SAISIE!$B$5:$B$204,"*Vent D/G*",SAISIE!$F$5:$F$204,$G$151)&gt;0)),"","Vent D/G")</f>
        <v/>
      </c>
      <c r="B155" s="9">
        <f>IF(OR($G$151="",NOT(COUNTIFS(SAISIE!$B$5:$B$204,"*Vent D/G*",SAISIE!$F$5:$F$204,$G$151)&gt;0)),"",IFERROR(IF(MINIFS(SAISIE!$E$5:$E$204,SAISIE!$B$5:$B$204,"*Vent D/G*",SAISIE!$F$5:$F$204,$G$151)&gt;=0,MAXIFS(SAISIE!$C$5:$C$204,SAISIE!$B$5:$B$204,"*Vent D/G*",SAISIE!$F$5:$F$204,$G$151),INDEX(SAISIE!$C$5:$C$204,MATCH(MINIFS(SAISIE!$E$5:$E$204,SAISIE!$B$5:$B$204,"*Vent D/G*",SAISIE!$F$5:$F$204,$G$151),SAISIE!$E$5:$E$204,0))),"-"))</f>
        <v/>
      </c>
      <c r="C155" s="9">
        <f>IF(OR($G$151="",NOT(COUNTIFS(SAISIE!$B$5:$B$204,"*Vent D/G*",SAISIE!$F$5:$F$204,$G$151)&gt;0)),"",IFERROR(IF(MINIFS(SAISIE!$E$5:$E$204,SAISIE!$B$5:$B$204,"*Vent D/G*",SAISIE!$F$5:$F$204,$G$151)&gt;=0,INDEX(SAISIE!$D$5:$D$204,MATCH(MAXIFS(SAISIE!$C$5:$C$204,SAISIE!$B$5:$B$204,"*Vent D/G*",SAISIE!$F$5:$F$204,$G$151),SAISIE!$C$5:$C$204,0)),INDEX(SAISIE!$D$5:$D$204,MATCH(MINIFS(SAISIE!$E$5:$E$204,SAISIE!$B$5:$B$204,"*Vent D/G*",SAISIE!$F$5:$F$204,$G$151),SAISIE!$E$5:$E$204,0))),"-"))</f>
        <v/>
      </c>
      <c r="D155" s="9">
        <f>IF(OR($G$151="",NOT(COUNTIFS(SAISIE!$B$5:$B$204,"*Vent D/G*",SAISIE!$F$5:$F$204,$G$151)&gt;0)),"",IFERROR(IF(MINIFS(SAISIE!$E$5:$E$204,SAISIE!$B$5:$B$204,"*Vent D/G*",SAISIE!$F$5:$F$204,$G$151)&gt;=0,0,MINIFS(SAISIE!$E$5:$E$204,SAISIE!$B$5:$B$204,"*Vent D/G*",SAISIE!$F$5:$F$204,$G$151)),"-"))</f>
        <v/>
      </c>
      <c r="E155" s="9">
        <f>IF($G$151="","",IF(OR(D155="",D155="-"),"",IF(D155&gt;0,"(soulevement)",IF(D155&lt;0,"(compression)","-"))))</f>
        <v/>
      </c>
    </row>
    <row r="156">
      <c r="A156" s="8">
        <f>IF(OR($G$151="",NOT(MAXIFS(SAISIE!$E$5:$E$204,SAISIE!$B$5:$B$204,"*Vent D/G*",SAISIE!$F$5:$F$204,$G$151)&gt;0)),"","Vent D/G")</f>
        <v/>
      </c>
      <c r="B156" s="9">
        <f>IF(OR($G$151="",NOT(MAXIFS(SAISIE!$E$5:$E$204,SAISIE!$B$5:$B$204,"*Vent D/G*",SAISIE!$F$5:$F$204,$G$151)&gt;0)),"",IFERROR(INDEX(SAISIE!$C$5:$C$204,MATCH(MAXIFS(SAISIE!$E$5:$E$204,SAISIE!$B$5:$B$204,"*Vent D/G*",SAISIE!$F$5:$F$204,$G$151),SAISIE!$E$5:$E$204,0)),"-"))</f>
        <v/>
      </c>
      <c r="C156" s="9">
        <f>IF(OR($G$151="",NOT(MAXIFS(SAISIE!$E$5:$E$204,SAISIE!$B$5:$B$204,"*Vent D/G*",SAISIE!$F$5:$F$204,$G$151)&gt;0)),"",IFERROR(INDEX(SAISIE!$D$5:$D$204,MATCH(MAXIFS(SAISIE!$E$5:$E$204,SAISIE!$B$5:$B$204,"*Vent D/G*",SAISIE!$F$5:$F$204,$G$151),SAISIE!$E$5:$E$204,0)),"-"))</f>
        <v/>
      </c>
      <c r="D156" s="9">
        <f>IF(OR($G$151="",NOT(MAXIFS(SAISIE!$E$5:$E$204,SAISIE!$B$5:$B$204,"*Vent D/G*",SAISIE!$F$5:$F$204,$G$151)&gt;0)),"",IFERROR(MAXIFS(SAISIE!$E$5:$E$204,SAISIE!$B$5:$B$204,"*Vent D/G*",SAISIE!$F$5:$F$204,$G$151),"-"))</f>
        <v/>
      </c>
      <c r="E156" s="9">
        <f>IF($G$151="","",IF(OR(D156="",D156="-"),"",IF(D156&gt;0,"(soulevement)",IF(D156&lt;0,"(compression)","-"))))</f>
        <v/>
      </c>
    </row>
    <row r="157">
      <c r="A157" s="8">
        <f>IF(OR($G$151="",NOT(COUNTIFS(SAISIE!$B$5:$B$204,"*Vent Av./Arr.*",SAISIE!$F$5:$F$204,$G$151)&gt;0)),"","Vent Av./Arr.")</f>
        <v/>
      </c>
      <c r="B157" s="9">
        <f>IF(OR($G$151="",NOT(COUNTIFS(SAISIE!$B$5:$B$204,"*Vent Av./Arr.*",SAISIE!$F$5:$F$204,$G$151)&gt;0)),"",IFERROR(IF(MINIFS(SAISIE!$E$5:$E$204,SAISIE!$B$5:$B$204,"*Vent Av./Arr.*",SAISIE!$F$5:$F$204,$G$151)&gt;=0,MAXIFS(SAISIE!$C$5:$C$204,SAISIE!$B$5:$B$204,"*Vent Av./Arr.*",SAISIE!$F$5:$F$204,$G$151),INDEX(SAISIE!$C$5:$C$204,MATCH(MINIFS(SAISIE!$E$5:$E$204,SAISIE!$B$5:$B$204,"*Vent Av./Arr.*",SAISIE!$F$5:$F$204,$G$151),SAISIE!$E$5:$E$204,0))),"-"))</f>
        <v/>
      </c>
      <c r="C157" s="9">
        <f>IF(OR($G$151="",NOT(COUNTIFS(SAISIE!$B$5:$B$204,"*Vent Av./Arr.*",SAISIE!$F$5:$F$204,$G$151)&gt;0)),"",IFERROR(IF(MINIFS(SAISIE!$E$5:$E$204,SAISIE!$B$5:$B$204,"*Vent Av./Arr.*",SAISIE!$F$5:$F$204,$G$151)&gt;=0,INDEX(SAISIE!$D$5:$D$204,MATCH(MAXIFS(SAISIE!$C$5:$C$204,SAISIE!$B$5:$B$204,"*Vent Av./Arr.*",SAISIE!$F$5:$F$204,$G$151),SAISIE!$C$5:$C$204,0)),INDEX(SAISIE!$D$5:$D$204,MATCH(MINIFS(SAISIE!$E$5:$E$204,SAISIE!$B$5:$B$204,"*Vent Av./Arr.*",SAISIE!$F$5:$F$204,$G$151),SAISIE!$E$5:$E$204,0))),"-"))</f>
        <v/>
      </c>
      <c r="D157" s="9">
        <f>IF(OR($G$151="",NOT(COUNTIFS(SAISIE!$B$5:$B$204,"*Vent Av./Arr.*",SAISIE!$F$5:$F$204,$G$151)&gt;0)),"",IFERROR(IF(MINIFS(SAISIE!$E$5:$E$204,SAISIE!$B$5:$B$204,"*Vent Av./Arr.*",SAISIE!$F$5:$F$204,$G$151)&gt;=0,0,MINIFS(SAISIE!$E$5:$E$204,SAISIE!$B$5:$B$204,"*Vent Av./Arr.*",SAISIE!$F$5:$F$204,$G$151)),"-"))</f>
        <v/>
      </c>
      <c r="E157" s="9">
        <f>IF($G$151="","",IF(OR(D157="",D157="-"),"",IF(D157&gt;0,"(soulevement)",IF(D157&lt;0,"(compression)","-"))))</f>
        <v/>
      </c>
    </row>
    <row r="158">
      <c r="A158" s="8">
        <f>IF(OR($G$151="",NOT(MAXIFS(SAISIE!$E$5:$E$204,SAISIE!$B$5:$B$204,"*Vent Av./Arr.*",SAISIE!$F$5:$F$204,$G$151)&gt;0)),"","Vent Av./Arr.")</f>
        <v/>
      </c>
      <c r="B158" s="9">
        <f>IF(OR($G$151="",NOT(MAXIFS(SAISIE!$E$5:$E$204,SAISIE!$B$5:$B$204,"*Vent Av./Arr.*",SAISIE!$F$5:$F$204,$G$151)&gt;0)),"",IFERROR(INDEX(SAISIE!$C$5:$C$204,MATCH(MAXIFS(SAISIE!$E$5:$E$204,SAISIE!$B$5:$B$204,"*Vent Av./Arr.*",SAISIE!$F$5:$F$204,$G$151),SAISIE!$E$5:$E$204,0)),"-"))</f>
        <v/>
      </c>
      <c r="C158" s="9">
        <f>IF(OR($G$151="",NOT(MAXIFS(SAISIE!$E$5:$E$204,SAISIE!$B$5:$B$204,"*Vent Av./Arr.*",SAISIE!$F$5:$F$204,$G$151)&gt;0)),"",IFERROR(INDEX(SAISIE!$D$5:$D$204,MATCH(MAXIFS(SAISIE!$E$5:$E$204,SAISIE!$B$5:$B$204,"*Vent Av./Arr.*",SAISIE!$F$5:$F$204,$G$151),SAISIE!$E$5:$E$204,0)),"-"))</f>
        <v/>
      </c>
      <c r="D158" s="9">
        <f>IF(OR($G$151="",NOT(MAXIFS(SAISIE!$E$5:$E$204,SAISIE!$B$5:$B$204,"*Vent Av./Arr.*",SAISIE!$F$5:$F$204,$G$151)&gt;0)),"",IFERROR(MAXIFS(SAISIE!$E$5:$E$204,SAISIE!$B$5:$B$204,"*Vent Av./Arr.*",SAISIE!$F$5:$F$204,$G$151),"-"))</f>
        <v/>
      </c>
      <c r="E158" s="9">
        <f>IF($G$151="","",IF(OR(D158="",D158="-"),"",IF(D158&gt;0,"(soulevement)",IF(D158&lt;0,"(compression)","-"))))</f>
        <v/>
      </c>
    </row>
    <row r="159">
      <c r="A159" s="8">
        <f>IF(OR($G$151="",NOT(COUNTIFS(SAISIE!$B$5:$B$204,"*Vent Arr./Av.*",SAISIE!$F$5:$F$204,$G$151)&gt;0)),"","Vent Arr./Av.")</f>
        <v/>
      </c>
      <c r="B159" s="9">
        <f>IF(OR($G$151="",NOT(COUNTIFS(SAISIE!$B$5:$B$204,"*Vent Arr./Av.*",SAISIE!$F$5:$F$204,$G$151)&gt;0)),"",IFERROR(IF(MINIFS(SAISIE!$E$5:$E$204,SAISIE!$B$5:$B$204,"*Vent Arr./Av.*",SAISIE!$F$5:$F$204,$G$151)&gt;=0,MAXIFS(SAISIE!$C$5:$C$204,SAISIE!$B$5:$B$204,"*Vent Arr./Av.*",SAISIE!$F$5:$F$204,$G$151),INDEX(SAISIE!$C$5:$C$204,MATCH(MINIFS(SAISIE!$E$5:$E$204,SAISIE!$B$5:$B$204,"*Vent Arr./Av.*",SAISIE!$F$5:$F$204,$G$151),SAISIE!$E$5:$E$204,0))),"-"))</f>
        <v/>
      </c>
      <c r="C159" s="9">
        <f>IF(OR($G$151="",NOT(COUNTIFS(SAISIE!$B$5:$B$204,"*Vent Arr./Av.*",SAISIE!$F$5:$F$204,$G$151)&gt;0)),"",IFERROR(IF(MINIFS(SAISIE!$E$5:$E$204,SAISIE!$B$5:$B$204,"*Vent Arr./Av.*",SAISIE!$F$5:$F$204,$G$151)&gt;=0,INDEX(SAISIE!$D$5:$D$204,MATCH(MAXIFS(SAISIE!$C$5:$C$204,SAISIE!$B$5:$B$204,"*Vent Arr./Av.*",SAISIE!$F$5:$F$204,$G$151),SAISIE!$C$5:$C$204,0)),INDEX(SAISIE!$D$5:$D$204,MATCH(MINIFS(SAISIE!$E$5:$E$204,SAISIE!$B$5:$B$204,"*Vent Arr./Av.*",SAISIE!$F$5:$F$204,$G$151),SAISIE!$E$5:$E$204,0))),"-"))</f>
        <v/>
      </c>
      <c r="D159" s="9">
        <f>IF(OR($G$151="",NOT(COUNTIFS(SAISIE!$B$5:$B$204,"*Vent Arr./Av.*",SAISIE!$F$5:$F$204,$G$151)&gt;0)),"",IFERROR(IF(MINIFS(SAISIE!$E$5:$E$204,SAISIE!$B$5:$B$204,"*Vent Arr./Av.*",SAISIE!$F$5:$F$204,$G$151)&gt;=0,0,MINIFS(SAISIE!$E$5:$E$204,SAISIE!$B$5:$B$204,"*Vent Arr./Av.*",SAISIE!$F$5:$F$204,$G$151)),"-"))</f>
        <v/>
      </c>
      <c r="E159" s="9">
        <f>IF($G$151="","",IF(OR(D159="",D159="-"),"",IF(D159&gt;0,"(soulevement)",IF(D159&lt;0,"(compression)","-"))))</f>
        <v/>
      </c>
    </row>
    <row r="160">
      <c r="A160" s="8">
        <f>IF(OR($G$151="",NOT(MAXIFS(SAISIE!$E$5:$E$204,SAISIE!$B$5:$B$204,"*Vent Arr./Av.*",SAISIE!$F$5:$F$204,$G$151)&gt;0)),"","Vent Arr./Av.")</f>
        <v/>
      </c>
      <c r="B160" s="9">
        <f>IF(OR($G$151="",NOT(MAXIFS(SAISIE!$E$5:$E$204,SAISIE!$B$5:$B$204,"*Vent Arr./Av.*",SAISIE!$F$5:$F$204,$G$151)&gt;0)),"",IFERROR(INDEX(SAISIE!$C$5:$C$204,MATCH(MAXIFS(SAISIE!$E$5:$E$204,SAISIE!$B$5:$B$204,"*Vent Arr./Av.*",SAISIE!$F$5:$F$204,$G$151),SAISIE!$E$5:$E$204,0)),"-"))</f>
        <v/>
      </c>
      <c r="C160" s="9">
        <f>IF(OR($G$151="",NOT(MAXIFS(SAISIE!$E$5:$E$204,SAISIE!$B$5:$B$204,"*Vent Arr./Av.*",SAISIE!$F$5:$F$204,$G$151)&gt;0)),"",IFERROR(INDEX(SAISIE!$D$5:$D$204,MATCH(MAXIFS(SAISIE!$E$5:$E$204,SAISIE!$B$5:$B$204,"*Vent Arr./Av.*",SAISIE!$F$5:$F$204,$G$151),SAISIE!$E$5:$E$204,0)),"-"))</f>
        <v/>
      </c>
      <c r="D160" s="9">
        <f>IF(OR($G$151="",NOT(MAXIFS(SAISIE!$E$5:$E$204,SAISIE!$B$5:$B$204,"*Vent Arr./Av.*",SAISIE!$F$5:$F$204,$G$151)&gt;0)),"",IFERROR(MAXIFS(SAISIE!$E$5:$E$204,SAISIE!$B$5:$B$204,"*Vent Arr./Av.*",SAISIE!$F$5:$F$204,$G$151),"-"))</f>
        <v/>
      </c>
      <c r="E160" s="9">
        <f>IF($G$151="","",IF(OR(D160="",D160="-"),"",IF(D160&gt;0,"(soulevement)",IF(D160&lt;0,"(compression)","-"))))</f>
        <v/>
      </c>
    </row>
    <row r="161">
      <c r="A161" s="8">
        <f>IF(OR($G$151="",NOT(TRUE)),"","Neige normale")</f>
        <v/>
      </c>
      <c r="B161" s="9">
        <f>IF($G$151="","",IFERROR(INDEX(SAISIE!$C$5:$C$204,MATCH(MINIFS(SAISIE!$E$5:$E$204,SAISIE!$B$5:$B$204,"*Neige*",SAISIE!$B$5:$B$204,"&lt;&gt;*accidentel*",SAISIE!$F$5:$F$204,$G$151),SAISIE!$E$5:$E$204,0)),"-"))</f>
        <v/>
      </c>
      <c r="C161" s="9">
        <f>IF($G$151="","",IFERROR(INDEX(SAISIE!$D$5:$D$204,MATCH(MINIFS(SAISIE!$E$5:$E$204,SAISIE!$B$5:$B$204,"*Neige*",SAISIE!$B$5:$B$204,"&lt;&gt;*accidentel*",SAISIE!$F$5:$F$204,$G$151),SAISIE!$E$5:$E$204,0)),"-"))</f>
        <v/>
      </c>
      <c r="D161" s="9">
        <f>IF($G$151="","",IFERROR(INDEX(SAISIE!$E$5:$E$204,MATCH(MINIFS(SAISIE!$E$5:$E$204,SAISIE!$B$5:$B$204,"*Neige*",SAISIE!$B$5:$B$204,"&lt;&gt;*accidentel*",SAISIE!$F$5:$F$204,$G$151),SAISIE!$E$5:$E$204,0)),"-"))</f>
        <v/>
      </c>
      <c r="E161" s="9">
        <f>IF($G$151="","",IF(OR(D161="",D161="-"),"",IF(D161&gt;0,"(soulevement)",IF(D161&lt;0,"(compression)","-"))))</f>
        <v/>
      </c>
    </row>
    <row r="162">
      <c r="A162" s="8">
        <f>IF(OR($G$151="",NOT(TRUE)),"","Neige accidentelle")</f>
        <v/>
      </c>
      <c r="B162" s="9">
        <f>IF($G$151="","",IFERROR(LOOKUP(2,1/((SAISIE!$F$5:$F$204=$G$151)*(ISNUMBER(SEARCH("accidentel",SAISIE!$B$5:$B$204)))),SAISIE!$C$5:$C$204),"-"))</f>
        <v/>
      </c>
      <c r="C162" s="9">
        <f>IF($G$151="","",IFERROR(LOOKUP(2,1/((SAISIE!$F$5:$F$204=$G$151)*(ISNUMBER(SEARCH("accidentel",SAISIE!$B$5:$B$204)))),SAISIE!$D$5:$D$204),"-"))</f>
        <v/>
      </c>
      <c r="D162" s="9">
        <f>IF($G$151="","",IFERROR(LOOKUP(2,1/((SAISIE!$F$5:$F$204=$G$151)*(ISNUMBER(SEARCH("accidentel",SAISIE!$B$5:$B$204)))),SAISIE!$E$5:$E$204),"-"))</f>
        <v/>
      </c>
      <c r="E162" s="9">
        <f>IF($G$151="","",IF(OR(D162="",D162="-"),"",IF(D162&gt;0,"(soulevement)",IF(D162&lt;0,"(compression)","-"))))</f>
        <v/>
      </c>
    </row>
    <row r="163">
      <c r="A163" s="6">
        <f>IF($G$163="","","Noeud "&amp;$G$163)</f>
        <v/>
      </c>
      <c r="B163" s="7" t="n"/>
      <c r="C163" s="7" t="n"/>
      <c r="D163" s="7" t="n"/>
      <c r="E163" s="7" t="n"/>
      <c r="G163">
        <f>IFERROR(INDEX(SAISIE!$F$5:$F$204,AGGREGATE(15,6,ROW(SAISIE!$F$5:$F$204)-ROW(SAISIE!$F$5)+1/(SAISIE!$F$5:$F$204&lt;&gt;"")/(COUNTIF($G$4:G162,SAISIE!$F$5:$F$204)=0),1)),"")</f>
        <v/>
      </c>
    </row>
    <row r="164">
      <c r="A164" s="8">
        <f>IF(OR($G$163="",NOT(TRUE)),"","Couverture")</f>
        <v/>
      </c>
      <c r="B164" s="9">
        <f>IF($G$163="","",IFERROR(IFERROR(LOOKUP(2,1/((SAISIE!$F$5:$F$204=$G$163)*(LEFT(SAISIE!$B$5:$B$204,2)="G ")),SAISIE!$C$5:$C$204),LOOKUP(2,1/((SAISIE!$F$5:$F$204=$G$163)*(ISNUMBER(SEARCH("Couverture",SAISIE!$B$5:$B$204)))),SAISIE!$C$5:$C$204)),"-"))</f>
        <v/>
      </c>
      <c r="C164" s="9">
        <f>IF($G$163="","",IFERROR(IFERROR(LOOKUP(2,1/((SAISIE!$F$5:$F$204=$G$163)*(LEFT(SAISIE!$B$5:$B$204,2)="G ")),SAISIE!$D$5:$D$204),LOOKUP(2,1/((SAISIE!$F$5:$F$204=$G$163)*(ISNUMBER(SEARCH("Couverture",SAISIE!$B$5:$B$204)))),SAISIE!$D$5:$D$204)),"-"))</f>
        <v/>
      </c>
      <c r="D164" s="9">
        <f>IF($G$163="","",IFERROR(IFERROR(LOOKUP(2,1/((SAISIE!$F$5:$F$204=$G$163)*(LEFT(SAISIE!$B$5:$B$204,2)="G ")),SAISIE!$E$5:$E$204),LOOKUP(2,1/((SAISIE!$F$5:$F$204=$G$163)*(ISNUMBER(SEARCH("Couverture",SAISIE!$B$5:$B$204)))),SAISIE!$E$5:$E$204)),"-"))</f>
        <v/>
      </c>
      <c r="E164" s="9">
        <f>IF($G$163="","",IF(OR(D164="",D164="-"),"",IF(D164&gt;0,"(soulevement)",IF(D164&lt;0,"(compression)","-"))))</f>
        <v/>
      </c>
    </row>
    <row r="165">
      <c r="A165" s="8">
        <f>IF(OR($G$163="",NOT(COUNTIFS(SAISIE!$B$5:$B$204,"*Vent G/D*",SAISIE!$F$5:$F$204,$G$163)&gt;0)),"","Vent G/D")</f>
        <v/>
      </c>
      <c r="B165" s="9">
        <f>IF(OR($G$163="",NOT(COUNTIFS(SAISIE!$B$5:$B$204,"*Vent G/D*",SAISIE!$F$5:$F$204,$G$163)&gt;0)),"",IFERROR(IF(MINIFS(SAISIE!$E$5:$E$204,SAISIE!$B$5:$B$204,"*Vent G/D*",SAISIE!$F$5:$F$204,$G$163)&gt;=0,MAXIFS(SAISIE!$C$5:$C$204,SAISIE!$B$5:$B$204,"*Vent G/D*",SAISIE!$F$5:$F$204,$G$163),INDEX(SAISIE!$C$5:$C$204,MATCH(MINIFS(SAISIE!$E$5:$E$204,SAISIE!$B$5:$B$204,"*Vent G/D*",SAISIE!$F$5:$F$204,$G$163),SAISIE!$E$5:$E$204,0))),"-"))</f>
        <v/>
      </c>
      <c r="C165" s="9">
        <f>IF(OR($G$163="",NOT(COUNTIFS(SAISIE!$B$5:$B$204,"*Vent G/D*",SAISIE!$F$5:$F$204,$G$163)&gt;0)),"",IFERROR(IF(MINIFS(SAISIE!$E$5:$E$204,SAISIE!$B$5:$B$204,"*Vent G/D*",SAISIE!$F$5:$F$204,$G$163)&gt;=0,INDEX(SAISIE!$D$5:$D$204,MATCH(MAXIFS(SAISIE!$C$5:$C$204,SAISIE!$B$5:$B$204,"*Vent G/D*",SAISIE!$F$5:$F$204,$G$163),SAISIE!$C$5:$C$204,0)),INDEX(SAISIE!$D$5:$D$204,MATCH(MINIFS(SAISIE!$E$5:$E$204,SAISIE!$B$5:$B$204,"*Vent G/D*",SAISIE!$F$5:$F$204,$G$163),SAISIE!$E$5:$E$204,0))),"-"))</f>
        <v/>
      </c>
      <c r="D165" s="9">
        <f>IF(OR($G$163="",NOT(COUNTIFS(SAISIE!$B$5:$B$204,"*Vent G/D*",SAISIE!$F$5:$F$204,$G$163)&gt;0)),"",IFERROR(IF(MINIFS(SAISIE!$E$5:$E$204,SAISIE!$B$5:$B$204,"*Vent G/D*",SAISIE!$F$5:$F$204,$G$163)&gt;=0,0,MINIFS(SAISIE!$E$5:$E$204,SAISIE!$B$5:$B$204,"*Vent G/D*",SAISIE!$F$5:$F$204,$G$163)),"-"))</f>
        <v/>
      </c>
      <c r="E165" s="9">
        <f>IF($G$163="","",IF(OR(D165="",D165="-"),"",IF(D165&gt;0,"(soulevement)",IF(D165&lt;0,"(compression)","-"))))</f>
        <v/>
      </c>
    </row>
    <row r="166">
      <c r="A166" s="8">
        <f>IF(OR($G$163="",NOT(MAXIFS(SAISIE!$E$5:$E$204,SAISIE!$B$5:$B$204,"*Vent G/D*",SAISIE!$F$5:$F$204,$G$163)&gt;0)),"","Vent G/D")</f>
        <v/>
      </c>
      <c r="B166" s="9">
        <f>IF(OR($G$163="",NOT(MAXIFS(SAISIE!$E$5:$E$204,SAISIE!$B$5:$B$204,"*Vent G/D*",SAISIE!$F$5:$F$204,$G$163)&gt;0)),"",IFERROR(INDEX(SAISIE!$C$5:$C$204,MATCH(MAXIFS(SAISIE!$E$5:$E$204,SAISIE!$B$5:$B$204,"*Vent G/D*",SAISIE!$F$5:$F$204,$G$163),SAISIE!$E$5:$E$204,0)),"-"))</f>
        <v/>
      </c>
      <c r="C166" s="9">
        <f>IF(OR($G$163="",NOT(MAXIFS(SAISIE!$E$5:$E$204,SAISIE!$B$5:$B$204,"*Vent G/D*",SAISIE!$F$5:$F$204,$G$163)&gt;0)),"",IFERROR(INDEX(SAISIE!$D$5:$D$204,MATCH(MAXIFS(SAISIE!$E$5:$E$204,SAISIE!$B$5:$B$204,"*Vent G/D*",SAISIE!$F$5:$F$204,$G$163),SAISIE!$E$5:$E$204,0)),"-"))</f>
        <v/>
      </c>
      <c r="D166" s="9">
        <f>IF(OR($G$163="",NOT(MAXIFS(SAISIE!$E$5:$E$204,SAISIE!$B$5:$B$204,"*Vent G/D*",SAISIE!$F$5:$F$204,$G$163)&gt;0)),"",IFERROR(MAXIFS(SAISIE!$E$5:$E$204,SAISIE!$B$5:$B$204,"*Vent G/D*",SAISIE!$F$5:$F$204,$G$163),"-"))</f>
        <v/>
      </c>
      <c r="E166" s="9">
        <f>IF($G$163="","",IF(OR(D166="",D166="-"),"",IF(D166&gt;0,"(soulevement)",IF(D166&lt;0,"(compression)","-"))))</f>
        <v/>
      </c>
    </row>
    <row r="167">
      <c r="A167" s="8">
        <f>IF(OR($G$163="",NOT(COUNTIFS(SAISIE!$B$5:$B$204,"*Vent D/G*",SAISIE!$F$5:$F$204,$G$163)&gt;0)),"","Vent D/G")</f>
        <v/>
      </c>
      <c r="B167" s="9">
        <f>IF(OR($G$163="",NOT(COUNTIFS(SAISIE!$B$5:$B$204,"*Vent D/G*",SAISIE!$F$5:$F$204,$G$163)&gt;0)),"",IFERROR(IF(MINIFS(SAISIE!$E$5:$E$204,SAISIE!$B$5:$B$204,"*Vent D/G*",SAISIE!$F$5:$F$204,$G$163)&gt;=0,MAXIFS(SAISIE!$C$5:$C$204,SAISIE!$B$5:$B$204,"*Vent D/G*",SAISIE!$F$5:$F$204,$G$163),INDEX(SAISIE!$C$5:$C$204,MATCH(MINIFS(SAISIE!$E$5:$E$204,SAISIE!$B$5:$B$204,"*Vent D/G*",SAISIE!$F$5:$F$204,$G$163),SAISIE!$E$5:$E$204,0))),"-"))</f>
        <v/>
      </c>
      <c r="C167" s="9">
        <f>IF(OR($G$163="",NOT(COUNTIFS(SAISIE!$B$5:$B$204,"*Vent D/G*",SAISIE!$F$5:$F$204,$G$163)&gt;0)),"",IFERROR(IF(MINIFS(SAISIE!$E$5:$E$204,SAISIE!$B$5:$B$204,"*Vent D/G*",SAISIE!$F$5:$F$204,$G$163)&gt;=0,INDEX(SAISIE!$D$5:$D$204,MATCH(MAXIFS(SAISIE!$C$5:$C$204,SAISIE!$B$5:$B$204,"*Vent D/G*",SAISIE!$F$5:$F$204,$G$163),SAISIE!$C$5:$C$204,0)),INDEX(SAISIE!$D$5:$D$204,MATCH(MINIFS(SAISIE!$E$5:$E$204,SAISIE!$B$5:$B$204,"*Vent D/G*",SAISIE!$F$5:$F$204,$G$163),SAISIE!$E$5:$E$204,0))),"-"))</f>
        <v/>
      </c>
      <c r="D167" s="9">
        <f>IF(OR($G$163="",NOT(COUNTIFS(SAISIE!$B$5:$B$204,"*Vent D/G*",SAISIE!$F$5:$F$204,$G$163)&gt;0)),"",IFERROR(IF(MINIFS(SAISIE!$E$5:$E$204,SAISIE!$B$5:$B$204,"*Vent D/G*",SAISIE!$F$5:$F$204,$G$163)&gt;=0,0,MINIFS(SAISIE!$E$5:$E$204,SAISIE!$B$5:$B$204,"*Vent D/G*",SAISIE!$F$5:$F$204,$G$163)),"-"))</f>
        <v/>
      </c>
      <c r="E167" s="9">
        <f>IF($G$163="","",IF(OR(D167="",D167="-"),"",IF(D167&gt;0,"(soulevement)",IF(D167&lt;0,"(compression)","-"))))</f>
        <v/>
      </c>
    </row>
    <row r="168">
      <c r="A168" s="8">
        <f>IF(OR($G$163="",NOT(MAXIFS(SAISIE!$E$5:$E$204,SAISIE!$B$5:$B$204,"*Vent D/G*",SAISIE!$F$5:$F$204,$G$163)&gt;0)),"","Vent D/G")</f>
        <v/>
      </c>
      <c r="B168" s="9">
        <f>IF(OR($G$163="",NOT(MAXIFS(SAISIE!$E$5:$E$204,SAISIE!$B$5:$B$204,"*Vent D/G*",SAISIE!$F$5:$F$204,$G$163)&gt;0)),"",IFERROR(INDEX(SAISIE!$C$5:$C$204,MATCH(MAXIFS(SAISIE!$E$5:$E$204,SAISIE!$B$5:$B$204,"*Vent D/G*",SAISIE!$F$5:$F$204,$G$163),SAISIE!$E$5:$E$204,0)),"-"))</f>
        <v/>
      </c>
      <c r="C168" s="9">
        <f>IF(OR($G$163="",NOT(MAXIFS(SAISIE!$E$5:$E$204,SAISIE!$B$5:$B$204,"*Vent D/G*",SAISIE!$F$5:$F$204,$G$163)&gt;0)),"",IFERROR(INDEX(SAISIE!$D$5:$D$204,MATCH(MAXIFS(SAISIE!$E$5:$E$204,SAISIE!$B$5:$B$204,"*Vent D/G*",SAISIE!$F$5:$F$204,$G$163),SAISIE!$E$5:$E$204,0)),"-"))</f>
        <v/>
      </c>
      <c r="D168" s="9">
        <f>IF(OR($G$163="",NOT(MAXIFS(SAISIE!$E$5:$E$204,SAISIE!$B$5:$B$204,"*Vent D/G*",SAISIE!$F$5:$F$204,$G$163)&gt;0)),"",IFERROR(MAXIFS(SAISIE!$E$5:$E$204,SAISIE!$B$5:$B$204,"*Vent D/G*",SAISIE!$F$5:$F$204,$G$163),"-"))</f>
        <v/>
      </c>
      <c r="E168" s="9">
        <f>IF($G$163="","",IF(OR(D168="",D168="-"),"",IF(D168&gt;0,"(soulevement)",IF(D168&lt;0,"(compression)","-"))))</f>
        <v/>
      </c>
    </row>
    <row r="169">
      <c r="A169" s="8">
        <f>IF(OR($G$163="",NOT(COUNTIFS(SAISIE!$B$5:$B$204,"*Vent Av./Arr.*",SAISIE!$F$5:$F$204,$G$163)&gt;0)),"","Vent Av./Arr.")</f>
        <v/>
      </c>
      <c r="B169" s="9">
        <f>IF(OR($G$163="",NOT(COUNTIFS(SAISIE!$B$5:$B$204,"*Vent Av./Arr.*",SAISIE!$F$5:$F$204,$G$163)&gt;0)),"",IFERROR(IF(MINIFS(SAISIE!$E$5:$E$204,SAISIE!$B$5:$B$204,"*Vent Av./Arr.*",SAISIE!$F$5:$F$204,$G$163)&gt;=0,MAXIFS(SAISIE!$C$5:$C$204,SAISIE!$B$5:$B$204,"*Vent Av./Arr.*",SAISIE!$F$5:$F$204,$G$163),INDEX(SAISIE!$C$5:$C$204,MATCH(MINIFS(SAISIE!$E$5:$E$204,SAISIE!$B$5:$B$204,"*Vent Av./Arr.*",SAISIE!$F$5:$F$204,$G$163),SAISIE!$E$5:$E$204,0))),"-"))</f>
        <v/>
      </c>
      <c r="C169" s="9">
        <f>IF(OR($G$163="",NOT(COUNTIFS(SAISIE!$B$5:$B$204,"*Vent Av./Arr.*",SAISIE!$F$5:$F$204,$G$163)&gt;0)),"",IFERROR(IF(MINIFS(SAISIE!$E$5:$E$204,SAISIE!$B$5:$B$204,"*Vent Av./Arr.*",SAISIE!$F$5:$F$204,$G$163)&gt;=0,INDEX(SAISIE!$D$5:$D$204,MATCH(MAXIFS(SAISIE!$C$5:$C$204,SAISIE!$B$5:$B$204,"*Vent Av./Arr.*",SAISIE!$F$5:$F$204,$G$163),SAISIE!$C$5:$C$204,0)),INDEX(SAISIE!$D$5:$D$204,MATCH(MINIFS(SAISIE!$E$5:$E$204,SAISIE!$B$5:$B$204,"*Vent Av./Arr.*",SAISIE!$F$5:$F$204,$G$163),SAISIE!$E$5:$E$204,0))),"-"))</f>
        <v/>
      </c>
      <c r="D169" s="9">
        <f>IF(OR($G$163="",NOT(COUNTIFS(SAISIE!$B$5:$B$204,"*Vent Av./Arr.*",SAISIE!$F$5:$F$204,$G$163)&gt;0)),"",IFERROR(IF(MINIFS(SAISIE!$E$5:$E$204,SAISIE!$B$5:$B$204,"*Vent Av./Arr.*",SAISIE!$F$5:$F$204,$G$163)&gt;=0,0,MINIFS(SAISIE!$E$5:$E$204,SAISIE!$B$5:$B$204,"*Vent Av./Arr.*",SAISIE!$F$5:$F$204,$G$163)),"-"))</f>
        <v/>
      </c>
      <c r="E169" s="9">
        <f>IF($G$163="","",IF(OR(D169="",D169="-"),"",IF(D169&gt;0,"(soulevement)",IF(D169&lt;0,"(compression)","-"))))</f>
        <v/>
      </c>
    </row>
    <row r="170">
      <c r="A170" s="8">
        <f>IF(OR($G$163="",NOT(MAXIFS(SAISIE!$E$5:$E$204,SAISIE!$B$5:$B$204,"*Vent Av./Arr.*",SAISIE!$F$5:$F$204,$G$163)&gt;0)),"","Vent Av./Arr.")</f>
        <v/>
      </c>
      <c r="B170" s="9">
        <f>IF(OR($G$163="",NOT(MAXIFS(SAISIE!$E$5:$E$204,SAISIE!$B$5:$B$204,"*Vent Av./Arr.*",SAISIE!$F$5:$F$204,$G$163)&gt;0)),"",IFERROR(INDEX(SAISIE!$C$5:$C$204,MATCH(MAXIFS(SAISIE!$E$5:$E$204,SAISIE!$B$5:$B$204,"*Vent Av./Arr.*",SAISIE!$F$5:$F$204,$G$163),SAISIE!$E$5:$E$204,0)),"-"))</f>
        <v/>
      </c>
      <c r="C170" s="9">
        <f>IF(OR($G$163="",NOT(MAXIFS(SAISIE!$E$5:$E$204,SAISIE!$B$5:$B$204,"*Vent Av./Arr.*",SAISIE!$F$5:$F$204,$G$163)&gt;0)),"",IFERROR(INDEX(SAISIE!$D$5:$D$204,MATCH(MAXIFS(SAISIE!$E$5:$E$204,SAISIE!$B$5:$B$204,"*Vent Av./Arr.*",SAISIE!$F$5:$F$204,$G$163),SAISIE!$E$5:$E$204,0)),"-"))</f>
        <v/>
      </c>
      <c r="D170" s="9">
        <f>IF(OR($G$163="",NOT(MAXIFS(SAISIE!$E$5:$E$204,SAISIE!$B$5:$B$204,"*Vent Av./Arr.*",SAISIE!$F$5:$F$204,$G$163)&gt;0)),"",IFERROR(MAXIFS(SAISIE!$E$5:$E$204,SAISIE!$B$5:$B$204,"*Vent Av./Arr.*",SAISIE!$F$5:$F$204,$G$163),"-"))</f>
        <v/>
      </c>
      <c r="E170" s="9">
        <f>IF($G$163="","",IF(OR(D170="",D170="-"),"",IF(D170&gt;0,"(soulevement)",IF(D170&lt;0,"(compression)","-"))))</f>
        <v/>
      </c>
    </row>
    <row r="171">
      <c r="A171" s="8">
        <f>IF(OR($G$163="",NOT(COUNTIFS(SAISIE!$B$5:$B$204,"*Vent Arr./Av.*",SAISIE!$F$5:$F$204,$G$163)&gt;0)),"","Vent Arr./Av.")</f>
        <v/>
      </c>
      <c r="B171" s="9">
        <f>IF(OR($G$163="",NOT(COUNTIFS(SAISIE!$B$5:$B$204,"*Vent Arr./Av.*",SAISIE!$F$5:$F$204,$G$163)&gt;0)),"",IFERROR(IF(MINIFS(SAISIE!$E$5:$E$204,SAISIE!$B$5:$B$204,"*Vent Arr./Av.*",SAISIE!$F$5:$F$204,$G$163)&gt;=0,MAXIFS(SAISIE!$C$5:$C$204,SAISIE!$B$5:$B$204,"*Vent Arr./Av.*",SAISIE!$F$5:$F$204,$G$163),INDEX(SAISIE!$C$5:$C$204,MATCH(MINIFS(SAISIE!$E$5:$E$204,SAISIE!$B$5:$B$204,"*Vent Arr./Av.*",SAISIE!$F$5:$F$204,$G$163),SAISIE!$E$5:$E$204,0))),"-"))</f>
        <v/>
      </c>
      <c r="C171" s="9">
        <f>IF(OR($G$163="",NOT(COUNTIFS(SAISIE!$B$5:$B$204,"*Vent Arr./Av.*",SAISIE!$F$5:$F$204,$G$163)&gt;0)),"",IFERROR(IF(MINIFS(SAISIE!$E$5:$E$204,SAISIE!$B$5:$B$204,"*Vent Arr./Av.*",SAISIE!$F$5:$F$204,$G$163)&gt;=0,INDEX(SAISIE!$D$5:$D$204,MATCH(MAXIFS(SAISIE!$C$5:$C$204,SAISIE!$B$5:$B$204,"*Vent Arr./Av.*",SAISIE!$F$5:$F$204,$G$163),SAISIE!$C$5:$C$204,0)),INDEX(SAISIE!$D$5:$D$204,MATCH(MINIFS(SAISIE!$E$5:$E$204,SAISIE!$B$5:$B$204,"*Vent Arr./Av.*",SAISIE!$F$5:$F$204,$G$163),SAISIE!$E$5:$E$204,0))),"-"))</f>
        <v/>
      </c>
      <c r="D171" s="9">
        <f>IF(OR($G$163="",NOT(COUNTIFS(SAISIE!$B$5:$B$204,"*Vent Arr./Av.*",SAISIE!$F$5:$F$204,$G$163)&gt;0)),"",IFERROR(IF(MINIFS(SAISIE!$E$5:$E$204,SAISIE!$B$5:$B$204,"*Vent Arr./Av.*",SAISIE!$F$5:$F$204,$G$163)&gt;=0,0,MINIFS(SAISIE!$E$5:$E$204,SAISIE!$B$5:$B$204,"*Vent Arr./Av.*",SAISIE!$F$5:$F$204,$G$163)),"-"))</f>
        <v/>
      </c>
      <c r="E171" s="9">
        <f>IF($G$163="","",IF(OR(D171="",D171="-"),"",IF(D171&gt;0,"(soulevement)",IF(D171&lt;0,"(compression)","-"))))</f>
        <v/>
      </c>
    </row>
    <row r="172">
      <c r="A172" s="8">
        <f>IF(OR($G$163="",NOT(MAXIFS(SAISIE!$E$5:$E$204,SAISIE!$B$5:$B$204,"*Vent Arr./Av.*",SAISIE!$F$5:$F$204,$G$163)&gt;0)),"","Vent Arr./Av.")</f>
        <v/>
      </c>
      <c r="B172" s="9">
        <f>IF(OR($G$163="",NOT(MAXIFS(SAISIE!$E$5:$E$204,SAISIE!$B$5:$B$204,"*Vent Arr./Av.*",SAISIE!$F$5:$F$204,$G$163)&gt;0)),"",IFERROR(INDEX(SAISIE!$C$5:$C$204,MATCH(MAXIFS(SAISIE!$E$5:$E$204,SAISIE!$B$5:$B$204,"*Vent Arr./Av.*",SAISIE!$F$5:$F$204,$G$163),SAISIE!$E$5:$E$204,0)),"-"))</f>
        <v/>
      </c>
      <c r="C172" s="9">
        <f>IF(OR($G$163="",NOT(MAXIFS(SAISIE!$E$5:$E$204,SAISIE!$B$5:$B$204,"*Vent Arr./Av.*",SAISIE!$F$5:$F$204,$G$163)&gt;0)),"",IFERROR(INDEX(SAISIE!$D$5:$D$204,MATCH(MAXIFS(SAISIE!$E$5:$E$204,SAISIE!$B$5:$B$204,"*Vent Arr./Av.*",SAISIE!$F$5:$F$204,$G$163),SAISIE!$E$5:$E$204,0)),"-"))</f>
        <v/>
      </c>
      <c r="D172" s="9">
        <f>IF(OR($G$163="",NOT(MAXIFS(SAISIE!$E$5:$E$204,SAISIE!$B$5:$B$204,"*Vent Arr./Av.*",SAISIE!$F$5:$F$204,$G$163)&gt;0)),"",IFERROR(MAXIFS(SAISIE!$E$5:$E$204,SAISIE!$B$5:$B$204,"*Vent Arr./Av.*",SAISIE!$F$5:$F$204,$G$163),"-"))</f>
        <v/>
      </c>
      <c r="E172" s="9">
        <f>IF($G$163="","",IF(OR(D172="",D172="-"),"",IF(D172&gt;0,"(soulevement)",IF(D172&lt;0,"(compression)","-"))))</f>
        <v/>
      </c>
    </row>
    <row r="173">
      <c r="A173" s="8">
        <f>IF(OR($G$163="",NOT(TRUE)),"","Neige normale")</f>
        <v/>
      </c>
      <c r="B173" s="9">
        <f>IF($G$163="","",IFERROR(INDEX(SAISIE!$C$5:$C$204,MATCH(MINIFS(SAISIE!$E$5:$E$204,SAISIE!$B$5:$B$204,"*Neige*",SAISIE!$B$5:$B$204,"&lt;&gt;*accidentel*",SAISIE!$F$5:$F$204,$G$163),SAISIE!$E$5:$E$204,0)),"-"))</f>
        <v/>
      </c>
      <c r="C173" s="9">
        <f>IF($G$163="","",IFERROR(INDEX(SAISIE!$D$5:$D$204,MATCH(MINIFS(SAISIE!$E$5:$E$204,SAISIE!$B$5:$B$204,"*Neige*",SAISIE!$B$5:$B$204,"&lt;&gt;*accidentel*",SAISIE!$F$5:$F$204,$G$163),SAISIE!$E$5:$E$204,0)),"-"))</f>
        <v/>
      </c>
      <c r="D173" s="9">
        <f>IF($G$163="","",IFERROR(INDEX(SAISIE!$E$5:$E$204,MATCH(MINIFS(SAISIE!$E$5:$E$204,SAISIE!$B$5:$B$204,"*Neige*",SAISIE!$B$5:$B$204,"&lt;&gt;*accidentel*",SAISIE!$F$5:$F$204,$G$163),SAISIE!$E$5:$E$204,0)),"-"))</f>
        <v/>
      </c>
      <c r="E173" s="9">
        <f>IF($G$163="","",IF(OR(D173="",D173="-"),"",IF(D173&gt;0,"(soulevement)",IF(D173&lt;0,"(compression)","-"))))</f>
        <v/>
      </c>
    </row>
    <row r="174">
      <c r="A174" s="8">
        <f>IF(OR($G$163="",NOT(TRUE)),"","Neige accidentelle")</f>
        <v/>
      </c>
      <c r="B174" s="9">
        <f>IF($G$163="","",IFERROR(LOOKUP(2,1/((SAISIE!$F$5:$F$204=$G$163)*(ISNUMBER(SEARCH("accidentel",SAISIE!$B$5:$B$204)))),SAISIE!$C$5:$C$204),"-"))</f>
        <v/>
      </c>
      <c r="C174" s="9">
        <f>IF($G$163="","",IFERROR(LOOKUP(2,1/((SAISIE!$F$5:$F$204=$G$163)*(ISNUMBER(SEARCH("accidentel",SAISIE!$B$5:$B$204)))),SAISIE!$D$5:$D$204),"-"))</f>
        <v/>
      </c>
      <c r="D174" s="9">
        <f>IF($G$163="","",IFERROR(LOOKUP(2,1/((SAISIE!$F$5:$F$204=$G$163)*(ISNUMBER(SEARCH("accidentel",SAISIE!$B$5:$B$204)))),SAISIE!$E$5:$E$204),"-"))</f>
        <v/>
      </c>
      <c r="E174" s="9">
        <f>IF($G$163="","",IF(OR(D174="",D174="-"),"",IF(D174&gt;0,"(soulevement)",IF(D174&lt;0,"(compression)","-"))))</f>
        <v/>
      </c>
    </row>
    <row r="175">
      <c r="A175" s="6">
        <f>IF($G$175="","","Noeud "&amp;$G$175)</f>
        <v/>
      </c>
      <c r="B175" s="7" t="n"/>
      <c r="C175" s="7" t="n"/>
      <c r="D175" s="7" t="n"/>
      <c r="E175" s="7" t="n"/>
      <c r="G175">
        <f>IFERROR(INDEX(SAISIE!$F$5:$F$204,AGGREGATE(15,6,ROW(SAISIE!$F$5:$F$204)-ROW(SAISIE!$F$5)+1/(SAISIE!$F$5:$F$204&lt;&gt;"")/(COUNTIF($G$4:G174,SAISIE!$F$5:$F$204)=0),1)),"")</f>
        <v/>
      </c>
    </row>
    <row r="176">
      <c r="A176" s="8">
        <f>IF(OR($G$175="",NOT(TRUE)),"","Couverture")</f>
        <v/>
      </c>
      <c r="B176" s="9">
        <f>IF($G$175="","",IFERROR(IFERROR(LOOKUP(2,1/((SAISIE!$F$5:$F$204=$G$175)*(LEFT(SAISIE!$B$5:$B$204,2)="G ")),SAISIE!$C$5:$C$204),LOOKUP(2,1/((SAISIE!$F$5:$F$204=$G$175)*(ISNUMBER(SEARCH("Couverture",SAISIE!$B$5:$B$204)))),SAISIE!$C$5:$C$204)),"-"))</f>
        <v/>
      </c>
      <c r="C176" s="9">
        <f>IF($G$175="","",IFERROR(IFERROR(LOOKUP(2,1/((SAISIE!$F$5:$F$204=$G$175)*(LEFT(SAISIE!$B$5:$B$204,2)="G ")),SAISIE!$D$5:$D$204),LOOKUP(2,1/((SAISIE!$F$5:$F$204=$G$175)*(ISNUMBER(SEARCH("Couverture",SAISIE!$B$5:$B$204)))),SAISIE!$D$5:$D$204)),"-"))</f>
        <v/>
      </c>
      <c r="D176" s="9">
        <f>IF($G$175="","",IFERROR(IFERROR(LOOKUP(2,1/((SAISIE!$F$5:$F$204=$G$175)*(LEFT(SAISIE!$B$5:$B$204,2)="G ")),SAISIE!$E$5:$E$204),LOOKUP(2,1/((SAISIE!$F$5:$F$204=$G$175)*(ISNUMBER(SEARCH("Couverture",SAISIE!$B$5:$B$204)))),SAISIE!$E$5:$E$204)),"-"))</f>
        <v/>
      </c>
      <c r="E176" s="9">
        <f>IF($G$175="","",IF(OR(D176="",D176="-"),"",IF(D176&gt;0,"(soulevement)",IF(D176&lt;0,"(compression)","-"))))</f>
        <v/>
      </c>
    </row>
    <row r="177">
      <c r="A177" s="8">
        <f>IF(OR($G$175="",NOT(COUNTIFS(SAISIE!$B$5:$B$204,"*Vent G/D*",SAISIE!$F$5:$F$204,$G$175)&gt;0)),"","Vent G/D")</f>
        <v/>
      </c>
      <c r="B177" s="9">
        <f>IF(OR($G$175="",NOT(COUNTIFS(SAISIE!$B$5:$B$204,"*Vent G/D*",SAISIE!$F$5:$F$204,$G$175)&gt;0)),"",IFERROR(IF(MINIFS(SAISIE!$E$5:$E$204,SAISIE!$B$5:$B$204,"*Vent G/D*",SAISIE!$F$5:$F$204,$G$175)&gt;=0,MAXIFS(SAISIE!$C$5:$C$204,SAISIE!$B$5:$B$204,"*Vent G/D*",SAISIE!$F$5:$F$204,$G$175),INDEX(SAISIE!$C$5:$C$204,MATCH(MINIFS(SAISIE!$E$5:$E$204,SAISIE!$B$5:$B$204,"*Vent G/D*",SAISIE!$F$5:$F$204,$G$175),SAISIE!$E$5:$E$204,0))),"-"))</f>
        <v/>
      </c>
      <c r="C177" s="9">
        <f>IF(OR($G$175="",NOT(COUNTIFS(SAISIE!$B$5:$B$204,"*Vent G/D*",SAISIE!$F$5:$F$204,$G$175)&gt;0)),"",IFERROR(IF(MINIFS(SAISIE!$E$5:$E$204,SAISIE!$B$5:$B$204,"*Vent G/D*",SAISIE!$F$5:$F$204,$G$175)&gt;=0,INDEX(SAISIE!$D$5:$D$204,MATCH(MAXIFS(SAISIE!$C$5:$C$204,SAISIE!$B$5:$B$204,"*Vent G/D*",SAISIE!$F$5:$F$204,$G$175),SAISIE!$C$5:$C$204,0)),INDEX(SAISIE!$D$5:$D$204,MATCH(MINIFS(SAISIE!$E$5:$E$204,SAISIE!$B$5:$B$204,"*Vent G/D*",SAISIE!$F$5:$F$204,$G$175),SAISIE!$E$5:$E$204,0))),"-"))</f>
        <v/>
      </c>
      <c r="D177" s="9">
        <f>IF(OR($G$175="",NOT(COUNTIFS(SAISIE!$B$5:$B$204,"*Vent G/D*",SAISIE!$F$5:$F$204,$G$175)&gt;0)),"",IFERROR(IF(MINIFS(SAISIE!$E$5:$E$204,SAISIE!$B$5:$B$204,"*Vent G/D*",SAISIE!$F$5:$F$204,$G$175)&gt;=0,0,MINIFS(SAISIE!$E$5:$E$204,SAISIE!$B$5:$B$204,"*Vent G/D*",SAISIE!$F$5:$F$204,$G$175)),"-"))</f>
        <v/>
      </c>
      <c r="E177" s="9">
        <f>IF($G$175="","",IF(OR(D177="",D177="-"),"",IF(D177&gt;0,"(soulevement)",IF(D177&lt;0,"(compression)","-"))))</f>
        <v/>
      </c>
    </row>
    <row r="178">
      <c r="A178" s="8">
        <f>IF(OR($G$175="",NOT(MAXIFS(SAISIE!$E$5:$E$204,SAISIE!$B$5:$B$204,"*Vent G/D*",SAISIE!$F$5:$F$204,$G$175)&gt;0)),"","Vent G/D")</f>
        <v/>
      </c>
      <c r="B178" s="9">
        <f>IF(OR($G$175="",NOT(MAXIFS(SAISIE!$E$5:$E$204,SAISIE!$B$5:$B$204,"*Vent G/D*",SAISIE!$F$5:$F$204,$G$175)&gt;0)),"",IFERROR(INDEX(SAISIE!$C$5:$C$204,MATCH(MAXIFS(SAISIE!$E$5:$E$204,SAISIE!$B$5:$B$204,"*Vent G/D*",SAISIE!$F$5:$F$204,$G$175),SAISIE!$E$5:$E$204,0)),"-"))</f>
        <v/>
      </c>
      <c r="C178" s="9">
        <f>IF(OR($G$175="",NOT(MAXIFS(SAISIE!$E$5:$E$204,SAISIE!$B$5:$B$204,"*Vent G/D*",SAISIE!$F$5:$F$204,$G$175)&gt;0)),"",IFERROR(INDEX(SAISIE!$D$5:$D$204,MATCH(MAXIFS(SAISIE!$E$5:$E$204,SAISIE!$B$5:$B$204,"*Vent G/D*",SAISIE!$F$5:$F$204,$G$175),SAISIE!$E$5:$E$204,0)),"-"))</f>
        <v/>
      </c>
      <c r="D178" s="9">
        <f>IF(OR($G$175="",NOT(MAXIFS(SAISIE!$E$5:$E$204,SAISIE!$B$5:$B$204,"*Vent G/D*",SAISIE!$F$5:$F$204,$G$175)&gt;0)),"",IFERROR(MAXIFS(SAISIE!$E$5:$E$204,SAISIE!$B$5:$B$204,"*Vent G/D*",SAISIE!$F$5:$F$204,$G$175),"-"))</f>
        <v/>
      </c>
      <c r="E178" s="9">
        <f>IF($G$175="","",IF(OR(D178="",D178="-"),"",IF(D178&gt;0,"(soulevement)",IF(D178&lt;0,"(compression)","-"))))</f>
        <v/>
      </c>
    </row>
    <row r="179">
      <c r="A179" s="8">
        <f>IF(OR($G$175="",NOT(COUNTIFS(SAISIE!$B$5:$B$204,"*Vent D/G*",SAISIE!$F$5:$F$204,$G$175)&gt;0)),"","Vent D/G")</f>
        <v/>
      </c>
      <c r="B179" s="9">
        <f>IF(OR($G$175="",NOT(COUNTIFS(SAISIE!$B$5:$B$204,"*Vent D/G*",SAISIE!$F$5:$F$204,$G$175)&gt;0)),"",IFERROR(IF(MINIFS(SAISIE!$E$5:$E$204,SAISIE!$B$5:$B$204,"*Vent D/G*",SAISIE!$F$5:$F$204,$G$175)&gt;=0,MAXIFS(SAISIE!$C$5:$C$204,SAISIE!$B$5:$B$204,"*Vent D/G*",SAISIE!$F$5:$F$204,$G$175),INDEX(SAISIE!$C$5:$C$204,MATCH(MINIFS(SAISIE!$E$5:$E$204,SAISIE!$B$5:$B$204,"*Vent D/G*",SAISIE!$F$5:$F$204,$G$175),SAISIE!$E$5:$E$204,0))),"-"))</f>
        <v/>
      </c>
      <c r="C179" s="9">
        <f>IF(OR($G$175="",NOT(COUNTIFS(SAISIE!$B$5:$B$204,"*Vent D/G*",SAISIE!$F$5:$F$204,$G$175)&gt;0)),"",IFERROR(IF(MINIFS(SAISIE!$E$5:$E$204,SAISIE!$B$5:$B$204,"*Vent D/G*",SAISIE!$F$5:$F$204,$G$175)&gt;=0,INDEX(SAISIE!$D$5:$D$204,MATCH(MAXIFS(SAISIE!$C$5:$C$204,SAISIE!$B$5:$B$204,"*Vent D/G*",SAISIE!$F$5:$F$204,$G$175),SAISIE!$C$5:$C$204,0)),INDEX(SAISIE!$D$5:$D$204,MATCH(MINIFS(SAISIE!$E$5:$E$204,SAISIE!$B$5:$B$204,"*Vent D/G*",SAISIE!$F$5:$F$204,$G$175),SAISIE!$E$5:$E$204,0))),"-"))</f>
        <v/>
      </c>
      <c r="D179" s="9">
        <f>IF(OR($G$175="",NOT(COUNTIFS(SAISIE!$B$5:$B$204,"*Vent D/G*",SAISIE!$F$5:$F$204,$G$175)&gt;0)),"",IFERROR(IF(MINIFS(SAISIE!$E$5:$E$204,SAISIE!$B$5:$B$204,"*Vent D/G*",SAISIE!$F$5:$F$204,$G$175)&gt;=0,0,MINIFS(SAISIE!$E$5:$E$204,SAISIE!$B$5:$B$204,"*Vent D/G*",SAISIE!$F$5:$F$204,$G$175)),"-"))</f>
        <v/>
      </c>
      <c r="E179" s="9">
        <f>IF($G$175="","",IF(OR(D179="",D179="-"),"",IF(D179&gt;0,"(soulevement)",IF(D179&lt;0,"(compression)","-"))))</f>
        <v/>
      </c>
    </row>
    <row r="180">
      <c r="A180" s="8">
        <f>IF(OR($G$175="",NOT(MAXIFS(SAISIE!$E$5:$E$204,SAISIE!$B$5:$B$204,"*Vent D/G*",SAISIE!$F$5:$F$204,$G$175)&gt;0)),"","Vent D/G")</f>
        <v/>
      </c>
      <c r="B180" s="9">
        <f>IF(OR($G$175="",NOT(MAXIFS(SAISIE!$E$5:$E$204,SAISIE!$B$5:$B$204,"*Vent D/G*",SAISIE!$F$5:$F$204,$G$175)&gt;0)),"",IFERROR(INDEX(SAISIE!$C$5:$C$204,MATCH(MAXIFS(SAISIE!$E$5:$E$204,SAISIE!$B$5:$B$204,"*Vent D/G*",SAISIE!$F$5:$F$204,$G$175),SAISIE!$E$5:$E$204,0)),"-"))</f>
        <v/>
      </c>
      <c r="C180" s="9">
        <f>IF(OR($G$175="",NOT(MAXIFS(SAISIE!$E$5:$E$204,SAISIE!$B$5:$B$204,"*Vent D/G*",SAISIE!$F$5:$F$204,$G$175)&gt;0)),"",IFERROR(INDEX(SAISIE!$D$5:$D$204,MATCH(MAXIFS(SAISIE!$E$5:$E$204,SAISIE!$B$5:$B$204,"*Vent D/G*",SAISIE!$F$5:$F$204,$G$175),SAISIE!$E$5:$E$204,0)),"-"))</f>
        <v/>
      </c>
      <c r="D180" s="9">
        <f>IF(OR($G$175="",NOT(MAXIFS(SAISIE!$E$5:$E$204,SAISIE!$B$5:$B$204,"*Vent D/G*",SAISIE!$F$5:$F$204,$G$175)&gt;0)),"",IFERROR(MAXIFS(SAISIE!$E$5:$E$204,SAISIE!$B$5:$B$204,"*Vent D/G*",SAISIE!$F$5:$F$204,$G$175),"-"))</f>
        <v/>
      </c>
      <c r="E180" s="9">
        <f>IF($G$175="","",IF(OR(D180="",D180="-"),"",IF(D180&gt;0,"(soulevement)",IF(D180&lt;0,"(compression)","-"))))</f>
        <v/>
      </c>
    </row>
    <row r="181">
      <c r="A181" s="8">
        <f>IF(OR($G$175="",NOT(COUNTIFS(SAISIE!$B$5:$B$204,"*Vent Av./Arr.*",SAISIE!$F$5:$F$204,$G$175)&gt;0)),"","Vent Av./Arr.")</f>
        <v/>
      </c>
      <c r="B181" s="9">
        <f>IF(OR($G$175="",NOT(COUNTIFS(SAISIE!$B$5:$B$204,"*Vent Av./Arr.*",SAISIE!$F$5:$F$204,$G$175)&gt;0)),"",IFERROR(IF(MINIFS(SAISIE!$E$5:$E$204,SAISIE!$B$5:$B$204,"*Vent Av./Arr.*",SAISIE!$F$5:$F$204,$G$175)&gt;=0,MAXIFS(SAISIE!$C$5:$C$204,SAISIE!$B$5:$B$204,"*Vent Av./Arr.*",SAISIE!$F$5:$F$204,$G$175),INDEX(SAISIE!$C$5:$C$204,MATCH(MINIFS(SAISIE!$E$5:$E$204,SAISIE!$B$5:$B$204,"*Vent Av./Arr.*",SAISIE!$F$5:$F$204,$G$175),SAISIE!$E$5:$E$204,0))),"-"))</f>
        <v/>
      </c>
      <c r="C181" s="9">
        <f>IF(OR($G$175="",NOT(COUNTIFS(SAISIE!$B$5:$B$204,"*Vent Av./Arr.*",SAISIE!$F$5:$F$204,$G$175)&gt;0)),"",IFERROR(IF(MINIFS(SAISIE!$E$5:$E$204,SAISIE!$B$5:$B$204,"*Vent Av./Arr.*",SAISIE!$F$5:$F$204,$G$175)&gt;=0,INDEX(SAISIE!$D$5:$D$204,MATCH(MAXIFS(SAISIE!$C$5:$C$204,SAISIE!$B$5:$B$204,"*Vent Av./Arr.*",SAISIE!$F$5:$F$204,$G$175),SAISIE!$C$5:$C$204,0)),INDEX(SAISIE!$D$5:$D$204,MATCH(MINIFS(SAISIE!$E$5:$E$204,SAISIE!$B$5:$B$204,"*Vent Av./Arr.*",SAISIE!$F$5:$F$204,$G$175),SAISIE!$E$5:$E$204,0))),"-"))</f>
        <v/>
      </c>
      <c r="D181" s="9">
        <f>IF(OR($G$175="",NOT(COUNTIFS(SAISIE!$B$5:$B$204,"*Vent Av./Arr.*",SAISIE!$F$5:$F$204,$G$175)&gt;0)),"",IFERROR(IF(MINIFS(SAISIE!$E$5:$E$204,SAISIE!$B$5:$B$204,"*Vent Av./Arr.*",SAISIE!$F$5:$F$204,$G$175)&gt;=0,0,MINIFS(SAISIE!$E$5:$E$204,SAISIE!$B$5:$B$204,"*Vent Av./Arr.*",SAISIE!$F$5:$F$204,$G$175)),"-"))</f>
        <v/>
      </c>
      <c r="E181" s="9">
        <f>IF($G$175="","",IF(OR(D181="",D181="-"),"",IF(D181&gt;0,"(soulevement)",IF(D181&lt;0,"(compression)","-"))))</f>
        <v/>
      </c>
    </row>
    <row r="182">
      <c r="A182" s="8">
        <f>IF(OR($G$175="",NOT(MAXIFS(SAISIE!$E$5:$E$204,SAISIE!$B$5:$B$204,"*Vent Av./Arr.*",SAISIE!$F$5:$F$204,$G$175)&gt;0)),"","Vent Av./Arr.")</f>
        <v/>
      </c>
      <c r="B182" s="9">
        <f>IF(OR($G$175="",NOT(MAXIFS(SAISIE!$E$5:$E$204,SAISIE!$B$5:$B$204,"*Vent Av./Arr.*",SAISIE!$F$5:$F$204,$G$175)&gt;0)),"",IFERROR(INDEX(SAISIE!$C$5:$C$204,MATCH(MAXIFS(SAISIE!$E$5:$E$204,SAISIE!$B$5:$B$204,"*Vent Av./Arr.*",SAISIE!$F$5:$F$204,$G$175),SAISIE!$E$5:$E$204,0)),"-"))</f>
        <v/>
      </c>
      <c r="C182" s="9">
        <f>IF(OR($G$175="",NOT(MAXIFS(SAISIE!$E$5:$E$204,SAISIE!$B$5:$B$204,"*Vent Av./Arr.*",SAISIE!$F$5:$F$204,$G$175)&gt;0)),"",IFERROR(INDEX(SAISIE!$D$5:$D$204,MATCH(MAXIFS(SAISIE!$E$5:$E$204,SAISIE!$B$5:$B$204,"*Vent Av./Arr.*",SAISIE!$F$5:$F$204,$G$175),SAISIE!$E$5:$E$204,0)),"-"))</f>
        <v/>
      </c>
      <c r="D182" s="9">
        <f>IF(OR($G$175="",NOT(MAXIFS(SAISIE!$E$5:$E$204,SAISIE!$B$5:$B$204,"*Vent Av./Arr.*",SAISIE!$F$5:$F$204,$G$175)&gt;0)),"",IFERROR(MAXIFS(SAISIE!$E$5:$E$204,SAISIE!$B$5:$B$204,"*Vent Av./Arr.*",SAISIE!$F$5:$F$204,$G$175),"-"))</f>
        <v/>
      </c>
      <c r="E182" s="9">
        <f>IF($G$175="","",IF(OR(D182="",D182="-"),"",IF(D182&gt;0,"(soulevement)",IF(D182&lt;0,"(compression)","-"))))</f>
        <v/>
      </c>
    </row>
    <row r="183">
      <c r="A183" s="8">
        <f>IF(OR($G$175="",NOT(COUNTIFS(SAISIE!$B$5:$B$204,"*Vent Arr./Av.*",SAISIE!$F$5:$F$204,$G$175)&gt;0)),"","Vent Arr./Av.")</f>
        <v/>
      </c>
      <c r="B183" s="9">
        <f>IF(OR($G$175="",NOT(COUNTIFS(SAISIE!$B$5:$B$204,"*Vent Arr./Av.*",SAISIE!$F$5:$F$204,$G$175)&gt;0)),"",IFERROR(IF(MINIFS(SAISIE!$E$5:$E$204,SAISIE!$B$5:$B$204,"*Vent Arr./Av.*",SAISIE!$F$5:$F$204,$G$175)&gt;=0,MAXIFS(SAISIE!$C$5:$C$204,SAISIE!$B$5:$B$204,"*Vent Arr./Av.*",SAISIE!$F$5:$F$204,$G$175),INDEX(SAISIE!$C$5:$C$204,MATCH(MINIFS(SAISIE!$E$5:$E$204,SAISIE!$B$5:$B$204,"*Vent Arr./Av.*",SAISIE!$F$5:$F$204,$G$175),SAISIE!$E$5:$E$204,0))),"-"))</f>
        <v/>
      </c>
      <c r="C183" s="9">
        <f>IF(OR($G$175="",NOT(COUNTIFS(SAISIE!$B$5:$B$204,"*Vent Arr./Av.*",SAISIE!$F$5:$F$204,$G$175)&gt;0)),"",IFERROR(IF(MINIFS(SAISIE!$E$5:$E$204,SAISIE!$B$5:$B$204,"*Vent Arr./Av.*",SAISIE!$F$5:$F$204,$G$175)&gt;=0,INDEX(SAISIE!$D$5:$D$204,MATCH(MAXIFS(SAISIE!$C$5:$C$204,SAISIE!$B$5:$B$204,"*Vent Arr./Av.*",SAISIE!$F$5:$F$204,$G$175),SAISIE!$C$5:$C$204,0)),INDEX(SAISIE!$D$5:$D$204,MATCH(MINIFS(SAISIE!$E$5:$E$204,SAISIE!$B$5:$B$204,"*Vent Arr./Av.*",SAISIE!$F$5:$F$204,$G$175),SAISIE!$E$5:$E$204,0))),"-"))</f>
        <v/>
      </c>
      <c r="D183" s="9">
        <f>IF(OR($G$175="",NOT(COUNTIFS(SAISIE!$B$5:$B$204,"*Vent Arr./Av.*",SAISIE!$F$5:$F$204,$G$175)&gt;0)),"",IFERROR(IF(MINIFS(SAISIE!$E$5:$E$204,SAISIE!$B$5:$B$204,"*Vent Arr./Av.*",SAISIE!$F$5:$F$204,$G$175)&gt;=0,0,MINIFS(SAISIE!$E$5:$E$204,SAISIE!$B$5:$B$204,"*Vent Arr./Av.*",SAISIE!$F$5:$F$204,$G$175)),"-"))</f>
        <v/>
      </c>
      <c r="E183" s="9">
        <f>IF($G$175="","",IF(OR(D183="",D183="-"),"",IF(D183&gt;0,"(soulevement)",IF(D183&lt;0,"(compression)","-"))))</f>
        <v/>
      </c>
    </row>
    <row r="184">
      <c r="A184" s="8">
        <f>IF(OR($G$175="",NOT(MAXIFS(SAISIE!$E$5:$E$204,SAISIE!$B$5:$B$204,"*Vent Arr./Av.*",SAISIE!$F$5:$F$204,$G$175)&gt;0)),"","Vent Arr./Av.")</f>
        <v/>
      </c>
      <c r="B184" s="9">
        <f>IF(OR($G$175="",NOT(MAXIFS(SAISIE!$E$5:$E$204,SAISIE!$B$5:$B$204,"*Vent Arr./Av.*",SAISIE!$F$5:$F$204,$G$175)&gt;0)),"",IFERROR(INDEX(SAISIE!$C$5:$C$204,MATCH(MAXIFS(SAISIE!$E$5:$E$204,SAISIE!$B$5:$B$204,"*Vent Arr./Av.*",SAISIE!$F$5:$F$204,$G$175),SAISIE!$E$5:$E$204,0)),"-"))</f>
        <v/>
      </c>
      <c r="C184" s="9">
        <f>IF(OR($G$175="",NOT(MAXIFS(SAISIE!$E$5:$E$204,SAISIE!$B$5:$B$204,"*Vent Arr./Av.*",SAISIE!$F$5:$F$204,$G$175)&gt;0)),"",IFERROR(INDEX(SAISIE!$D$5:$D$204,MATCH(MAXIFS(SAISIE!$E$5:$E$204,SAISIE!$B$5:$B$204,"*Vent Arr./Av.*",SAISIE!$F$5:$F$204,$G$175),SAISIE!$E$5:$E$204,0)),"-"))</f>
        <v/>
      </c>
      <c r="D184" s="9">
        <f>IF(OR($G$175="",NOT(MAXIFS(SAISIE!$E$5:$E$204,SAISIE!$B$5:$B$204,"*Vent Arr./Av.*",SAISIE!$F$5:$F$204,$G$175)&gt;0)),"",IFERROR(MAXIFS(SAISIE!$E$5:$E$204,SAISIE!$B$5:$B$204,"*Vent Arr./Av.*",SAISIE!$F$5:$F$204,$G$175),"-"))</f>
        <v/>
      </c>
      <c r="E184" s="9">
        <f>IF($G$175="","",IF(OR(D184="",D184="-"),"",IF(D184&gt;0,"(soulevement)",IF(D184&lt;0,"(compression)","-"))))</f>
        <v/>
      </c>
    </row>
    <row r="185">
      <c r="A185" s="8">
        <f>IF(OR($G$175="",NOT(TRUE)),"","Neige normale")</f>
        <v/>
      </c>
      <c r="B185" s="9">
        <f>IF($G$175="","",IFERROR(INDEX(SAISIE!$C$5:$C$204,MATCH(MINIFS(SAISIE!$E$5:$E$204,SAISIE!$B$5:$B$204,"*Neige*",SAISIE!$B$5:$B$204,"&lt;&gt;*accidentel*",SAISIE!$F$5:$F$204,$G$175),SAISIE!$E$5:$E$204,0)),"-"))</f>
        <v/>
      </c>
      <c r="C185" s="9">
        <f>IF($G$175="","",IFERROR(INDEX(SAISIE!$D$5:$D$204,MATCH(MINIFS(SAISIE!$E$5:$E$204,SAISIE!$B$5:$B$204,"*Neige*",SAISIE!$B$5:$B$204,"&lt;&gt;*accidentel*",SAISIE!$F$5:$F$204,$G$175),SAISIE!$E$5:$E$204,0)),"-"))</f>
        <v/>
      </c>
      <c r="D185" s="9">
        <f>IF($G$175="","",IFERROR(INDEX(SAISIE!$E$5:$E$204,MATCH(MINIFS(SAISIE!$E$5:$E$204,SAISIE!$B$5:$B$204,"*Neige*",SAISIE!$B$5:$B$204,"&lt;&gt;*accidentel*",SAISIE!$F$5:$F$204,$G$175),SAISIE!$E$5:$E$204,0)),"-"))</f>
        <v/>
      </c>
      <c r="E185" s="9">
        <f>IF($G$175="","",IF(OR(D185="",D185="-"),"",IF(D185&gt;0,"(soulevement)",IF(D185&lt;0,"(compression)","-"))))</f>
        <v/>
      </c>
    </row>
    <row r="186">
      <c r="A186" s="8">
        <f>IF(OR($G$175="",NOT(TRUE)),"","Neige accidentelle")</f>
        <v/>
      </c>
      <c r="B186" s="9">
        <f>IF($G$175="","",IFERROR(LOOKUP(2,1/((SAISIE!$F$5:$F$204=$G$175)*(ISNUMBER(SEARCH("accidentel",SAISIE!$B$5:$B$204)))),SAISIE!$C$5:$C$204),"-"))</f>
        <v/>
      </c>
      <c r="C186" s="9">
        <f>IF($G$175="","",IFERROR(LOOKUP(2,1/((SAISIE!$F$5:$F$204=$G$175)*(ISNUMBER(SEARCH("accidentel",SAISIE!$B$5:$B$204)))),SAISIE!$D$5:$D$204),"-"))</f>
        <v/>
      </c>
      <c r="D186" s="9">
        <f>IF($G$175="","",IFERROR(LOOKUP(2,1/((SAISIE!$F$5:$F$204=$G$175)*(ISNUMBER(SEARCH("accidentel",SAISIE!$B$5:$B$204)))),SAISIE!$E$5:$E$204),"-"))</f>
        <v/>
      </c>
      <c r="E186" s="9">
        <f>IF($G$175="","",IF(OR(D186="",D186="-"),"",IF(D186&gt;0,"(soulevement)",IF(D186&lt;0,"(compression)","-"))))</f>
        <v/>
      </c>
    </row>
    <row r="187">
      <c r="A187" s="6">
        <f>IF($G$187="","","Noeud "&amp;$G$187)</f>
        <v/>
      </c>
      <c r="B187" s="7" t="n"/>
      <c r="C187" s="7" t="n"/>
      <c r="D187" s="7" t="n"/>
      <c r="E187" s="7" t="n"/>
      <c r="G187">
        <f>IFERROR(INDEX(SAISIE!$F$5:$F$204,AGGREGATE(15,6,ROW(SAISIE!$F$5:$F$204)-ROW(SAISIE!$F$5)+1/(SAISIE!$F$5:$F$204&lt;&gt;"")/(COUNTIF($G$4:G186,SAISIE!$F$5:$F$204)=0),1)),"")</f>
        <v/>
      </c>
    </row>
    <row r="188">
      <c r="A188" s="8">
        <f>IF(OR($G$187="",NOT(TRUE)),"","Couverture")</f>
        <v/>
      </c>
      <c r="B188" s="9">
        <f>IF($G$187="","",IFERROR(IFERROR(LOOKUP(2,1/((SAISIE!$F$5:$F$204=$G$187)*(LEFT(SAISIE!$B$5:$B$204,2)="G ")),SAISIE!$C$5:$C$204),LOOKUP(2,1/((SAISIE!$F$5:$F$204=$G$187)*(ISNUMBER(SEARCH("Couverture",SAISIE!$B$5:$B$204)))),SAISIE!$C$5:$C$204)),"-"))</f>
        <v/>
      </c>
      <c r="C188" s="9">
        <f>IF($G$187="","",IFERROR(IFERROR(LOOKUP(2,1/((SAISIE!$F$5:$F$204=$G$187)*(LEFT(SAISIE!$B$5:$B$204,2)="G ")),SAISIE!$D$5:$D$204),LOOKUP(2,1/((SAISIE!$F$5:$F$204=$G$187)*(ISNUMBER(SEARCH("Couverture",SAISIE!$B$5:$B$204)))),SAISIE!$D$5:$D$204)),"-"))</f>
        <v/>
      </c>
      <c r="D188" s="9">
        <f>IF($G$187="","",IFERROR(IFERROR(LOOKUP(2,1/((SAISIE!$F$5:$F$204=$G$187)*(LEFT(SAISIE!$B$5:$B$204,2)="G ")),SAISIE!$E$5:$E$204),LOOKUP(2,1/((SAISIE!$F$5:$F$204=$G$187)*(ISNUMBER(SEARCH("Couverture",SAISIE!$B$5:$B$204)))),SAISIE!$E$5:$E$204)),"-"))</f>
        <v/>
      </c>
      <c r="E188" s="9">
        <f>IF($G$187="","",IF(OR(D188="",D188="-"),"",IF(D188&gt;0,"(soulevement)",IF(D188&lt;0,"(compression)","-"))))</f>
        <v/>
      </c>
    </row>
    <row r="189">
      <c r="A189" s="8">
        <f>IF(OR($G$187="",NOT(COUNTIFS(SAISIE!$B$5:$B$204,"*Vent G/D*",SAISIE!$F$5:$F$204,$G$187)&gt;0)),"","Vent G/D")</f>
        <v/>
      </c>
      <c r="B189" s="9">
        <f>IF(OR($G$187="",NOT(COUNTIFS(SAISIE!$B$5:$B$204,"*Vent G/D*",SAISIE!$F$5:$F$204,$G$187)&gt;0)),"",IFERROR(IF(MINIFS(SAISIE!$E$5:$E$204,SAISIE!$B$5:$B$204,"*Vent G/D*",SAISIE!$F$5:$F$204,$G$187)&gt;=0,MAXIFS(SAISIE!$C$5:$C$204,SAISIE!$B$5:$B$204,"*Vent G/D*",SAISIE!$F$5:$F$204,$G$187),INDEX(SAISIE!$C$5:$C$204,MATCH(MINIFS(SAISIE!$E$5:$E$204,SAISIE!$B$5:$B$204,"*Vent G/D*",SAISIE!$F$5:$F$204,$G$187),SAISIE!$E$5:$E$204,0))),"-"))</f>
        <v/>
      </c>
      <c r="C189" s="9">
        <f>IF(OR($G$187="",NOT(COUNTIFS(SAISIE!$B$5:$B$204,"*Vent G/D*",SAISIE!$F$5:$F$204,$G$187)&gt;0)),"",IFERROR(IF(MINIFS(SAISIE!$E$5:$E$204,SAISIE!$B$5:$B$204,"*Vent G/D*",SAISIE!$F$5:$F$204,$G$187)&gt;=0,INDEX(SAISIE!$D$5:$D$204,MATCH(MAXIFS(SAISIE!$C$5:$C$204,SAISIE!$B$5:$B$204,"*Vent G/D*",SAISIE!$F$5:$F$204,$G$187),SAISIE!$C$5:$C$204,0)),INDEX(SAISIE!$D$5:$D$204,MATCH(MINIFS(SAISIE!$E$5:$E$204,SAISIE!$B$5:$B$204,"*Vent G/D*",SAISIE!$F$5:$F$204,$G$187),SAISIE!$E$5:$E$204,0))),"-"))</f>
        <v/>
      </c>
      <c r="D189" s="9">
        <f>IF(OR($G$187="",NOT(COUNTIFS(SAISIE!$B$5:$B$204,"*Vent G/D*",SAISIE!$F$5:$F$204,$G$187)&gt;0)),"",IFERROR(IF(MINIFS(SAISIE!$E$5:$E$204,SAISIE!$B$5:$B$204,"*Vent G/D*",SAISIE!$F$5:$F$204,$G$187)&gt;=0,0,MINIFS(SAISIE!$E$5:$E$204,SAISIE!$B$5:$B$204,"*Vent G/D*",SAISIE!$F$5:$F$204,$G$187)),"-"))</f>
        <v/>
      </c>
      <c r="E189" s="9">
        <f>IF($G$187="","",IF(OR(D189="",D189="-"),"",IF(D189&gt;0,"(soulevement)",IF(D189&lt;0,"(compression)","-"))))</f>
        <v/>
      </c>
    </row>
    <row r="190">
      <c r="A190" s="8">
        <f>IF(OR($G$187="",NOT(MAXIFS(SAISIE!$E$5:$E$204,SAISIE!$B$5:$B$204,"*Vent G/D*",SAISIE!$F$5:$F$204,$G$187)&gt;0)),"","Vent G/D")</f>
        <v/>
      </c>
      <c r="B190" s="9">
        <f>IF(OR($G$187="",NOT(MAXIFS(SAISIE!$E$5:$E$204,SAISIE!$B$5:$B$204,"*Vent G/D*",SAISIE!$F$5:$F$204,$G$187)&gt;0)),"",IFERROR(INDEX(SAISIE!$C$5:$C$204,MATCH(MAXIFS(SAISIE!$E$5:$E$204,SAISIE!$B$5:$B$204,"*Vent G/D*",SAISIE!$F$5:$F$204,$G$187),SAISIE!$E$5:$E$204,0)),"-"))</f>
        <v/>
      </c>
      <c r="C190" s="9">
        <f>IF(OR($G$187="",NOT(MAXIFS(SAISIE!$E$5:$E$204,SAISIE!$B$5:$B$204,"*Vent G/D*",SAISIE!$F$5:$F$204,$G$187)&gt;0)),"",IFERROR(INDEX(SAISIE!$D$5:$D$204,MATCH(MAXIFS(SAISIE!$E$5:$E$204,SAISIE!$B$5:$B$204,"*Vent G/D*",SAISIE!$F$5:$F$204,$G$187),SAISIE!$E$5:$E$204,0)),"-"))</f>
        <v/>
      </c>
      <c r="D190" s="9">
        <f>IF(OR($G$187="",NOT(MAXIFS(SAISIE!$E$5:$E$204,SAISIE!$B$5:$B$204,"*Vent G/D*",SAISIE!$F$5:$F$204,$G$187)&gt;0)),"",IFERROR(MAXIFS(SAISIE!$E$5:$E$204,SAISIE!$B$5:$B$204,"*Vent G/D*",SAISIE!$F$5:$F$204,$G$187),"-"))</f>
        <v/>
      </c>
      <c r="E190" s="9">
        <f>IF($G$187="","",IF(OR(D190="",D190="-"),"",IF(D190&gt;0,"(soulevement)",IF(D190&lt;0,"(compression)","-"))))</f>
        <v/>
      </c>
    </row>
    <row r="191">
      <c r="A191" s="8">
        <f>IF(OR($G$187="",NOT(COUNTIFS(SAISIE!$B$5:$B$204,"*Vent D/G*",SAISIE!$F$5:$F$204,$G$187)&gt;0)),"","Vent D/G")</f>
        <v/>
      </c>
      <c r="B191" s="9">
        <f>IF(OR($G$187="",NOT(COUNTIFS(SAISIE!$B$5:$B$204,"*Vent D/G*",SAISIE!$F$5:$F$204,$G$187)&gt;0)),"",IFERROR(IF(MINIFS(SAISIE!$E$5:$E$204,SAISIE!$B$5:$B$204,"*Vent D/G*",SAISIE!$F$5:$F$204,$G$187)&gt;=0,MAXIFS(SAISIE!$C$5:$C$204,SAISIE!$B$5:$B$204,"*Vent D/G*",SAISIE!$F$5:$F$204,$G$187),INDEX(SAISIE!$C$5:$C$204,MATCH(MINIFS(SAISIE!$E$5:$E$204,SAISIE!$B$5:$B$204,"*Vent D/G*",SAISIE!$F$5:$F$204,$G$187),SAISIE!$E$5:$E$204,0))),"-"))</f>
        <v/>
      </c>
      <c r="C191" s="9">
        <f>IF(OR($G$187="",NOT(COUNTIFS(SAISIE!$B$5:$B$204,"*Vent D/G*",SAISIE!$F$5:$F$204,$G$187)&gt;0)),"",IFERROR(IF(MINIFS(SAISIE!$E$5:$E$204,SAISIE!$B$5:$B$204,"*Vent D/G*",SAISIE!$F$5:$F$204,$G$187)&gt;=0,INDEX(SAISIE!$D$5:$D$204,MATCH(MAXIFS(SAISIE!$C$5:$C$204,SAISIE!$B$5:$B$204,"*Vent D/G*",SAISIE!$F$5:$F$204,$G$187),SAISIE!$C$5:$C$204,0)),INDEX(SAISIE!$D$5:$D$204,MATCH(MINIFS(SAISIE!$E$5:$E$204,SAISIE!$B$5:$B$204,"*Vent D/G*",SAISIE!$F$5:$F$204,$G$187),SAISIE!$E$5:$E$204,0))),"-"))</f>
        <v/>
      </c>
      <c r="D191" s="9">
        <f>IF(OR($G$187="",NOT(COUNTIFS(SAISIE!$B$5:$B$204,"*Vent D/G*",SAISIE!$F$5:$F$204,$G$187)&gt;0)),"",IFERROR(IF(MINIFS(SAISIE!$E$5:$E$204,SAISIE!$B$5:$B$204,"*Vent D/G*",SAISIE!$F$5:$F$204,$G$187)&gt;=0,0,MINIFS(SAISIE!$E$5:$E$204,SAISIE!$B$5:$B$204,"*Vent D/G*",SAISIE!$F$5:$F$204,$G$187)),"-"))</f>
        <v/>
      </c>
      <c r="E191" s="9">
        <f>IF($G$187="","",IF(OR(D191="",D191="-"),"",IF(D191&gt;0,"(soulevement)",IF(D191&lt;0,"(compression)","-"))))</f>
        <v/>
      </c>
    </row>
    <row r="192">
      <c r="A192" s="8">
        <f>IF(OR($G$187="",NOT(MAXIFS(SAISIE!$E$5:$E$204,SAISIE!$B$5:$B$204,"*Vent D/G*",SAISIE!$F$5:$F$204,$G$187)&gt;0)),"","Vent D/G")</f>
        <v/>
      </c>
      <c r="B192" s="9">
        <f>IF(OR($G$187="",NOT(MAXIFS(SAISIE!$E$5:$E$204,SAISIE!$B$5:$B$204,"*Vent D/G*",SAISIE!$F$5:$F$204,$G$187)&gt;0)),"",IFERROR(INDEX(SAISIE!$C$5:$C$204,MATCH(MAXIFS(SAISIE!$E$5:$E$204,SAISIE!$B$5:$B$204,"*Vent D/G*",SAISIE!$F$5:$F$204,$G$187),SAISIE!$E$5:$E$204,0)),"-"))</f>
        <v/>
      </c>
      <c r="C192" s="9">
        <f>IF(OR($G$187="",NOT(MAXIFS(SAISIE!$E$5:$E$204,SAISIE!$B$5:$B$204,"*Vent D/G*",SAISIE!$F$5:$F$204,$G$187)&gt;0)),"",IFERROR(INDEX(SAISIE!$D$5:$D$204,MATCH(MAXIFS(SAISIE!$E$5:$E$204,SAISIE!$B$5:$B$204,"*Vent D/G*",SAISIE!$F$5:$F$204,$G$187),SAISIE!$E$5:$E$204,0)),"-"))</f>
        <v/>
      </c>
      <c r="D192" s="9">
        <f>IF(OR($G$187="",NOT(MAXIFS(SAISIE!$E$5:$E$204,SAISIE!$B$5:$B$204,"*Vent D/G*",SAISIE!$F$5:$F$204,$G$187)&gt;0)),"",IFERROR(MAXIFS(SAISIE!$E$5:$E$204,SAISIE!$B$5:$B$204,"*Vent D/G*",SAISIE!$F$5:$F$204,$G$187),"-"))</f>
        <v/>
      </c>
      <c r="E192" s="9">
        <f>IF($G$187="","",IF(OR(D192="",D192="-"),"",IF(D192&gt;0,"(soulevement)",IF(D192&lt;0,"(compression)","-"))))</f>
        <v/>
      </c>
    </row>
    <row r="193">
      <c r="A193" s="8">
        <f>IF(OR($G$187="",NOT(COUNTIFS(SAISIE!$B$5:$B$204,"*Vent Av./Arr.*",SAISIE!$F$5:$F$204,$G$187)&gt;0)),"","Vent Av./Arr.")</f>
        <v/>
      </c>
      <c r="B193" s="9">
        <f>IF(OR($G$187="",NOT(COUNTIFS(SAISIE!$B$5:$B$204,"*Vent Av./Arr.*",SAISIE!$F$5:$F$204,$G$187)&gt;0)),"",IFERROR(IF(MINIFS(SAISIE!$E$5:$E$204,SAISIE!$B$5:$B$204,"*Vent Av./Arr.*",SAISIE!$F$5:$F$204,$G$187)&gt;=0,MAXIFS(SAISIE!$C$5:$C$204,SAISIE!$B$5:$B$204,"*Vent Av./Arr.*",SAISIE!$F$5:$F$204,$G$187),INDEX(SAISIE!$C$5:$C$204,MATCH(MINIFS(SAISIE!$E$5:$E$204,SAISIE!$B$5:$B$204,"*Vent Av./Arr.*",SAISIE!$F$5:$F$204,$G$187),SAISIE!$E$5:$E$204,0))),"-"))</f>
        <v/>
      </c>
      <c r="C193" s="9">
        <f>IF(OR($G$187="",NOT(COUNTIFS(SAISIE!$B$5:$B$204,"*Vent Av./Arr.*",SAISIE!$F$5:$F$204,$G$187)&gt;0)),"",IFERROR(IF(MINIFS(SAISIE!$E$5:$E$204,SAISIE!$B$5:$B$204,"*Vent Av./Arr.*",SAISIE!$F$5:$F$204,$G$187)&gt;=0,INDEX(SAISIE!$D$5:$D$204,MATCH(MAXIFS(SAISIE!$C$5:$C$204,SAISIE!$B$5:$B$204,"*Vent Av./Arr.*",SAISIE!$F$5:$F$204,$G$187),SAISIE!$C$5:$C$204,0)),INDEX(SAISIE!$D$5:$D$204,MATCH(MINIFS(SAISIE!$E$5:$E$204,SAISIE!$B$5:$B$204,"*Vent Av./Arr.*",SAISIE!$F$5:$F$204,$G$187),SAISIE!$E$5:$E$204,0))),"-"))</f>
        <v/>
      </c>
      <c r="D193" s="9">
        <f>IF(OR($G$187="",NOT(COUNTIFS(SAISIE!$B$5:$B$204,"*Vent Av./Arr.*",SAISIE!$F$5:$F$204,$G$187)&gt;0)),"",IFERROR(IF(MINIFS(SAISIE!$E$5:$E$204,SAISIE!$B$5:$B$204,"*Vent Av./Arr.*",SAISIE!$F$5:$F$204,$G$187)&gt;=0,0,MINIFS(SAISIE!$E$5:$E$204,SAISIE!$B$5:$B$204,"*Vent Av./Arr.*",SAISIE!$F$5:$F$204,$G$187)),"-"))</f>
        <v/>
      </c>
      <c r="E193" s="9">
        <f>IF($G$187="","",IF(OR(D193="",D193="-"),"",IF(D193&gt;0,"(soulevement)",IF(D193&lt;0,"(compression)","-"))))</f>
        <v/>
      </c>
    </row>
    <row r="194">
      <c r="A194" s="8">
        <f>IF(OR($G$187="",NOT(MAXIFS(SAISIE!$E$5:$E$204,SAISIE!$B$5:$B$204,"*Vent Av./Arr.*",SAISIE!$F$5:$F$204,$G$187)&gt;0)),"","Vent Av./Arr.")</f>
        <v/>
      </c>
      <c r="B194" s="9">
        <f>IF(OR($G$187="",NOT(MAXIFS(SAISIE!$E$5:$E$204,SAISIE!$B$5:$B$204,"*Vent Av./Arr.*",SAISIE!$F$5:$F$204,$G$187)&gt;0)),"",IFERROR(INDEX(SAISIE!$C$5:$C$204,MATCH(MAXIFS(SAISIE!$E$5:$E$204,SAISIE!$B$5:$B$204,"*Vent Av./Arr.*",SAISIE!$F$5:$F$204,$G$187),SAISIE!$E$5:$E$204,0)),"-"))</f>
        <v/>
      </c>
      <c r="C194" s="9">
        <f>IF(OR($G$187="",NOT(MAXIFS(SAISIE!$E$5:$E$204,SAISIE!$B$5:$B$204,"*Vent Av./Arr.*",SAISIE!$F$5:$F$204,$G$187)&gt;0)),"",IFERROR(INDEX(SAISIE!$D$5:$D$204,MATCH(MAXIFS(SAISIE!$E$5:$E$204,SAISIE!$B$5:$B$204,"*Vent Av./Arr.*",SAISIE!$F$5:$F$204,$G$187),SAISIE!$E$5:$E$204,0)),"-"))</f>
        <v/>
      </c>
      <c r="D194" s="9">
        <f>IF(OR($G$187="",NOT(MAXIFS(SAISIE!$E$5:$E$204,SAISIE!$B$5:$B$204,"*Vent Av./Arr.*",SAISIE!$F$5:$F$204,$G$187)&gt;0)),"",IFERROR(MAXIFS(SAISIE!$E$5:$E$204,SAISIE!$B$5:$B$204,"*Vent Av./Arr.*",SAISIE!$F$5:$F$204,$G$187),"-"))</f>
        <v/>
      </c>
      <c r="E194" s="9">
        <f>IF($G$187="","",IF(OR(D194="",D194="-"),"",IF(D194&gt;0,"(soulevement)",IF(D194&lt;0,"(compression)","-"))))</f>
        <v/>
      </c>
    </row>
    <row r="195">
      <c r="A195" s="8">
        <f>IF(OR($G$187="",NOT(COUNTIFS(SAISIE!$B$5:$B$204,"*Vent Arr./Av.*",SAISIE!$F$5:$F$204,$G$187)&gt;0)),"","Vent Arr./Av.")</f>
        <v/>
      </c>
      <c r="B195" s="9">
        <f>IF(OR($G$187="",NOT(COUNTIFS(SAISIE!$B$5:$B$204,"*Vent Arr./Av.*",SAISIE!$F$5:$F$204,$G$187)&gt;0)),"",IFERROR(IF(MINIFS(SAISIE!$E$5:$E$204,SAISIE!$B$5:$B$204,"*Vent Arr./Av.*",SAISIE!$F$5:$F$204,$G$187)&gt;=0,MAXIFS(SAISIE!$C$5:$C$204,SAISIE!$B$5:$B$204,"*Vent Arr./Av.*",SAISIE!$F$5:$F$204,$G$187),INDEX(SAISIE!$C$5:$C$204,MATCH(MINIFS(SAISIE!$E$5:$E$204,SAISIE!$B$5:$B$204,"*Vent Arr./Av.*",SAISIE!$F$5:$F$204,$G$187),SAISIE!$E$5:$E$204,0))),"-"))</f>
        <v/>
      </c>
      <c r="C195" s="9">
        <f>IF(OR($G$187="",NOT(COUNTIFS(SAISIE!$B$5:$B$204,"*Vent Arr./Av.*",SAISIE!$F$5:$F$204,$G$187)&gt;0)),"",IFERROR(IF(MINIFS(SAISIE!$E$5:$E$204,SAISIE!$B$5:$B$204,"*Vent Arr./Av.*",SAISIE!$F$5:$F$204,$G$187)&gt;=0,INDEX(SAISIE!$D$5:$D$204,MATCH(MAXIFS(SAISIE!$C$5:$C$204,SAISIE!$B$5:$B$204,"*Vent Arr./Av.*",SAISIE!$F$5:$F$204,$G$187),SAISIE!$C$5:$C$204,0)),INDEX(SAISIE!$D$5:$D$204,MATCH(MINIFS(SAISIE!$E$5:$E$204,SAISIE!$B$5:$B$204,"*Vent Arr./Av.*",SAISIE!$F$5:$F$204,$G$187),SAISIE!$E$5:$E$204,0))),"-"))</f>
        <v/>
      </c>
      <c r="D195" s="9">
        <f>IF(OR($G$187="",NOT(COUNTIFS(SAISIE!$B$5:$B$204,"*Vent Arr./Av.*",SAISIE!$F$5:$F$204,$G$187)&gt;0)),"",IFERROR(IF(MINIFS(SAISIE!$E$5:$E$204,SAISIE!$B$5:$B$204,"*Vent Arr./Av.*",SAISIE!$F$5:$F$204,$G$187)&gt;=0,0,MINIFS(SAISIE!$E$5:$E$204,SAISIE!$B$5:$B$204,"*Vent Arr./Av.*",SAISIE!$F$5:$F$204,$G$187)),"-"))</f>
        <v/>
      </c>
      <c r="E195" s="9">
        <f>IF($G$187="","",IF(OR(D195="",D195="-"),"",IF(D195&gt;0,"(soulevement)",IF(D195&lt;0,"(compression)","-"))))</f>
        <v/>
      </c>
    </row>
    <row r="196">
      <c r="A196" s="8">
        <f>IF(OR($G$187="",NOT(MAXIFS(SAISIE!$E$5:$E$204,SAISIE!$B$5:$B$204,"*Vent Arr./Av.*",SAISIE!$F$5:$F$204,$G$187)&gt;0)),"","Vent Arr./Av.")</f>
        <v/>
      </c>
      <c r="B196" s="9">
        <f>IF(OR($G$187="",NOT(MAXIFS(SAISIE!$E$5:$E$204,SAISIE!$B$5:$B$204,"*Vent Arr./Av.*",SAISIE!$F$5:$F$204,$G$187)&gt;0)),"",IFERROR(INDEX(SAISIE!$C$5:$C$204,MATCH(MAXIFS(SAISIE!$E$5:$E$204,SAISIE!$B$5:$B$204,"*Vent Arr./Av.*",SAISIE!$F$5:$F$204,$G$187),SAISIE!$E$5:$E$204,0)),"-"))</f>
        <v/>
      </c>
      <c r="C196" s="9">
        <f>IF(OR($G$187="",NOT(MAXIFS(SAISIE!$E$5:$E$204,SAISIE!$B$5:$B$204,"*Vent Arr./Av.*",SAISIE!$F$5:$F$204,$G$187)&gt;0)),"",IFERROR(INDEX(SAISIE!$D$5:$D$204,MATCH(MAXIFS(SAISIE!$E$5:$E$204,SAISIE!$B$5:$B$204,"*Vent Arr./Av.*",SAISIE!$F$5:$F$204,$G$187),SAISIE!$E$5:$E$204,0)),"-"))</f>
        <v/>
      </c>
      <c r="D196" s="9">
        <f>IF(OR($G$187="",NOT(MAXIFS(SAISIE!$E$5:$E$204,SAISIE!$B$5:$B$204,"*Vent Arr./Av.*",SAISIE!$F$5:$F$204,$G$187)&gt;0)),"",IFERROR(MAXIFS(SAISIE!$E$5:$E$204,SAISIE!$B$5:$B$204,"*Vent Arr./Av.*",SAISIE!$F$5:$F$204,$G$187),"-"))</f>
        <v/>
      </c>
      <c r="E196" s="9">
        <f>IF($G$187="","",IF(OR(D196="",D196="-"),"",IF(D196&gt;0,"(soulevement)",IF(D196&lt;0,"(compression)","-"))))</f>
        <v/>
      </c>
    </row>
    <row r="197">
      <c r="A197" s="8">
        <f>IF(OR($G$187="",NOT(TRUE)),"","Neige normale")</f>
        <v/>
      </c>
      <c r="B197" s="9">
        <f>IF($G$187="","",IFERROR(INDEX(SAISIE!$C$5:$C$204,MATCH(MINIFS(SAISIE!$E$5:$E$204,SAISIE!$B$5:$B$204,"*Neige*",SAISIE!$B$5:$B$204,"&lt;&gt;*accidentel*",SAISIE!$F$5:$F$204,$G$187),SAISIE!$E$5:$E$204,0)),"-"))</f>
        <v/>
      </c>
      <c r="C197" s="9">
        <f>IF($G$187="","",IFERROR(INDEX(SAISIE!$D$5:$D$204,MATCH(MINIFS(SAISIE!$E$5:$E$204,SAISIE!$B$5:$B$204,"*Neige*",SAISIE!$B$5:$B$204,"&lt;&gt;*accidentel*",SAISIE!$F$5:$F$204,$G$187),SAISIE!$E$5:$E$204,0)),"-"))</f>
        <v/>
      </c>
      <c r="D197" s="9">
        <f>IF($G$187="","",IFERROR(INDEX(SAISIE!$E$5:$E$204,MATCH(MINIFS(SAISIE!$E$5:$E$204,SAISIE!$B$5:$B$204,"*Neige*",SAISIE!$B$5:$B$204,"&lt;&gt;*accidentel*",SAISIE!$F$5:$F$204,$G$187),SAISIE!$E$5:$E$204,0)),"-"))</f>
        <v/>
      </c>
      <c r="E197" s="9">
        <f>IF($G$187="","",IF(OR(D197="",D197="-"),"",IF(D197&gt;0,"(soulevement)",IF(D197&lt;0,"(compression)","-"))))</f>
        <v/>
      </c>
    </row>
    <row r="198">
      <c r="A198" s="8">
        <f>IF(OR($G$187="",NOT(TRUE)),"","Neige accidentelle")</f>
        <v/>
      </c>
      <c r="B198" s="9">
        <f>IF($G$187="","",IFERROR(LOOKUP(2,1/((SAISIE!$F$5:$F$204=$G$187)*(ISNUMBER(SEARCH("accidentel",SAISIE!$B$5:$B$204)))),SAISIE!$C$5:$C$204),"-"))</f>
        <v/>
      </c>
      <c r="C198" s="9">
        <f>IF($G$187="","",IFERROR(LOOKUP(2,1/((SAISIE!$F$5:$F$204=$G$187)*(ISNUMBER(SEARCH("accidentel",SAISIE!$B$5:$B$204)))),SAISIE!$D$5:$D$204),"-"))</f>
        <v/>
      </c>
      <c r="D198" s="9">
        <f>IF($G$187="","",IFERROR(LOOKUP(2,1/((SAISIE!$F$5:$F$204=$G$187)*(ISNUMBER(SEARCH("accidentel",SAISIE!$B$5:$B$204)))),SAISIE!$E$5:$E$204),"-"))</f>
        <v/>
      </c>
      <c r="E198" s="9">
        <f>IF($G$187="","",IF(OR(D198="",D198="-"),"",IF(D198&gt;0,"(soulevement)",IF(D198&lt;0,"(compression)","-"))))</f>
        <v/>
      </c>
    </row>
    <row r="199">
      <c r="A199" s="6">
        <f>IF($G$199="","","Noeud "&amp;$G$199)</f>
        <v/>
      </c>
      <c r="B199" s="7" t="n"/>
      <c r="C199" s="7" t="n"/>
      <c r="D199" s="7" t="n"/>
      <c r="E199" s="7" t="n"/>
      <c r="G199">
        <f>IFERROR(INDEX(SAISIE!$F$5:$F$204,AGGREGATE(15,6,ROW(SAISIE!$F$5:$F$204)-ROW(SAISIE!$F$5)+1/(SAISIE!$F$5:$F$204&lt;&gt;"")/(COUNTIF($G$4:G198,SAISIE!$F$5:$F$204)=0),1)),"")</f>
        <v/>
      </c>
    </row>
    <row r="200">
      <c r="A200" s="8">
        <f>IF(OR($G$199="",NOT(TRUE)),"","Couverture")</f>
        <v/>
      </c>
      <c r="B200" s="9">
        <f>IF($G$199="","",IFERROR(IFERROR(LOOKUP(2,1/((SAISIE!$F$5:$F$204=$G$199)*(LEFT(SAISIE!$B$5:$B$204,2)="G ")),SAISIE!$C$5:$C$204),LOOKUP(2,1/((SAISIE!$F$5:$F$204=$G$199)*(ISNUMBER(SEARCH("Couverture",SAISIE!$B$5:$B$204)))),SAISIE!$C$5:$C$204)),"-"))</f>
        <v/>
      </c>
      <c r="C200" s="9">
        <f>IF($G$199="","",IFERROR(IFERROR(LOOKUP(2,1/((SAISIE!$F$5:$F$204=$G$199)*(LEFT(SAISIE!$B$5:$B$204,2)="G ")),SAISIE!$D$5:$D$204),LOOKUP(2,1/((SAISIE!$F$5:$F$204=$G$199)*(ISNUMBER(SEARCH("Couverture",SAISIE!$B$5:$B$204)))),SAISIE!$D$5:$D$204)),"-"))</f>
        <v/>
      </c>
      <c r="D200" s="9">
        <f>IF($G$199="","",IFERROR(IFERROR(LOOKUP(2,1/((SAISIE!$F$5:$F$204=$G$199)*(LEFT(SAISIE!$B$5:$B$204,2)="G ")),SAISIE!$E$5:$E$204),LOOKUP(2,1/((SAISIE!$F$5:$F$204=$G$199)*(ISNUMBER(SEARCH("Couverture",SAISIE!$B$5:$B$204)))),SAISIE!$E$5:$E$204)),"-"))</f>
        <v/>
      </c>
      <c r="E200" s="9">
        <f>IF($G$199="","",IF(OR(D200="",D200="-"),"",IF(D200&gt;0,"(soulevement)",IF(D200&lt;0,"(compression)","-"))))</f>
        <v/>
      </c>
    </row>
    <row r="201">
      <c r="A201" s="8">
        <f>IF(OR($G$199="",NOT(COUNTIFS(SAISIE!$B$5:$B$204,"*Vent G/D*",SAISIE!$F$5:$F$204,$G$199)&gt;0)),"","Vent G/D")</f>
        <v/>
      </c>
      <c r="B201" s="9">
        <f>IF(OR($G$199="",NOT(COUNTIFS(SAISIE!$B$5:$B$204,"*Vent G/D*",SAISIE!$F$5:$F$204,$G$199)&gt;0)),"",IFERROR(IF(MINIFS(SAISIE!$E$5:$E$204,SAISIE!$B$5:$B$204,"*Vent G/D*",SAISIE!$F$5:$F$204,$G$199)&gt;=0,MAXIFS(SAISIE!$C$5:$C$204,SAISIE!$B$5:$B$204,"*Vent G/D*",SAISIE!$F$5:$F$204,$G$199),INDEX(SAISIE!$C$5:$C$204,MATCH(MINIFS(SAISIE!$E$5:$E$204,SAISIE!$B$5:$B$204,"*Vent G/D*",SAISIE!$F$5:$F$204,$G$199),SAISIE!$E$5:$E$204,0))),"-"))</f>
        <v/>
      </c>
      <c r="C201" s="9">
        <f>IF(OR($G$199="",NOT(COUNTIFS(SAISIE!$B$5:$B$204,"*Vent G/D*",SAISIE!$F$5:$F$204,$G$199)&gt;0)),"",IFERROR(IF(MINIFS(SAISIE!$E$5:$E$204,SAISIE!$B$5:$B$204,"*Vent G/D*",SAISIE!$F$5:$F$204,$G$199)&gt;=0,INDEX(SAISIE!$D$5:$D$204,MATCH(MAXIFS(SAISIE!$C$5:$C$204,SAISIE!$B$5:$B$204,"*Vent G/D*",SAISIE!$F$5:$F$204,$G$199),SAISIE!$C$5:$C$204,0)),INDEX(SAISIE!$D$5:$D$204,MATCH(MINIFS(SAISIE!$E$5:$E$204,SAISIE!$B$5:$B$204,"*Vent G/D*",SAISIE!$F$5:$F$204,$G$199),SAISIE!$E$5:$E$204,0))),"-"))</f>
        <v/>
      </c>
      <c r="D201" s="9">
        <f>IF(OR($G$199="",NOT(COUNTIFS(SAISIE!$B$5:$B$204,"*Vent G/D*",SAISIE!$F$5:$F$204,$G$199)&gt;0)),"",IFERROR(IF(MINIFS(SAISIE!$E$5:$E$204,SAISIE!$B$5:$B$204,"*Vent G/D*",SAISIE!$F$5:$F$204,$G$199)&gt;=0,0,MINIFS(SAISIE!$E$5:$E$204,SAISIE!$B$5:$B$204,"*Vent G/D*",SAISIE!$F$5:$F$204,$G$199)),"-"))</f>
        <v/>
      </c>
      <c r="E201" s="9">
        <f>IF($G$199="","",IF(OR(D201="",D201="-"),"",IF(D201&gt;0,"(soulevement)",IF(D201&lt;0,"(compression)","-"))))</f>
        <v/>
      </c>
    </row>
    <row r="202">
      <c r="A202" s="8">
        <f>IF(OR($G$199="",NOT(MAXIFS(SAISIE!$E$5:$E$204,SAISIE!$B$5:$B$204,"*Vent G/D*",SAISIE!$F$5:$F$204,$G$199)&gt;0)),"","Vent G/D")</f>
        <v/>
      </c>
      <c r="B202" s="9">
        <f>IF(OR($G$199="",NOT(MAXIFS(SAISIE!$E$5:$E$204,SAISIE!$B$5:$B$204,"*Vent G/D*",SAISIE!$F$5:$F$204,$G$199)&gt;0)),"",IFERROR(INDEX(SAISIE!$C$5:$C$204,MATCH(MAXIFS(SAISIE!$E$5:$E$204,SAISIE!$B$5:$B$204,"*Vent G/D*",SAISIE!$F$5:$F$204,$G$199),SAISIE!$E$5:$E$204,0)),"-"))</f>
        <v/>
      </c>
      <c r="C202" s="9">
        <f>IF(OR($G$199="",NOT(MAXIFS(SAISIE!$E$5:$E$204,SAISIE!$B$5:$B$204,"*Vent G/D*",SAISIE!$F$5:$F$204,$G$199)&gt;0)),"",IFERROR(INDEX(SAISIE!$D$5:$D$204,MATCH(MAXIFS(SAISIE!$E$5:$E$204,SAISIE!$B$5:$B$204,"*Vent G/D*",SAISIE!$F$5:$F$204,$G$199),SAISIE!$E$5:$E$204,0)),"-"))</f>
        <v/>
      </c>
      <c r="D202" s="9">
        <f>IF(OR($G$199="",NOT(MAXIFS(SAISIE!$E$5:$E$204,SAISIE!$B$5:$B$204,"*Vent G/D*",SAISIE!$F$5:$F$204,$G$199)&gt;0)),"",IFERROR(MAXIFS(SAISIE!$E$5:$E$204,SAISIE!$B$5:$B$204,"*Vent G/D*",SAISIE!$F$5:$F$204,$G$199),"-"))</f>
        <v/>
      </c>
      <c r="E202" s="9">
        <f>IF($G$199="","",IF(OR(D202="",D202="-"),"",IF(D202&gt;0,"(soulevement)",IF(D202&lt;0,"(compression)","-"))))</f>
        <v/>
      </c>
    </row>
    <row r="203">
      <c r="A203" s="8">
        <f>IF(OR($G$199="",NOT(COUNTIFS(SAISIE!$B$5:$B$204,"*Vent D/G*",SAISIE!$F$5:$F$204,$G$199)&gt;0)),"","Vent D/G")</f>
        <v/>
      </c>
      <c r="B203" s="9">
        <f>IF(OR($G$199="",NOT(COUNTIFS(SAISIE!$B$5:$B$204,"*Vent D/G*",SAISIE!$F$5:$F$204,$G$199)&gt;0)),"",IFERROR(IF(MINIFS(SAISIE!$E$5:$E$204,SAISIE!$B$5:$B$204,"*Vent D/G*",SAISIE!$F$5:$F$204,$G$199)&gt;=0,MAXIFS(SAISIE!$C$5:$C$204,SAISIE!$B$5:$B$204,"*Vent D/G*",SAISIE!$F$5:$F$204,$G$199),INDEX(SAISIE!$C$5:$C$204,MATCH(MINIFS(SAISIE!$E$5:$E$204,SAISIE!$B$5:$B$204,"*Vent D/G*",SAISIE!$F$5:$F$204,$G$199),SAISIE!$E$5:$E$204,0))),"-"))</f>
        <v/>
      </c>
      <c r="C203" s="9">
        <f>IF(OR($G$199="",NOT(COUNTIFS(SAISIE!$B$5:$B$204,"*Vent D/G*",SAISIE!$F$5:$F$204,$G$199)&gt;0)),"",IFERROR(IF(MINIFS(SAISIE!$E$5:$E$204,SAISIE!$B$5:$B$204,"*Vent D/G*",SAISIE!$F$5:$F$204,$G$199)&gt;=0,INDEX(SAISIE!$D$5:$D$204,MATCH(MAXIFS(SAISIE!$C$5:$C$204,SAISIE!$B$5:$B$204,"*Vent D/G*",SAISIE!$F$5:$F$204,$G$199),SAISIE!$C$5:$C$204,0)),INDEX(SAISIE!$D$5:$D$204,MATCH(MINIFS(SAISIE!$E$5:$E$204,SAISIE!$B$5:$B$204,"*Vent D/G*",SAISIE!$F$5:$F$204,$G$199),SAISIE!$E$5:$E$204,0))),"-"))</f>
        <v/>
      </c>
      <c r="D203" s="9">
        <f>IF(OR($G$199="",NOT(COUNTIFS(SAISIE!$B$5:$B$204,"*Vent D/G*",SAISIE!$F$5:$F$204,$G$199)&gt;0)),"",IFERROR(IF(MINIFS(SAISIE!$E$5:$E$204,SAISIE!$B$5:$B$204,"*Vent D/G*",SAISIE!$F$5:$F$204,$G$199)&gt;=0,0,MINIFS(SAISIE!$E$5:$E$204,SAISIE!$B$5:$B$204,"*Vent D/G*",SAISIE!$F$5:$F$204,$G$199)),"-"))</f>
        <v/>
      </c>
      <c r="E203" s="9">
        <f>IF($G$199="","",IF(OR(D203="",D203="-"),"",IF(D203&gt;0,"(soulevement)",IF(D203&lt;0,"(compression)","-"))))</f>
        <v/>
      </c>
    </row>
    <row r="204">
      <c r="A204" s="8">
        <f>IF(OR($G$199="",NOT(MAXIFS(SAISIE!$E$5:$E$204,SAISIE!$B$5:$B$204,"*Vent D/G*",SAISIE!$F$5:$F$204,$G$199)&gt;0)),"","Vent D/G")</f>
        <v/>
      </c>
      <c r="B204" s="9">
        <f>IF(OR($G$199="",NOT(MAXIFS(SAISIE!$E$5:$E$204,SAISIE!$B$5:$B$204,"*Vent D/G*",SAISIE!$F$5:$F$204,$G$199)&gt;0)),"",IFERROR(INDEX(SAISIE!$C$5:$C$204,MATCH(MAXIFS(SAISIE!$E$5:$E$204,SAISIE!$B$5:$B$204,"*Vent D/G*",SAISIE!$F$5:$F$204,$G$199),SAISIE!$E$5:$E$204,0)),"-"))</f>
        <v/>
      </c>
      <c r="C204" s="9">
        <f>IF(OR($G$199="",NOT(MAXIFS(SAISIE!$E$5:$E$204,SAISIE!$B$5:$B$204,"*Vent D/G*",SAISIE!$F$5:$F$204,$G$199)&gt;0)),"",IFERROR(INDEX(SAISIE!$D$5:$D$204,MATCH(MAXIFS(SAISIE!$E$5:$E$204,SAISIE!$B$5:$B$204,"*Vent D/G*",SAISIE!$F$5:$F$204,$G$199),SAISIE!$E$5:$E$204,0)),"-"))</f>
        <v/>
      </c>
      <c r="D204" s="9">
        <f>IF(OR($G$199="",NOT(MAXIFS(SAISIE!$E$5:$E$204,SAISIE!$B$5:$B$204,"*Vent D/G*",SAISIE!$F$5:$F$204,$G$199)&gt;0)),"",IFERROR(MAXIFS(SAISIE!$E$5:$E$204,SAISIE!$B$5:$B$204,"*Vent D/G*",SAISIE!$F$5:$F$204,$G$199),"-"))</f>
        <v/>
      </c>
      <c r="E204" s="9">
        <f>IF($G$199="","",IF(OR(D204="",D204="-"),"",IF(D204&gt;0,"(soulevement)",IF(D204&lt;0,"(compression)","-"))))</f>
        <v/>
      </c>
    </row>
    <row r="205">
      <c r="A205" s="8">
        <f>IF(OR($G$199="",NOT(COUNTIFS(SAISIE!$B$5:$B$204,"*Vent Av./Arr.*",SAISIE!$F$5:$F$204,$G$199)&gt;0)),"","Vent Av./Arr.")</f>
        <v/>
      </c>
      <c r="B205" s="9">
        <f>IF(OR($G$199="",NOT(COUNTIFS(SAISIE!$B$5:$B$204,"*Vent Av./Arr.*",SAISIE!$F$5:$F$204,$G$199)&gt;0)),"",IFERROR(IF(MINIFS(SAISIE!$E$5:$E$204,SAISIE!$B$5:$B$204,"*Vent Av./Arr.*",SAISIE!$F$5:$F$204,$G$199)&gt;=0,MAXIFS(SAISIE!$C$5:$C$204,SAISIE!$B$5:$B$204,"*Vent Av./Arr.*",SAISIE!$F$5:$F$204,$G$199),INDEX(SAISIE!$C$5:$C$204,MATCH(MINIFS(SAISIE!$E$5:$E$204,SAISIE!$B$5:$B$204,"*Vent Av./Arr.*",SAISIE!$F$5:$F$204,$G$199),SAISIE!$E$5:$E$204,0))),"-"))</f>
        <v/>
      </c>
      <c r="C205" s="9">
        <f>IF(OR($G$199="",NOT(COUNTIFS(SAISIE!$B$5:$B$204,"*Vent Av./Arr.*",SAISIE!$F$5:$F$204,$G$199)&gt;0)),"",IFERROR(IF(MINIFS(SAISIE!$E$5:$E$204,SAISIE!$B$5:$B$204,"*Vent Av./Arr.*",SAISIE!$F$5:$F$204,$G$199)&gt;=0,INDEX(SAISIE!$D$5:$D$204,MATCH(MAXIFS(SAISIE!$C$5:$C$204,SAISIE!$B$5:$B$204,"*Vent Av./Arr.*",SAISIE!$F$5:$F$204,$G$199),SAISIE!$C$5:$C$204,0)),INDEX(SAISIE!$D$5:$D$204,MATCH(MINIFS(SAISIE!$E$5:$E$204,SAISIE!$B$5:$B$204,"*Vent Av./Arr.*",SAISIE!$F$5:$F$204,$G$199),SAISIE!$E$5:$E$204,0))),"-"))</f>
        <v/>
      </c>
      <c r="D205" s="9">
        <f>IF(OR($G$199="",NOT(COUNTIFS(SAISIE!$B$5:$B$204,"*Vent Av./Arr.*",SAISIE!$F$5:$F$204,$G$199)&gt;0)),"",IFERROR(IF(MINIFS(SAISIE!$E$5:$E$204,SAISIE!$B$5:$B$204,"*Vent Av./Arr.*",SAISIE!$F$5:$F$204,$G$199)&gt;=0,0,MINIFS(SAISIE!$E$5:$E$204,SAISIE!$B$5:$B$204,"*Vent Av./Arr.*",SAISIE!$F$5:$F$204,$G$199)),"-"))</f>
        <v/>
      </c>
      <c r="E205" s="9">
        <f>IF($G$199="","",IF(OR(D205="",D205="-"),"",IF(D205&gt;0,"(soulevement)",IF(D205&lt;0,"(compression)","-"))))</f>
        <v/>
      </c>
    </row>
    <row r="206">
      <c r="A206" s="8">
        <f>IF(OR($G$199="",NOT(MAXIFS(SAISIE!$E$5:$E$204,SAISIE!$B$5:$B$204,"*Vent Av./Arr.*",SAISIE!$F$5:$F$204,$G$199)&gt;0)),"","Vent Av./Arr.")</f>
        <v/>
      </c>
      <c r="B206" s="9">
        <f>IF(OR($G$199="",NOT(MAXIFS(SAISIE!$E$5:$E$204,SAISIE!$B$5:$B$204,"*Vent Av./Arr.*",SAISIE!$F$5:$F$204,$G$199)&gt;0)),"",IFERROR(INDEX(SAISIE!$C$5:$C$204,MATCH(MAXIFS(SAISIE!$E$5:$E$204,SAISIE!$B$5:$B$204,"*Vent Av./Arr.*",SAISIE!$F$5:$F$204,$G$199),SAISIE!$E$5:$E$204,0)),"-"))</f>
        <v/>
      </c>
      <c r="C206" s="9">
        <f>IF(OR($G$199="",NOT(MAXIFS(SAISIE!$E$5:$E$204,SAISIE!$B$5:$B$204,"*Vent Av./Arr.*",SAISIE!$F$5:$F$204,$G$199)&gt;0)),"",IFERROR(INDEX(SAISIE!$D$5:$D$204,MATCH(MAXIFS(SAISIE!$E$5:$E$204,SAISIE!$B$5:$B$204,"*Vent Av./Arr.*",SAISIE!$F$5:$F$204,$G$199),SAISIE!$E$5:$E$204,0)),"-"))</f>
        <v/>
      </c>
      <c r="D206" s="9">
        <f>IF(OR($G$199="",NOT(MAXIFS(SAISIE!$E$5:$E$204,SAISIE!$B$5:$B$204,"*Vent Av./Arr.*",SAISIE!$F$5:$F$204,$G$199)&gt;0)),"",IFERROR(MAXIFS(SAISIE!$E$5:$E$204,SAISIE!$B$5:$B$204,"*Vent Av./Arr.*",SAISIE!$F$5:$F$204,$G$199),"-"))</f>
        <v/>
      </c>
      <c r="E206" s="9">
        <f>IF($G$199="","",IF(OR(D206="",D206="-"),"",IF(D206&gt;0,"(soulevement)",IF(D206&lt;0,"(compression)","-"))))</f>
        <v/>
      </c>
    </row>
    <row r="207">
      <c r="A207" s="8">
        <f>IF(OR($G$199="",NOT(COUNTIFS(SAISIE!$B$5:$B$204,"*Vent Arr./Av.*",SAISIE!$F$5:$F$204,$G$199)&gt;0)),"","Vent Arr./Av.")</f>
        <v/>
      </c>
      <c r="B207" s="9">
        <f>IF(OR($G$199="",NOT(COUNTIFS(SAISIE!$B$5:$B$204,"*Vent Arr./Av.*",SAISIE!$F$5:$F$204,$G$199)&gt;0)),"",IFERROR(IF(MINIFS(SAISIE!$E$5:$E$204,SAISIE!$B$5:$B$204,"*Vent Arr./Av.*",SAISIE!$F$5:$F$204,$G$199)&gt;=0,MAXIFS(SAISIE!$C$5:$C$204,SAISIE!$B$5:$B$204,"*Vent Arr./Av.*",SAISIE!$F$5:$F$204,$G$199),INDEX(SAISIE!$C$5:$C$204,MATCH(MINIFS(SAISIE!$E$5:$E$204,SAISIE!$B$5:$B$204,"*Vent Arr./Av.*",SAISIE!$F$5:$F$204,$G$199),SAISIE!$E$5:$E$204,0))),"-"))</f>
        <v/>
      </c>
      <c r="C207" s="9">
        <f>IF(OR($G$199="",NOT(COUNTIFS(SAISIE!$B$5:$B$204,"*Vent Arr./Av.*",SAISIE!$F$5:$F$204,$G$199)&gt;0)),"",IFERROR(IF(MINIFS(SAISIE!$E$5:$E$204,SAISIE!$B$5:$B$204,"*Vent Arr./Av.*",SAISIE!$F$5:$F$204,$G$199)&gt;=0,INDEX(SAISIE!$D$5:$D$204,MATCH(MAXIFS(SAISIE!$C$5:$C$204,SAISIE!$B$5:$B$204,"*Vent Arr./Av.*",SAISIE!$F$5:$F$204,$G$199),SAISIE!$C$5:$C$204,0)),INDEX(SAISIE!$D$5:$D$204,MATCH(MINIFS(SAISIE!$E$5:$E$204,SAISIE!$B$5:$B$204,"*Vent Arr./Av.*",SAISIE!$F$5:$F$204,$G$199),SAISIE!$E$5:$E$204,0))),"-"))</f>
        <v/>
      </c>
      <c r="D207" s="9">
        <f>IF(OR($G$199="",NOT(COUNTIFS(SAISIE!$B$5:$B$204,"*Vent Arr./Av.*",SAISIE!$F$5:$F$204,$G$199)&gt;0)),"",IFERROR(IF(MINIFS(SAISIE!$E$5:$E$204,SAISIE!$B$5:$B$204,"*Vent Arr./Av.*",SAISIE!$F$5:$F$204,$G$199)&gt;=0,0,MINIFS(SAISIE!$E$5:$E$204,SAISIE!$B$5:$B$204,"*Vent Arr./Av.*",SAISIE!$F$5:$F$204,$G$199)),"-"))</f>
        <v/>
      </c>
      <c r="E207" s="9">
        <f>IF($G$199="","",IF(OR(D207="",D207="-"),"",IF(D207&gt;0,"(soulevement)",IF(D207&lt;0,"(compression)","-"))))</f>
        <v/>
      </c>
    </row>
    <row r="208">
      <c r="A208" s="8">
        <f>IF(OR($G$199="",NOT(MAXIFS(SAISIE!$E$5:$E$204,SAISIE!$B$5:$B$204,"*Vent Arr./Av.*",SAISIE!$F$5:$F$204,$G$199)&gt;0)),"","Vent Arr./Av.")</f>
        <v/>
      </c>
      <c r="B208" s="9">
        <f>IF(OR($G$199="",NOT(MAXIFS(SAISIE!$E$5:$E$204,SAISIE!$B$5:$B$204,"*Vent Arr./Av.*",SAISIE!$F$5:$F$204,$G$199)&gt;0)),"",IFERROR(INDEX(SAISIE!$C$5:$C$204,MATCH(MAXIFS(SAISIE!$E$5:$E$204,SAISIE!$B$5:$B$204,"*Vent Arr./Av.*",SAISIE!$F$5:$F$204,$G$199),SAISIE!$E$5:$E$204,0)),"-"))</f>
        <v/>
      </c>
      <c r="C208" s="9">
        <f>IF(OR($G$199="",NOT(MAXIFS(SAISIE!$E$5:$E$204,SAISIE!$B$5:$B$204,"*Vent Arr./Av.*",SAISIE!$F$5:$F$204,$G$199)&gt;0)),"",IFERROR(INDEX(SAISIE!$D$5:$D$204,MATCH(MAXIFS(SAISIE!$E$5:$E$204,SAISIE!$B$5:$B$204,"*Vent Arr./Av.*",SAISIE!$F$5:$F$204,$G$199),SAISIE!$E$5:$E$204,0)),"-"))</f>
        <v/>
      </c>
      <c r="D208" s="9">
        <f>IF(OR($G$199="",NOT(MAXIFS(SAISIE!$E$5:$E$204,SAISIE!$B$5:$B$204,"*Vent Arr./Av.*",SAISIE!$F$5:$F$204,$G$199)&gt;0)),"",IFERROR(MAXIFS(SAISIE!$E$5:$E$204,SAISIE!$B$5:$B$204,"*Vent Arr./Av.*",SAISIE!$F$5:$F$204,$G$199),"-"))</f>
        <v/>
      </c>
      <c r="E208" s="9">
        <f>IF($G$199="","",IF(OR(D208="",D208="-"),"",IF(D208&gt;0,"(soulevement)",IF(D208&lt;0,"(compression)","-"))))</f>
        <v/>
      </c>
    </row>
    <row r="209">
      <c r="A209" s="8">
        <f>IF(OR($G$199="",NOT(TRUE)),"","Neige normale")</f>
        <v/>
      </c>
      <c r="B209" s="9">
        <f>IF($G$199="","",IFERROR(INDEX(SAISIE!$C$5:$C$204,MATCH(MINIFS(SAISIE!$E$5:$E$204,SAISIE!$B$5:$B$204,"*Neige*",SAISIE!$B$5:$B$204,"&lt;&gt;*accidentel*",SAISIE!$F$5:$F$204,$G$199),SAISIE!$E$5:$E$204,0)),"-"))</f>
        <v/>
      </c>
      <c r="C209" s="9">
        <f>IF($G$199="","",IFERROR(INDEX(SAISIE!$D$5:$D$204,MATCH(MINIFS(SAISIE!$E$5:$E$204,SAISIE!$B$5:$B$204,"*Neige*",SAISIE!$B$5:$B$204,"&lt;&gt;*accidentel*",SAISIE!$F$5:$F$204,$G$199),SAISIE!$E$5:$E$204,0)),"-"))</f>
        <v/>
      </c>
      <c r="D209" s="9">
        <f>IF($G$199="","",IFERROR(INDEX(SAISIE!$E$5:$E$204,MATCH(MINIFS(SAISIE!$E$5:$E$204,SAISIE!$B$5:$B$204,"*Neige*",SAISIE!$B$5:$B$204,"&lt;&gt;*accidentel*",SAISIE!$F$5:$F$204,$G$199),SAISIE!$E$5:$E$204,0)),"-"))</f>
        <v/>
      </c>
      <c r="E209" s="9">
        <f>IF($G$199="","",IF(OR(D209="",D209="-"),"",IF(D209&gt;0,"(soulevement)",IF(D209&lt;0,"(compression)","-"))))</f>
        <v/>
      </c>
    </row>
    <row r="210">
      <c r="A210" s="8">
        <f>IF(OR($G$199="",NOT(TRUE)),"","Neige accidentelle")</f>
        <v/>
      </c>
      <c r="B210" s="9">
        <f>IF($G$199="","",IFERROR(LOOKUP(2,1/((SAISIE!$F$5:$F$204=$G$199)*(ISNUMBER(SEARCH("accidentel",SAISIE!$B$5:$B$204)))),SAISIE!$C$5:$C$204),"-"))</f>
        <v/>
      </c>
      <c r="C210" s="9">
        <f>IF($G$199="","",IFERROR(LOOKUP(2,1/((SAISIE!$F$5:$F$204=$G$199)*(ISNUMBER(SEARCH("accidentel",SAISIE!$B$5:$B$204)))),SAISIE!$D$5:$D$204),"-"))</f>
        <v/>
      </c>
      <c r="D210" s="9">
        <f>IF($G$199="","",IFERROR(LOOKUP(2,1/((SAISIE!$F$5:$F$204=$G$199)*(ISNUMBER(SEARCH("accidentel",SAISIE!$B$5:$B$204)))),SAISIE!$E$5:$E$204),"-"))</f>
        <v/>
      </c>
      <c r="E210" s="9">
        <f>IF($G$199="","",IF(OR(D210="",D210="-"),"",IF(D210&gt;0,"(soulevement)",IF(D210&lt;0,"(compression)","-"))))</f>
        <v/>
      </c>
    </row>
    <row r="211">
      <c r="A211" s="6">
        <f>IF($G$211="","","Noeud "&amp;$G$211)</f>
        <v/>
      </c>
      <c r="B211" s="7" t="n"/>
      <c r="C211" s="7" t="n"/>
      <c r="D211" s="7" t="n"/>
      <c r="E211" s="7" t="n"/>
      <c r="G211">
        <f>IFERROR(INDEX(SAISIE!$F$5:$F$204,AGGREGATE(15,6,ROW(SAISIE!$F$5:$F$204)-ROW(SAISIE!$F$5)+1/(SAISIE!$F$5:$F$204&lt;&gt;"")/(COUNTIF($G$4:G210,SAISIE!$F$5:$F$204)=0),1)),"")</f>
        <v/>
      </c>
    </row>
    <row r="212">
      <c r="A212" s="8">
        <f>IF(OR($G$211="",NOT(TRUE)),"","Couverture")</f>
        <v/>
      </c>
      <c r="B212" s="9">
        <f>IF($G$211="","",IFERROR(IFERROR(LOOKUP(2,1/((SAISIE!$F$5:$F$204=$G$211)*(LEFT(SAISIE!$B$5:$B$204,2)="G ")),SAISIE!$C$5:$C$204),LOOKUP(2,1/((SAISIE!$F$5:$F$204=$G$211)*(ISNUMBER(SEARCH("Couverture",SAISIE!$B$5:$B$204)))),SAISIE!$C$5:$C$204)),"-"))</f>
        <v/>
      </c>
      <c r="C212" s="9">
        <f>IF($G$211="","",IFERROR(IFERROR(LOOKUP(2,1/((SAISIE!$F$5:$F$204=$G$211)*(LEFT(SAISIE!$B$5:$B$204,2)="G ")),SAISIE!$D$5:$D$204),LOOKUP(2,1/((SAISIE!$F$5:$F$204=$G$211)*(ISNUMBER(SEARCH("Couverture",SAISIE!$B$5:$B$204)))),SAISIE!$D$5:$D$204)),"-"))</f>
        <v/>
      </c>
      <c r="D212" s="9">
        <f>IF($G$211="","",IFERROR(IFERROR(LOOKUP(2,1/((SAISIE!$F$5:$F$204=$G$211)*(LEFT(SAISIE!$B$5:$B$204,2)="G ")),SAISIE!$E$5:$E$204),LOOKUP(2,1/((SAISIE!$F$5:$F$204=$G$211)*(ISNUMBER(SEARCH("Couverture",SAISIE!$B$5:$B$204)))),SAISIE!$E$5:$E$204)),"-"))</f>
        <v/>
      </c>
      <c r="E212" s="9">
        <f>IF($G$211="","",IF(OR(D212="",D212="-"),"",IF(D212&gt;0,"(soulevement)",IF(D212&lt;0,"(compression)","-"))))</f>
        <v/>
      </c>
    </row>
    <row r="213">
      <c r="A213" s="8">
        <f>IF(OR($G$211="",NOT(COUNTIFS(SAISIE!$B$5:$B$204,"*Vent G/D*",SAISIE!$F$5:$F$204,$G$211)&gt;0)),"","Vent G/D")</f>
        <v/>
      </c>
      <c r="B213" s="9">
        <f>IF(OR($G$211="",NOT(COUNTIFS(SAISIE!$B$5:$B$204,"*Vent G/D*",SAISIE!$F$5:$F$204,$G$211)&gt;0)),"",IFERROR(IF(MINIFS(SAISIE!$E$5:$E$204,SAISIE!$B$5:$B$204,"*Vent G/D*",SAISIE!$F$5:$F$204,$G$211)&gt;=0,MAXIFS(SAISIE!$C$5:$C$204,SAISIE!$B$5:$B$204,"*Vent G/D*",SAISIE!$F$5:$F$204,$G$211),INDEX(SAISIE!$C$5:$C$204,MATCH(MINIFS(SAISIE!$E$5:$E$204,SAISIE!$B$5:$B$204,"*Vent G/D*",SAISIE!$F$5:$F$204,$G$211),SAISIE!$E$5:$E$204,0))),"-"))</f>
        <v/>
      </c>
      <c r="C213" s="9">
        <f>IF(OR($G$211="",NOT(COUNTIFS(SAISIE!$B$5:$B$204,"*Vent G/D*",SAISIE!$F$5:$F$204,$G$211)&gt;0)),"",IFERROR(IF(MINIFS(SAISIE!$E$5:$E$204,SAISIE!$B$5:$B$204,"*Vent G/D*",SAISIE!$F$5:$F$204,$G$211)&gt;=0,INDEX(SAISIE!$D$5:$D$204,MATCH(MAXIFS(SAISIE!$C$5:$C$204,SAISIE!$B$5:$B$204,"*Vent G/D*",SAISIE!$F$5:$F$204,$G$211),SAISIE!$C$5:$C$204,0)),INDEX(SAISIE!$D$5:$D$204,MATCH(MINIFS(SAISIE!$E$5:$E$204,SAISIE!$B$5:$B$204,"*Vent G/D*",SAISIE!$F$5:$F$204,$G$211),SAISIE!$E$5:$E$204,0))),"-"))</f>
        <v/>
      </c>
      <c r="D213" s="9">
        <f>IF(OR($G$211="",NOT(COUNTIFS(SAISIE!$B$5:$B$204,"*Vent G/D*",SAISIE!$F$5:$F$204,$G$211)&gt;0)),"",IFERROR(IF(MINIFS(SAISIE!$E$5:$E$204,SAISIE!$B$5:$B$204,"*Vent G/D*",SAISIE!$F$5:$F$204,$G$211)&gt;=0,0,MINIFS(SAISIE!$E$5:$E$204,SAISIE!$B$5:$B$204,"*Vent G/D*",SAISIE!$F$5:$F$204,$G$211)),"-"))</f>
        <v/>
      </c>
      <c r="E213" s="9">
        <f>IF($G$211="","",IF(OR(D213="",D213="-"),"",IF(D213&gt;0,"(soulevement)",IF(D213&lt;0,"(compression)","-"))))</f>
        <v/>
      </c>
    </row>
    <row r="214">
      <c r="A214" s="8">
        <f>IF(OR($G$211="",NOT(MAXIFS(SAISIE!$E$5:$E$204,SAISIE!$B$5:$B$204,"*Vent G/D*",SAISIE!$F$5:$F$204,$G$211)&gt;0)),"","Vent G/D")</f>
        <v/>
      </c>
      <c r="B214" s="9">
        <f>IF(OR($G$211="",NOT(MAXIFS(SAISIE!$E$5:$E$204,SAISIE!$B$5:$B$204,"*Vent G/D*",SAISIE!$F$5:$F$204,$G$211)&gt;0)),"",IFERROR(INDEX(SAISIE!$C$5:$C$204,MATCH(MAXIFS(SAISIE!$E$5:$E$204,SAISIE!$B$5:$B$204,"*Vent G/D*",SAISIE!$F$5:$F$204,$G$211),SAISIE!$E$5:$E$204,0)),"-"))</f>
        <v/>
      </c>
      <c r="C214" s="9">
        <f>IF(OR($G$211="",NOT(MAXIFS(SAISIE!$E$5:$E$204,SAISIE!$B$5:$B$204,"*Vent G/D*",SAISIE!$F$5:$F$204,$G$211)&gt;0)),"",IFERROR(INDEX(SAISIE!$D$5:$D$204,MATCH(MAXIFS(SAISIE!$E$5:$E$204,SAISIE!$B$5:$B$204,"*Vent G/D*",SAISIE!$F$5:$F$204,$G$211),SAISIE!$E$5:$E$204,0)),"-"))</f>
        <v/>
      </c>
      <c r="D214" s="9">
        <f>IF(OR($G$211="",NOT(MAXIFS(SAISIE!$E$5:$E$204,SAISIE!$B$5:$B$204,"*Vent G/D*",SAISIE!$F$5:$F$204,$G$211)&gt;0)),"",IFERROR(MAXIFS(SAISIE!$E$5:$E$204,SAISIE!$B$5:$B$204,"*Vent G/D*",SAISIE!$F$5:$F$204,$G$211),"-"))</f>
        <v/>
      </c>
      <c r="E214" s="9">
        <f>IF($G$211="","",IF(OR(D214="",D214="-"),"",IF(D214&gt;0,"(soulevement)",IF(D214&lt;0,"(compression)","-"))))</f>
        <v/>
      </c>
    </row>
    <row r="215">
      <c r="A215" s="8">
        <f>IF(OR($G$211="",NOT(COUNTIFS(SAISIE!$B$5:$B$204,"*Vent D/G*",SAISIE!$F$5:$F$204,$G$211)&gt;0)),"","Vent D/G")</f>
        <v/>
      </c>
      <c r="B215" s="9">
        <f>IF(OR($G$211="",NOT(COUNTIFS(SAISIE!$B$5:$B$204,"*Vent D/G*",SAISIE!$F$5:$F$204,$G$211)&gt;0)),"",IFERROR(IF(MINIFS(SAISIE!$E$5:$E$204,SAISIE!$B$5:$B$204,"*Vent D/G*",SAISIE!$F$5:$F$204,$G$211)&gt;=0,MAXIFS(SAISIE!$C$5:$C$204,SAISIE!$B$5:$B$204,"*Vent D/G*",SAISIE!$F$5:$F$204,$G$211),INDEX(SAISIE!$C$5:$C$204,MATCH(MINIFS(SAISIE!$E$5:$E$204,SAISIE!$B$5:$B$204,"*Vent D/G*",SAISIE!$F$5:$F$204,$G$211),SAISIE!$E$5:$E$204,0))),"-"))</f>
        <v/>
      </c>
      <c r="C215" s="9">
        <f>IF(OR($G$211="",NOT(COUNTIFS(SAISIE!$B$5:$B$204,"*Vent D/G*",SAISIE!$F$5:$F$204,$G$211)&gt;0)),"",IFERROR(IF(MINIFS(SAISIE!$E$5:$E$204,SAISIE!$B$5:$B$204,"*Vent D/G*",SAISIE!$F$5:$F$204,$G$211)&gt;=0,INDEX(SAISIE!$D$5:$D$204,MATCH(MAXIFS(SAISIE!$C$5:$C$204,SAISIE!$B$5:$B$204,"*Vent D/G*",SAISIE!$F$5:$F$204,$G$211),SAISIE!$C$5:$C$204,0)),INDEX(SAISIE!$D$5:$D$204,MATCH(MINIFS(SAISIE!$E$5:$E$204,SAISIE!$B$5:$B$204,"*Vent D/G*",SAISIE!$F$5:$F$204,$G$211),SAISIE!$E$5:$E$204,0))),"-"))</f>
        <v/>
      </c>
      <c r="D215" s="9">
        <f>IF(OR($G$211="",NOT(COUNTIFS(SAISIE!$B$5:$B$204,"*Vent D/G*",SAISIE!$F$5:$F$204,$G$211)&gt;0)),"",IFERROR(IF(MINIFS(SAISIE!$E$5:$E$204,SAISIE!$B$5:$B$204,"*Vent D/G*",SAISIE!$F$5:$F$204,$G$211)&gt;=0,0,MINIFS(SAISIE!$E$5:$E$204,SAISIE!$B$5:$B$204,"*Vent D/G*",SAISIE!$F$5:$F$204,$G$211)),"-"))</f>
        <v/>
      </c>
      <c r="E215" s="9">
        <f>IF($G$211="","",IF(OR(D215="",D215="-"),"",IF(D215&gt;0,"(soulevement)",IF(D215&lt;0,"(compression)","-"))))</f>
        <v/>
      </c>
    </row>
    <row r="216">
      <c r="A216" s="8">
        <f>IF(OR($G$211="",NOT(MAXIFS(SAISIE!$E$5:$E$204,SAISIE!$B$5:$B$204,"*Vent D/G*",SAISIE!$F$5:$F$204,$G$211)&gt;0)),"","Vent D/G")</f>
        <v/>
      </c>
      <c r="B216" s="9">
        <f>IF(OR($G$211="",NOT(MAXIFS(SAISIE!$E$5:$E$204,SAISIE!$B$5:$B$204,"*Vent D/G*",SAISIE!$F$5:$F$204,$G$211)&gt;0)),"",IFERROR(INDEX(SAISIE!$C$5:$C$204,MATCH(MAXIFS(SAISIE!$E$5:$E$204,SAISIE!$B$5:$B$204,"*Vent D/G*",SAISIE!$F$5:$F$204,$G$211),SAISIE!$E$5:$E$204,0)),"-"))</f>
        <v/>
      </c>
      <c r="C216" s="9">
        <f>IF(OR($G$211="",NOT(MAXIFS(SAISIE!$E$5:$E$204,SAISIE!$B$5:$B$204,"*Vent D/G*",SAISIE!$F$5:$F$204,$G$211)&gt;0)),"",IFERROR(INDEX(SAISIE!$D$5:$D$204,MATCH(MAXIFS(SAISIE!$E$5:$E$204,SAISIE!$B$5:$B$204,"*Vent D/G*",SAISIE!$F$5:$F$204,$G$211),SAISIE!$E$5:$E$204,0)),"-"))</f>
        <v/>
      </c>
      <c r="D216" s="9">
        <f>IF(OR($G$211="",NOT(MAXIFS(SAISIE!$E$5:$E$204,SAISIE!$B$5:$B$204,"*Vent D/G*",SAISIE!$F$5:$F$204,$G$211)&gt;0)),"",IFERROR(MAXIFS(SAISIE!$E$5:$E$204,SAISIE!$B$5:$B$204,"*Vent D/G*",SAISIE!$F$5:$F$204,$G$211),"-"))</f>
        <v/>
      </c>
      <c r="E216" s="9">
        <f>IF($G$211="","",IF(OR(D216="",D216="-"),"",IF(D216&gt;0,"(soulevement)",IF(D216&lt;0,"(compression)","-"))))</f>
        <v/>
      </c>
    </row>
    <row r="217">
      <c r="A217" s="8">
        <f>IF(OR($G$211="",NOT(COUNTIFS(SAISIE!$B$5:$B$204,"*Vent Av./Arr.*",SAISIE!$F$5:$F$204,$G$211)&gt;0)),"","Vent Av./Arr.")</f>
        <v/>
      </c>
      <c r="B217" s="9">
        <f>IF(OR($G$211="",NOT(COUNTIFS(SAISIE!$B$5:$B$204,"*Vent Av./Arr.*",SAISIE!$F$5:$F$204,$G$211)&gt;0)),"",IFERROR(IF(MINIFS(SAISIE!$E$5:$E$204,SAISIE!$B$5:$B$204,"*Vent Av./Arr.*",SAISIE!$F$5:$F$204,$G$211)&gt;=0,MAXIFS(SAISIE!$C$5:$C$204,SAISIE!$B$5:$B$204,"*Vent Av./Arr.*",SAISIE!$F$5:$F$204,$G$211),INDEX(SAISIE!$C$5:$C$204,MATCH(MINIFS(SAISIE!$E$5:$E$204,SAISIE!$B$5:$B$204,"*Vent Av./Arr.*",SAISIE!$F$5:$F$204,$G$211),SAISIE!$E$5:$E$204,0))),"-"))</f>
        <v/>
      </c>
      <c r="C217" s="9">
        <f>IF(OR($G$211="",NOT(COUNTIFS(SAISIE!$B$5:$B$204,"*Vent Av./Arr.*",SAISIE!$F$5:$F$204,$G$211)&gt;0)),"",IFERROR(IF(MINIFS(SAISIE!$E$5:$E$204,SAISIE!$B$5:$B$204,"*Vent Av./Arr.*",SAISIE!$F$5:$F$204,$G$211)&gt;=0,INDEX(SAISIE!$D$5:$D$204,MATCH(MAXIFS(SAISIE!$C$5:$C$204,SAISIE!$B$5:$B$204,"*Vent Av./Arr.*",SAISIE!$F$5:$F$204,$G$211),SAISIE!$C$5:$C$204,0)),INDEX(SAISIE!$D$5:$D$204,MATCH(MINIFS(SAISIE!$E$5:$E$204,SAISIE!$B$5:$B$204,"*Vent Av./Arr.*",SAISIE!$F$5:$F$204,$G$211),SAISIE!$E$5:$E$204,0))),"-"))</f>
        <v/>
      </c>
      <c r="D217" s="9">
        <f>IF(OR($G$211="",NOT(COUNTIFS(SAISIE!$B$5:$B$204,"*Vent Av./Arr.*",SAISIE!$F$5:$F$204,$G$211)&gt;0)),"",IFERROR(IF(MINIFS(SAISIE!$E$5:$E$204,SAISIE!$B$5:$B$204,"*Vent Av./Arr.*",SAISIE!$F$5:$F$204,$G$211)&gt;=0,0,MINIFS(SAISIE!$E$5:$E$204,SAISIE!$B$5:$B$204,"*Vent Av./Arr.*",SAISIE!$F$5:$F$204,$G$211)),"-"))</f>
        <v/>
      </c>
      <c r="E217" s="9">
        <f>IF($G$211="","",IF(OR(D217="",D217="-"),"",IF(D217&gt;0,"(soulevement)",IF(D217&lt;0,"(compression)","-"))))</f>
        <v/>
      </c>
    </row>
    <row r="218">
      <c r="A218" s="8">
        <f>IF(OR($G$211="",NOT(MAXIFS(SAISIE!$E$5:$E$204,SAISIE!$B$5:$B$204,"*Vent Av./Arr.*",SAISIE!$F$5:$F$204,$G$211)&gt;0)),"","Vent Av./Arr.")</f>
        <v/>
      </c>
      <c r="B218" s="9">
        <f>IF(OR($G$211="",NOT(MAXIFS(SAISIE!$E$5:$E$204,SAISIE!$B$5:$B$204,"*Vent Av./Arr.*",SAISIE!$F$5:$F$204,$G$211)&gt;0)),"",IFERROR(INDEX(SAISIE!$C$5:$C$204,MATCH(MAXIFS(SAISIE!$E$5:$E$204,SAISIE!$B$5:$B$204,"*Vent Av./Arr.*",SAISIE!$F$5:$F$204,$G$211),SAISIE!$E$5:$E$204,0)),"-"))</f>
        <v/>
      </c>
      <c r="C218" s="9">
        <f>IF(OR($G$211="",NOT(MAXIFS(SAISIE!$E$5:$E$204,SAISIE!$B$5:$B$204,"*Vent Av./Arr.*",SAISIE!$F$5:$F$204,$G$211)&gt;0)),"",IFERROR(INDEX(SAISIE!$D$5:$D$204,MATCH(MAXIFS(SAISIE!$E$5:$E$204,SAISIE!$B$5:$B$204,"*Vent Av./Arr.*",SAISIE!$F$5:$F$204,$G$211),SAISIE!$E$5:$E$204,0)),"-"))</f>
        <v/>
      </c>
      <c r="D218" s="9">
        <f>IF(OR($G$211="",NOT(MAXIFS(SAISIE!$E$5:$E$204,SAISIE!$B$5:$B$204,"*Vent Av./Arr.*",SAISIE!$F$5:$F$204,$G$211)&gt;0)),"",IFERROR(MAXIFS(SAISIE!$E$5:$E$204,SAISIE!$B$5:$B$204,"*Vent Av./Arr.*",SAISIE!$F$5:$F$204,$G$211),"-"))</f>
        <v/>
      </c>
      <c r="E218" s="9">
        <f>IF($G$211="","",IF(OR(D218="",D218="-"),"",IF(D218&gt;0,"(soulevement)",IF(D218&lt;0,"(compression)","-"))))</f>
        <v/>
      </c>
    </row>
    <row r="219">
      <c r="A219" s="8">
        <f>IF(OR($G$211="",NOT(COUNTIFS(SAISIE!$B$5:$B$204,"*Vent Arr./Av.*",SAISIE!$F$5:$F$204,$G$211)&gt;0)),"","Vent Arr./Av.")</f>
        <v/>
      </c>
      <c r="B219" s="9">
        <f>IF(OR($G$211="",NOT(COUNTIFS(SAISIE!$B$5:$B$204,"*Vent Arr./Av.*",SAISIE!$F$5:$F$204,$G$211)&gt;0)),"",IFERROR(IF(MINIFS(SAISIE!$E$5:$E$204,SAISIE!$B$5:$B$204,"*Vent Arr./Av.*",SAISIE!$F$5:$F$204,$G$211)&gt;=0,MAXIFS(SAISIE!$C$5:$C$204,SAISIE!$B$5:$B$204,"*Vent Arr./Av.*",SAISIE!$F$5:$F$204,$G$211),INDEX(SAISIE!$C$5:$C$204,MATCH(MINIFS(SAISIE!$E$5:$E$204,SAISIE!$B$5:$B$204,"*Vent Arr./Av.*",SAISIE!$F$5:$F$204,$G$211),SAISIE!$E$5:$E$204,0))),"-"))</f>
        <v/>
      </c>
      <c r="C219" s="9">
        <f>IF(OR($G$211="",NOT(COUNTIFS(SAISIE!$B$5:$B$204,"*Vent Arr./Av.*",SAISIE!$F$5:$F$204,$G$211)&gt;0)),"",IFERROR(IF(MINIFS(SAISIE!$E$5:$E$204,SAISIE!$B$5:$B$204,"*Vent Arr./Av.*",SAISIE!$F$5:$F$204,$G$211)&gt;=0,INDEX(SAISIE!$D$5:$D$204,MATCH(MAXIFS(SAISIE!$C$5:$C$204,SAISIE!$B$5:$B$204,"*Vent Arr./Av.*",SAISIE!$F$5:$F$204,$G$211),SAISIE!$C$5:$C$204,0)),INDEX(SAISIE!$D$5:$D$204,MATCH(MINIFS(SAISIE!$E$5:$E$204,SAISIE!$B$5:$B$204,"*Vent Arr./Av.*",SAISIE!$F$5:$F$204,$G$211),SAISIE!$E$5:$E$204,0))),"-"))</f>
        <v/>
      </c>
      <c r="D219" s="9">
        <f>IF(OR($G$211="",NOT(COUNTIFS(SAISIE!$B$5:$B$204,"*Vent Arr./Av.*",SAISIE!$F$5:$F$204,$G$211)&gt;0)),"",IFERROR(IF(MINIFS(SAISIE!$E$5:$E$204,SAISIE!$B$5:$B$204,"*Vent Arr./Av.*",SAISIE!$F$5:$F$204,$G$211)&gt;=0,0,MINIFS(SAISIE!$E$5:$E$204,SAISIE!$B$5:$B$204,"*Vent Arr./Av.*",SAISIE!$F$5:$F$204,$G$211)),"-"))</f>
        <v/>
      </c>
      <c r="E219" s="9">
        <f>IF($G$211="","",IF(OR(D219="",D219="-"),"",IF(D219&gt;0,"(soulevement)",IF(D219&lt;0,"(compression)","-"))))</f>
        <v/>
      </c>
    </row>
    <row r="220">
      <c r="A220" s="8">
        <f>IF(OR($G$211="",NOT(MAXIFS(SAISIE!$E$5:$E$204,SAISIE!$B$5:$B$204,"*Vent Arr./Av.*",SAISIE!$F$5:$F$204,$G$211)&gt;0)),"","Vent Arr./Av.")</f>
        <v/>
      </c>
      <c r="B220" s="9">
        <f>IF(OR($G$211="",NOT(MAXIFS(SAISIE!$E$5:$E$204,SAISIE!$B$5:$B$204,"*Vent Arr./Av.*",SAISIE!$F$5:$F$204,$G$211)&gt;0)),"",IFERROR(INDEX(SAISIE!$C$5:$C$204,MATCH(MAXIFS(SAISIE!$E$5:$E$204,SAISIE!$B$5:$B$204,"*Vent Arr./Av.*",SAISIE!$F$5:$F$204,$G$211),SAISIE!$E$5:$E$204,0)),"-"))</f>
        <v/>
      </c>
      <c r="C220" s="9">
        <f>IF(OR($G$211="",NOT(MAXIFS(SAISIE!$E$5:$E$204,SAISIE!$B$5:$B$204,"*Vent Arr./Av.*",SAISIE!$F$5:$F$204,$G$211)&gt;0)),"",IFERROR(INDEX(SAISIE!$D$5:$D$204,MATCH(MAXIFS(SAISIE!$E$5:$E$204,SAISIE!$B$5:$B$204,"*Vent Arr./Av.*",SAISIE!$F$5:$F$204,$G$211),SAISIE!$E$5:$E$204,0)),"-"))</f>
        <v/>
      </c>
      <c r="D220" s="9">
        <f>IF(OR($G$211="",NOT(MAXIFS(SAISIE!$E$5:$E$204,SAISIE!$B$5:$B$204,"*Vent Arr./Av.*",SAISIE!$F$5:$F$204,$G$211)&gt;0)),"",IFERROR(MAXIFS(SAISIE!$E$5:$E$204,SAISIE!$B$5:$B$204,"*Vent Arr./Av.*",SAISIE!$F$5:$F$204,$G$211),"-"))</f>
        <v/>
      </c>
      <c r="E220" s="9">
        <f>IF($G$211="","",IF(OR(D220="",D220="-"),"",IF(D220&gt;0,"(soulevement)",IF(D220&lt;0,"(compression)","-"))))</f>
        <v/>
      </c>
    </row>
    <row r="221">
      <c r="A221" s="8">
        <f>IF(OR($G$211="",NOT(TRUE)),"","Neige normale")</f>
        <v/>
      </c>
      <c r="B221" s="9">
        <f>IF($G$211="","",IFERROR(INDEX(SAISIE!$C$5:$C$204,MATCH(MINIFS(SAISIE!$E$5:$E$204,SAISIE!$B$5:$B$204,"*Neige*",SAISIE!$B$5:$B$204,"&lt;&gt;*accidentel*",SAISIE!$F$5:$F$204,$G$211),SAISIE!$E$5:$E$204,0)),"-"))</f>
        <v/>
      </c>
      <c r="C221" s="9">
        <f>IF($G$211="","",IFERROR(INDEX(SAISIE!$D$5:$D$204,MATCH(MINIFS(SAISIE!$E$5:$E$204,SAISIE!$B$5:$B$204,"*Neige*",SAISIE!$B$5:$B$204,"&lt;&gt;*accidentel*",SAISIE!$F$5:$F$204,$G$211),SAISIE!$E$5:$E$204,0)),"-"))</f>
        <v/>
      </c>
      <c r="D221" s="9">
        <f>IF($G$211="","",IFERROR(INDEX(SAISIE!$E$5:$E$204,MATCH(MINIFS(SAISIE!$E$5:$E$204,SAISIE!$B$5:$B$204,"*Neige*",SAISIE!$B$5:$B$204,"&lt;&gt;*accidentel*",SAISIE!$F$5:$F$204,$G$211),SAISIE!$E$5:$E$204,0)),"-"))</f>
        <v/>
      </c>
      <c r="E221" s="9">
        <f>IF($G$211="","",IF(OR(D221="",D221="-"),"",IF(D221&gt;0,"(soulevement)",IF(D221&lt;0,"(compression)","-"))))</f>
        <v/>
      </c>
    </row>
    <row r="222">
      <c r="A222" s="8">
        <f>IF(OR($G$211="",NOT(TRUE)),"","Neige accidentelle")</f>
        <v/>
      </c>
      <c r="B222" s="9">
        <f>IF($G$211="","",IFERROR(LOOKUP(2,1/((SAISIE!$F$5:$F$204=$G$211)*(ISNUMBER(SEARCH("accidentel",SAISIE!$B$5:$B$204)))),SAISIE!$C$5:$C$204),"-"))</f>
        <v/>
      </c>
      <c r="C222" s="9">
        <f>IF($G$211="","",IFERROR(LOOKUP(2,1/((SAISIE!$F$5:$F$204=$G$211)*(ISNUMBER(SEARCH("accidentel",SAISIE!$B$5:$B$204)))),SAISIE!$D$5:$D$204),"-"))</f>
        <v/>
      </c>
      <c r="D222" s="9">
        <f>IF($G$211="","",IFERROR(LOOKUP(2,1/((SAISIE!$F$5:$F$204=$G$211)*(ISNUMBER(SEARCH("accidentel",SAISIE!$B$5:$B$204)))),SAISIE!$E$5:$E$204),"-"))</f>
        <v/>
      </c>
      <c r="E222" s="9">
        <f>IF($G$211="","",IF(OR(D222="",D222="-"),"",IF(D222&gt;0,"(soulevement)",IF(D222&lt;0,"(compression)","-"))))</f>
        <v/>
      </c>
    </row>
    <row r="223">
      <c r="A223" s="6">
        <f>IF($G$223="","","Noeud "&amp;$G$223)</f>
        <v/>
      </c>
      <c r="B223" s="7" t="n"/>
      <c r="C223" s="7" t="n"/>
      <c r="D223" s="7" t="n"/>
      <c r="E223" s="7" t="n"/>
      <c r="G223">
        <f>IFERROR(INDEX(SAISIE!$F$5:$F$204,AGGREGATE(15,6,ROW(SAISIE!$F$5:$F$204)-ROW(SAISIE!$F$5)+1/(SAISIE!$F$5:$F$204&lt;&gt;"")/(COUNTIF($G$4:G222,SAISIE!$F$5:$F$204)=0),1)),"")</f>
        <v/>
      </c>
    </row>
    <row r="224">
      <c r="A224" s="8">
        <f>IF(OR($G$223="",NOT(TRUE)),"","Couverture")</f>
        <v/>
      </c>
      <c r="B224" s="9">
        <f>IF($G$223="","",IFERROR(IFERROR(LOOKUP(2,1/((SAISIE!$F$5:$F$204=$G$223)*(LEFT(SAISIE!$B$5:$B$204,2)="G ")),SAISIE!$C$5:$C$204),LOOKUP(2,1/((SAISIE!$F$5:$F$204=$G$223)*(ISNUMBER(SEARCH("Couverture",SAISIE!$B$5:$B$204)))),SAISIE!$C$5:$C$204)),"-"))</f>
        <v/>
      </c>
      <c r="C224" s="9">
        <f>IF($G$223="","",IFERROR(IFERROR(LOOKUP(2,1/((SAISIE!$F$5:$F$204=$G$223)*(LEFT(SAISIE!$B$5:$B$204,2)="G ")),SAISIE!$D$5:$D$204),LOOKUP(2,1/((SAISIE!$F$5:$F$204=$G$223)*(ISNUMBER(SEARCH("Couverture",SAISIE!$B$5:$B$204)))),SAISIE!$D$5:$D$204)),"-"))</f>
        <v/>
      </c>
      <c r="D224" s="9">
        <f>IF($G$223="","",IFERROR(IFERROR(LOOKUP(2,1/((SAISIE!$F$5:$F$204=$G$223)*(LEFT(SAISIE!$B$5:$B$204,2)="G ")),SAISIE!$E$5:$E$204),LOOKUP(2,1/((SAISIE!$F$5:$F$204=$G$223)*(ISNUMBER(SEARCH("Couverture",SAISIE!$B$5:$B$204)))),SAISIE!$E$5:$E$204)),"-"))</f>
        <v/>
      </c>
      <c r="E224" s="9">
        <f>IF($G$223="","",IF(OR(D224="",D224="-"),"",IF(D224&gt;0,"(soulevement)",IF(D224&lt;0,"(compression)","-"))))</f>
        <v/>
      </c>
    </row>
    <row r="225">
      <c r="A225" s="8">
        <f>IF(OR($G$223="",NOT(COUNTIFS(SAISIE!$B$5:$B$204,"*Vent G/D*",SAISIE!$F$5:$F$204,$G$223)&gt;0)),"","Vent G/D")</f>
        <v/>
      </c>
      <c r="B225" s="9">
        <f>IF(OR($G$223="",NOT(COUNTIFS(SAISIE!$B$5:$B$204,"*Vent G/D*",SAISIE!$F$5:$F$204,$G$223)&gt;0)),"",IFERROR(IF(MINIFS(SAISIE!$E$5:$E$204,SAISIE!$B$5:$B$204,"*Vent G/D*",SAISIE!$F$5:$F$204,$G$223)&gt;=0,MAXIFS(SAISIE!$C$5:$C$204,SAISIE!$B$5:$B$204,"*Vent G/D*",SAISIE!$F$5:$F$204,$G$223),INDEX(SAISIE!$C$5:$C$204,MATCH(MINIFS(SAISIE!$E$5:$E$204,SAISIE!$B$5:$B$204,"*Vent G/D*",SAISIE!$F$5:$F$204,$G$223),SAISIE!$E$5:$E$204,0))),"-"))</f>
        <v/>
      </c>
      <c r="C225" s="9">
        <f>IF(OR($G$223="",NOT(COUNTIFS(SAISIE!$B$5:$B$204,"*Vent G/D*",SAISIE!$F$5:$F$204,$G$223)&gt;0)),"",IFERROR(IF(MINIFS(SAISIE!$E$5:$E$204,SAISIE!$B$5:$B$204,"*Vent G/D*",SAISIE!$F$5:$F$204,$G$223)&gt;=0,INDEX(SAISIE!$D$5:$D$204,MATCH(MAXIFS(SAISIE!$C$5:$C$204,SAISIE!$B$5:$B$204,"*Vent G/D*",SAISIE!$F$5:$F$204,$G$223),SAISIE!$C$5:$C$204,0)),INDEX(SAISIE!$D$5:$D$204,MATCH(MINIFS(SAISIE!$E$5:$E$204,SAISIE!$B$5:$B$204,"*Vent G/D*",SAISIE!$F$5:$F$204,$G$223),SAISIE!$E$5:$E$204,0))),"-"))</f>
        <v/>
      </c>
      <c r="D225" s="9">
        <f>IF(OR($G$223="",NOT(COUNTIFS(SAISIE!$B$5:$B$204,"*Vent G/D*",SAISIE!$F$5:$F$204,$G$223)&gt;0)),"",IFERROR(IF(MINIFS(SAISIE!$E$5:$E$204,SAISIE!$B$5:$B$204,"*Vent G/D*",SAISIE!$F$5:$F$204,$G$223)&gt;=0,0,MINIFS(SAISIE!$E$5:$E$204,SAISIE!$B$5:$B$204,"*Vent G/D*",SAISIE!$F$5:$F$204,$G$223)),"-"))</f>
        <v/>
      </c>
      <c r="E225" s="9">
        <f>IF($G$223="","",IF(OR(D225="",D225="-"),"",IF(D225&gt;0,"(soulevement)",IF(D225&lt;0,"(compression)","-"))))</f>
        <v/>
      </c>
    </row>
    <row r="226">
      <c r="A226" s="8">
        <f>IF(OR($G$223="",NOT(MAXIFS(SAISIE!$E$5:$E$204,SAISIE!$B$5:$B$204,"*Vent G/D*",SAISIE!$F$5:$F$204,$G$223)&gt;0)),"","Vent G/D")</f>
        <v/>
      </c>
      <c r="B226" s="9">
        <f>IF(OR($G$223="",NOT(MAXIFS(SAISIE!$E$5:$E$204,SAISIE!$B$5:$B$204,"*Vent G/D*",SAISIE!$F$5:$F$204,$G$223)&gt;0)),"",IFERROR(INDEX(SAISIE!$C$5:$C$204,MATCH(MAXIFS(SAISIE!$E$5:$E$204,SAISIE!$B$5:$B$204,"*Vent G/D*",SAISIE!$F$5:$F$204,$G$223),SAISIE!$E$5:$E$204,0)),"-"))</f>
        <v/>
      </c>
      <c r="C226" s="9">
        <f>IF(OR($G$223="",NOT(MAXIFS(SAISIE!$E$5:$E$204,SAISIE!$B$5:$B$204,"*Vent G/D*",SAISIE!$F$5:$F$204,$G$223)&gt;0)),"",IFERROR(INDEX(SAISIE!$D$5:$D$204,MATCH(MAXIFS(SAISIE!$E$5:$E$204,SAISIE!$B$5:$B$204,"*Vent G/D*",SAISIE!$F$5:$F$204,$G$223),SAISIE!$E$5:$E$204,0)),"-"))</f>
        <v/>
      </c>
      <c r="D226" s="9">
        <f>IF(OR($G$223="",NOT(MAXIFS(SAISIE!$E$5:$E$204,SAISIE!$B$5:$B$204,"*Vent G/D*",SAISIE!$F$5:$F$204,$G$223)&gt;0)),"",IFERROR(MAXIFS(SAISIE!$E$5:$E$204,SAISIE!$B$5:$B$204,"*Vent G/D*",SAISIE!$F$5:$F$204,$G$223),"-"))</f>
        <v/>
      </c>
      <c r="E226" s="9">
        <f>IF($G$223="","",IF(OR(D226="",D226="-"),"",IF(D226&gt;0,"(soulevement)",IF(D226&lt;0,"(compression)","-"))))</f>
        <v/>
      </c>
    </row>
    <row r="227">
      <c r="A227" s="8">
        <f>IF(OR($G$223="",NOT(COUNTIFS(SAISIE!$B$5:$B$204,"*Vent D/G*",SAISIE!$F$5:$F$204,$G$223)&gt;0)),"","Vent D/G")</f>
        <v/>
      </c>
      <c r="B227" s="9">
        <f>IF(OR($G$223="",NOT(COUNTIFS(SAISIE!$B$5:$B$204,"*Vent D/G*",SAISIE!$F$5:$F$204,$G$223)&gt;0)),"",IFERROR(IF(MINIFS(SAISIE!$E$5:$E$204,SAISIE!$B$5:$B$204,"*Vent D/G*",SAISIE!$F$5:$F$204,$G$223)&gt;=0,MAXIFS(SAISIE!$C$5:$C$204,SAISIE!$B$5:$B$204,"*Vent D/G*",SAISIE!$F$5:$F$204,$G$223),INDEX(SAISIE!$C$5:$C$204,MATCH(MINIFS(SAISIE!$E$5:$E$204,SAISIE!$B$5:$B$204,"*Vent D/G*",SAISIE!$F$5:$F$204,$G$223),SAISIE!$E$5:$E$204,0))),"-"))</f>
        <v/>
      </c>
      <c r="C227" s="9">
        <f>IF(OR($G$223="",NOT(COUNTIFS(SAISIE!$B$5:$B$204,"*Vent D/G*",SAISIE!$F$5:$F$204,$G$223)&gt;0)),"",IFERROR(IF(MINIFS(SAISIE!$E$5:$E$204,SAISIE!$B$5:$B$204,"*Vent D/G*",SAISIE!$F$5:$F$204,$G$223)&gt;=0,INDEX(SAISIE!$D$5:$D$204,MATCH(MAXIFS(SAISIE!$C$5:$C$204,SAISIE!$B$5:$B$204,"*Vent D/G*",SAISIE!$F$5:$F$204,$G$223),SAISIE!$C$5:$C$204,0)),INDEX(SAISIE!$D$5:$D$204,MATCH(MINIFS(SAISIE!$E$5:$E$204,SAISIE!$B$5:$B$204,"*Vent D/G*",SAISIE!$F$5:$F$204,$G$223),SAISIE!$E$5:$E$204,0))),"-"))</f>
        <v/>
      </c>
      <c r="D227" s="9">
        <f>IF(OR($G$223="",NOT(COUNTIFS(SAISIE!$B$5:$B$204,"*Vent D/G*",SAISIE!$F$5:$F$204,$G$223)&gt;0)),"",IFERROR(IF(MINIFS(SAISIE!$E$5:$E$204,SAISIE!$B$5:$B$204,"*Vent D/G*",SAISIE!$F$5:$F$204,$G$223)&gt;=0,0,MINIFS(SAISIE!$E$5:$E$204,SAISIE!$B$5:$B$204,"*Vent D/G*",SAISIE!$F$5:$F$204,$G$223)),"-"))</f>
        <v/>
      </c>
      <c r="E227" s="9">
        <f>IF($G$223="","",IF(OR(D227="",D227="-"),"",IF(D227&gt;0,"(soulevement)",IF(D227&lt;0,"(compression)","-"))))</f>
        <v/>
      </c>
    </row>
    <row r="228">
      <c r="A228" s="8">
        <f>IF(OR($G$223="",NOT(MAXIFS(SAISIE!$E$5:$E$204,SAISIE!$B$5:$B$204,"*Vent D/G*",SAISIE!$F$5:$F$204,$G$223)&gt;0)),"","Vent D/G")</f>
        <v/>
      </c>
      <c r="B228" s="9">
        <f>IF(OR($G$223="",NOT(MAXIFS(SAISIE!$E$5:$E$204,SAISIE!$B$5:$B$204,"*Vent D/G*",SAISIE!$F$5:$F$204,$G$223)&gt;0)),"",IFERROR(INDEX(SAISIE!$C$5:$C$204,MATCH(MAXIFS(SAISIE!$E$5:$E$204,SAISIE!$B$5:$B$204,"*Vent D/G*",SAISIE!$F$5:$F$204,$G$223),SAISIE!$E$5:$E$204,0)),"-"))</f>
        <v/>
      </c>
      <c r="C228" s="9">
        <f>IF(OR($G$223="",NOT(MAXIFS(SAISIE!$E$5:$E$204,SAISIE!$B$5:$B$204,"*Vent D/G*",SAISIE!$F$5:$F$204,$G$223)&gt;0)),"",IFERROR(INDEX(SAISIE!$D$5:$D$204,MATCH(MAXIFS(SAISIE!$E$5:$E$204,SAISIE!$B$5:$B$204,"*Vent D/G*",SAISIE!$F$5:$F$204,$G$223),SAISIE!$E$5:$E$204,0)),"-"))</f>
        <v/>
      </c>
      <c r="D228" s="9">
        <f>IF(OR($G$223="",NOT(MAXIFS(SAISIE!$E$5:$E$204,SAISIE!$B$5:$B$204,"*Vent D/G*",SAISIE!$F$5:$F$204,$G$223)&gt;0)),"",IFERROR(MAXIFS(SAISIE!$E$5:$E$204,SAISIE!$B$5:$B$204,"*Vent D/G*",SAISIE!$F$5:$F$204,$G$223),"-"))</f>
        <v/>
      </c>
      <c r="E228" s="9">
        <f>IF($G$223="","",IF(OR(D228="",D228="-"),"",IF(D228&gt;0,"(soulevement)",IF(D228&lt;0,"(compression)","-"))))</f>
        <v/>
      </c>
    </row>
    <row r="229">
      <c r="A229" s="8">
        <f>IF(OR($G$223="",NOT(COUNTIFS(SAISIE!$B$5:$B$204,"*Vent Av./Arr.*",SAISIE!$F$5:$F$204,$G$223)&gt;0)),"","Vent Av./Arr.")</f>
        <v/>
      </c>
      <c r="B229" s="9">
        <f>IF(OR($G$223="",NOT(COUNTIFS(SAISIE!$B$5:$B$204,"*Vent Av./Arr.*",SAISIE!$F$5:$F$204,$G$223)&gt;0)),"",IFERROR(IF(MINIFS(SAISIE!$E$5:$E$204,SAISIE!$B$5:$B$204,"*Vent Av./Arr.*",SAISIE!$F$5:$F$204,$G$223)&gt;=0,MAXIFS(SAISIE!$C$5:$C$204,SAISIE!$B$5:$B$204,"*Vent Av./Arr.*",SAISIE!$F$5:$F$204,$G$223),INDEX(SAISIE!$C$5:$C$204,MATCH(MINIFS(SAISIE!$E$5:$E$204,SAISIE!$B$5:$B$204,"*Vent Av./Arr.*",SAISIE!$F$5:$F$204,$G$223),SAISIE!$E$5:$E$204,0))),"-"))</f>
        <v/>
      </c>
      <c r="C229" s="9">
        <f>IF(OR($G$223="",NOT(COUNTIFS(SAISIE!$B$5:$B$204,"*Vent Av./Arr.*",SAISIE!$F$5:$F$204,$G$223)&gt;0)),"",IFERROR(IF(MINIFS(SAISIE!$E$5:$E$204,SAISIE!$B$5:$B$204,"*Vent Av./Arr.*",SAISIE!$F$5:$F$204,$G$223)&gt;=0,INDEX(SAISIE!$D$5:$D$204,MATCH(MAXIFS(SAISIE!$C$5:$C$204,SAISIE!$B$5:$B$204,"*Vent Av./Arr.*",SAISIE!$F$5:$F$204,$G$223),SAISIE!$C$5:$C$204,0)),INDEX(SAISIE!$D$5:$D$204,MATCH(MINIFS(SAISIE!$E$5:$E$204,SAISIE!$B$5:$B$204,"*Vent Av./Arr.*",SAISIE!$F$5:$F$204,$G$223),SAISIE!$E$5:$E$204,0))),"-"))</f>
        <v/>
      </c>
      <c r="D229" s="9">
        <f>IF(OR($G$223="",NOT(COUNTIFS(SAISIE!$B$5:$B$204,"*Vent Av./Arr.*",SAISIE!$F$5:$F$204,$G$223)&gt;0)),"",IFERROR(IF(MINIFS(SAISIE!$E$5:$E$204,SAISIE!$B$5:$B$204,"*Vent Av./Arr.*",SAISIE!$F$5:$F$204,$G$223)&gt;=0,0,MINIFS(SAISIE!$E$5:$E$204,SAISIE!$B$5:$B$204,"*Vent Av./Arr.*",SAISIE!$F$5:$F$204,$G$223)),"-"))</f>
        <v/>
      </c>
      <c r="E229" s="9">
        <f>IF($G$223="","",IF(OR(D229="",D229="-"),"",IF(D229&gt;0,"(soulevement)",IF(D229&lt;0,"(compression)","-"))))</f>
        <v/>
      </c>
    </row>
    <row r="230">
      <c r="A230" s="8">
        <f>IF(OR($G$223="",NOT(MAXIFS(SAISIE!$E$5:$E$204,SAISIE!$B$5:$B$204,"*Vent Av./Arr.*",SAISIE!$F$5:$F$204,$G$223)&gt;0)),"","Vent Av./Arr.")</f>
        <v/>
      </c>
      <c r="B230" s="9">
        <f>IF(OR($G$223="",NOT(MAXIFS(SAISIE!$E$5:$E$204,SAISIE!$B$5:$B$204,"*Vent Av./Arr.*",SAISIE!$F$5:$F$204,$G$223)&gt;0)),"",IFERROR(INDEX(SAISIE!$C$5:$C$204,MATCH(MAXIFS(SAISIE!$E$5:$E$204,SAISIE!$B$5:$B$204,"*Vent Av./Arr.*",SAISIE!$F$5:$F$204,$G$223),SAISIE!$E$5:$E$204,0)),"-"))</f>
        <v/>
      </c>
      <c r="C230" s="9">
        <f>IF(OR($G$223="",NOT(MAXIFS(SAISIE!$E$5:$E$204,SAISIE!$B$5:$B$204,"*Vent Av./Arr.*",SAISIE!$F$5:$F$204,$G$223)&gt;0)),"",IFERROR(INDEX(SAISIE!$D$5:$D$204,MATCH(MAXIFS(SAISIE!$E$5:$E$204,SAISIE!$B$5:$B$204,"*Vent Av./Arr.*",SAISIE!$F$5:$F$204,$G$223),SAISIE!$E$5:$E$204,0)),"-"))</f>
        <v/>
      </c>
      <c r="D230" s="9">
        <f>IF(OR($G$223="",NOT(MAXIFS(SAISIE!$E$5:$E$204,SAISIE!$B$5:$B$204,"*Vent Av./Arr.*",SAISIE!$F$5:$F$204,$G$223)&gt;0)),"",IFERROR(MAXIFS(SAISIE!$E$5:$E$204,SAISIE!$B$5:$B$204,"*Vent Av./Arr.*",SAISIE!$F$5:$F$204,$G$223),"-"))</f>
        <v/>
      </c>
      <c r="E230" s="9">
        <f>IF($G$223="","",IF(OR(D230="",D230="-"),"",IF(D230&gt;0,"(soulevement)",IF(D230&lt;0,"(compression)","-"))))</f>
        <v/>
      </c>
    </row>
    <row r="231">
      <c r="A231" s="8">
        <f>IF(OR($G$223="",NOT(COUNTIFS(SAISIE!$B$5:$B$204,"*Vent Arr./Av.*",SAISIE!$F$5:$F$204,$G$223)&gt;0)),"","Vent Arr./Av.")</f>
        <v/>
      </c>
      <c r="B231" s="9">
        <f>IF(OR($G$223="",NOT(COUNTIFS(SAISIE!$B$5:$B$204,"*Vent Arr./Av.*",SAISIE!$F$5:$F$204,$G$223)&gt;0)),"",IFERROR(IF(MINIFS(SAISIE!$E$5:$E$204,SAISIE!$B$5:$B$204,"*Vent Arr./Av.*",SAISIE!$F$5:$F$204,$G$223)&gt;=0,MAXIFS(SAISIE!$C$5:$C$204,SAISIE!$B$5:$B$204,"*Vent Arr./Av.*",SAISIE!$F$5:$F$204,$G$223),INDEX(SAISIE!$C$5:$C$204,MATCH(MINIFS(SAISIE!$E$5:$E$204,SAISIE!$B$5:$B$204,"*Vent Arr./Av.*",SAISIE!$F$5:$F$204,$G$223),SAISIE!$E$5:$E$204,0))),"-"))</f>
        <v/>
      </c>
      <c r="C231" s="9">
        <f>IF(OR($G$223="",NOT(COUNTIFS(SAISIE!$B$5:$B$204,"*Vent Arr./Av.*",SAISIE!$F$5:$F$204,$G$223)&gt;0)),"",IFERROR(IF(MINIFS(SAISIE!$E$5:$E$204,SAISIE!$B$5:$B$204,"*Vent Arr./Av.*",SAISIE!$F$5:$F$204,$G$223)&gt;=0,INDEX(SAISIE!$D$5:$D$204,MATCH(MAXIFS(SAISIE!$C$5:$C$204,SAISIE!$B$5:$B$204,"*Vent Arr./Av.*",SAISIE!$F$5:$F$204,$G$223),SAISIE!$C$5:$C$204,0)),INDEX(SAISIE!$D$5:$D$204,MATCH(MINIFS(SAISIE!$E$5:$E$204,SAISIE!$B$5:$B$204,"*Vent Arr./Av.*",SAISIE!$F$5:$F$204,$G$223),SAISIE!$E$5:$E$204,0))),"-"))</f>
        <v/>
      </c>
      <c r="D231" s="9">
        <f>IF(OR($G$223="",NOT(COUNTIFS(SAISIE!$B$5:$B$204,"*Vent Arr./Av.*",SAISIE!$F$5:$F$204,$G$223)&gt;0)),"",IFERROR(IF(MINIFS(SAISIE!$E$5:$E$204,SAISIE!$B$5:$B$204,"*Vent Arr./Av.*",SAISIE!$F$5:$F$204,$G$223)&gt;=0,0,MINIFS(SAISIE!$E$5:$E$204,SAISIE!$B$5:$B$204,"*Vent Arr./Av.*",SAISIE!$F$5:$F$204,$G$223)),"-"))</f>
        <v/>
      </c>
      <c r="E231" s="9">
        <f>IF($G$223="","",IF(OR(D231="",D231="-"),"",IF(D231&gt;0,"(soulevement)",IF(D231&lt;0,"(compression)","-"))))</f>
        <v/>
      </c>
    </row>
    <row r="232">
      <c r="A232" s="8">
        <f>IF(OR($G$223="",NOT(MAXIFS(SAISIE!$E$5:$E$204,SAISIE!$B$5:$B$204,"*Vent Arr./Av.*",SAISIE!$F$5:$F$204,$G$223)&gt;0)),"","Vent Arr./Av.")</f>
        <v/>
      </c>
      <c r="B232" s="9">
        <f>IF(OR($G$223="",NOT(MAXIFS(SAISIE!$E$5:$E$204,SAISIE!$B$5:$B$204,"*Vent Arr./Av.*",SAISIE!$F$5:$F$204,$G$223)&gt;0)),"",IFERROR(INDEX(SAISIE!$C$5:$C$204,MATCH(MAXIFS(SAISIE!$E$5:$E$204,SAISIE!$B$5:$B$204,"*Vent Arr./Av.*",SAISIE!$F$5:$F$204,$G$223),SAISIE!$E$5:$E$204,0)),"-"))</f>
        <v/>
      </c>
      <c r="C232" s="9">
        <f>IF(OR($G$223="",NOT(MAXIFS(SAISIE!$E$5:$E$204,SAISIE!$B$5:$B$204,"*Vent Arr./Av.*",SAISIE!$F$5:$F$204,$G$223)&gt;0)),"",IFERROR(INDEX(SAISIE!$D$5:$D$204,MATCH(MAXIFS(SAISIE!$E$5:$E$204,SAISIE!$B$5:$B$204,"*Vent Arr./Av.*",SAISIE!$F$5:$F$204,$G$223),SAISIE!$E$5:$E$204,0)),"-"))</f>
        <v/>
      </c>
      <c r="D232" s="9">
        <f>IF(OR($G$223="",NOT(MAXIFS(SAISIE!$E$5:$E$204,SAISIE!$B$5:$B$204,"*Vent Arr./Av.*",SAISIE!$F$5:$F$204,$G$223)&gt;0)),"",IFERROR(MAXIFS(SAISIE!$E$5:$E$204,SAISIE!$B$5:$B$204,"*Vent Arr./Av.*",SAISIE!$F$5:$F$204,$G$223),"-"))</f>
        <v/>
      </c>
      <c r="E232" s="9">
        <f>IF($G$223="","",IF(OR(D232="",D232="-"),"",IF(D232&gt;0,"(soulevement)",IF(D232&lt;0,"(compression)","-"))))</f>
        <v/>
      </c>
    </row>
    <row r="233">
      <c r="A233" s="8">
        <f>IF(OR($G$223="",NOT(TRUE)),"","Neige normale")</f>
        <v/>
      </c>
      <c r="B233" s="9">
        <f>IF($G$223="","",IFERROR(INDEX(SAISIE!$C$5:$C$204,MATCH(MINIFS(SAISIE!$E$5:$E$204,SAISIE!$B$5:$B$204,"*Neige*",SAISIE!$B$5:$B$204,"&lt;&gt;*accidentel*",SAISIE!$F$5:$F$204,$G$223),SAISIE!$E$5:$E$204,0)),"-"))</f>
        <v/>
      </c>
      <c r="C233" s="9">
        <f>IF($G$223="","",IFERROR(INDEX(SAISIE!$D$5:$D$204,MATCH(MINIFS(SAISIE!$E$5:$E$204,SAISIE!$B$5:$B$204,"*Neige*",SAISIE!$B$5:$B$204,"&lt;&gt;*accidentel*",SAISIE!$F$5:$F$204,$G$223),SAISIE!$E$5:$E$204,0)),"-"))</f>
        <v/>
      </c>
      <c r="D233" s="9">
        <f>IF($G$223="","",IFERROR(INDEX(SAISIE!$E$5:$E$204,MATCH(MINIFS(SAISIE!$E$5:$E$204,SAISIE!$B$5:$B$204,"*Neige*",SAISIE!$B$5:$B$204,"&lt;&gt;*accidentel*",SAISIE!$F$5:$F$204,$G$223),SAISIE!$E$5:$E$204,0)),"-"))</f>
        <v/>
      </c>
      <c r="E233" s="9">
        <f>IF($G$223="","",IF(OR(D233="",D233="-"),"",IF(D233&gt;0,"(soulevement)",IF(D233&lt;0,"(compression)","-"))))</f>
        <v/>
      </c>
    </row>
    <row r="234">
      <c r="A234" s="8">
        <f>IF(OR($G$223="",NOT(TRUE)),"","Neige accidentelle")</f>
        <v/>
      </c>
      <c r="B234" s="9">
        <f>IF($G$223="","",IFERROR(LOOKUP(2,1/((SAISIE!$F$5:$F$204=$G$223)*(ISNUMBER(SEARCH("accidentel",SAISIE!$B$5:$B$204)))),SAISIE!$C$5:$C$204),"-"))</f>
        <v/>
      </c>
      <c r="C234" s="9">
        <f>IF($G$223="","",IFERROR(LOOKUP(2,1/((SAISIE!$F$5:$F$204=$G$223)*(ISNUMBER(SEARCH("accidentel",SAISIE!$B$5:$B$204)))),SAISIE!$D$5:$D$204),"-"))</f>
        <v/>
      </c>
      <c r="D234" s="9">
        <f>IF($G$223="","",IFERROR(LOOKUP(2,1/((SAISIE!$F$5:$F$204=$G$223)*(ISNUMBER(SEARCH("accidentel",SAISIE!$B$5:$B$204)))),SAISIE!$E$5:$E$204),"-"))</f>
        <v/>
      </c>
      <c r="E234" s="9">
        <f>IF($G$223="","",IF(OR(D234="",D234="-"),"",IF(D234&gt;0,"(soulevement)",IF(D234&lt;0,"(compression)","-"))))</f>
        <v/>
      </c>
    </row>
    <row r="235">
      <c r="A235" s="6">
        <f>IF($G$235="","","Noeud "&amp;$G$235)</f>
        <v/>
      </c>
      <c r="B235" s="7" t="n"/>
      <c r="C235" s="7" t="n"/>
      <c r="D235" s="7" t="n"/>
      <c r="E235" s="7" t="n"/>
      <c r="G235">
        <f>IFERROR(INDEX(SAISIE!$F$5:$F$204,AGGREGATE(15,6,ROW(SAISIE!$F$5:$F$204)-ROW(SAISIE!$F$5)+1/(SAISIE!$F$5:$F$204&lt;&gt;"")/(COUNTIF($G$4:G234,SAISIE!$F$5:$F$204)=0),1)),"")</f>
        <v/>
      </c>
    </row>
    <row r="236">
      <c r="A236" s="8">
        <f>IF(OR($G$235="",NOT(TRUE)),"","Couverture")</f>
        <v/>
      </c>
      <c r="B236" s="9">
        <f>IF($G$235="","",IFERROR(IFERROR(LOOKUP(2,1/((SAISIE!$F$5:$F$204=$G$235)*(LEFT(SAISIE!$B$5:$B$204,2)="G ")),SAISIE!$C$5:$C$204),LOOKUP(2,1/((SAISIE!$F$5:$F$204=$G$235)*(ISNUMBER(SEARCH("Couverture",SAISIE!$B$5:$B$204)))),SAISIE!$C$5:$C$204)),"-"))</f>
        <v/>
      </c>
      <c r="C236" s="9">
        <f>IF($G$235="","",IFERROR(IFERROR(LOOKUP(2,1/((SAISIE!$F$5:$F$204=$G$235)*(LEFT(SAISIE!$B$5:$B$204,2)="G ")),SAISIE!$D$5:$D$204),LOOKUP(2,1/((SAISIE!$F$5:$F$204=$G$235)*(ISNUMBER(SEARCH("Couverture",SAISIE!$B$5:$B$204)))),SAISIE!$D$5:$D$204)),"-"))</f>
        <v/>
      </c>
      <c r="D236" s="9">
        <f>IF($G$235="","",IFERROR(IFERROR(LOOKUP(2,1/((SAISIE!$F$5:$F$204=$G$235)*(LEFT(SAISIE!$B$5:$B$204,2)="G ")),SAISIE!$E$5:$E$204),LOOKUP(2,1/((SAISIE!$F$5:$F$204=$G$235)*(ISNUMBER(SEARCH("Couverture",SAISIE!$B$5:$B$204)))),SAISIE!$E$5:$E$204)),"-"))</f>
        <v/>
      </c>
      <c r="E236" s="9">
        <f>IF($G$235="","",IF(OR(D236="",D236="-"),"",IF(D236&gt;0,"(soulevement)",IF(D236&lt;0,"(compression)","-"))))</f>
        <v/>
      </c>
    </row>
    <row r="237">
      <c r="A237" s="8">
        <f>IF(OR($G$235="",NOT(COUNTIFS(SAISIE!$B$5:$B$204,"*Vent G/D*",SAISIE!$F$5:$F$204,$G$235)&gt;0)),"","Vent G/D")</f>
        <v/>
      </c>
      <c r="B237" s="9">
        <f>IF(OR($G$235="",NOT(COUNTIFS(SAISIE!$B$5:$B$204,"*Vent G/D*",SAISIE!$F$5:$F$204,$G$235)&gt;0)),"",IFERROR(IF(MINIFS(SAISIE!$E$5:$E$204,SAISIE!$B$5:$B$204,"*Vent G/D*",SAISIE!$F$5:$F$204,$G$235)&gt;=0,MAXIFS(SAISIE!$C$5:$C$204,SAISIE!$B$5:$B$204,"*Vent G/D*",SAISIE!$F$5:$F$204,$G$235),INDEX(SAISIE!$C$5:$C$204,MATCH(MINIFS(SAISIE!$E$5:$E$204,SAISIE!$B$5:$B$204,"*Vent G/D*",SAISIE!$F$5:$F$204,$G$235),SAISIE!$E$5:$E$204,0))),"-"))</f>
        <v/>
      </c>
      <c r="C237" s="9">
        <f>IF(OR($G$235="",NOT(COUNTIFS(SAISIE!$B$5:$B$204,"*Vent G/D*",SAISIE!$F$5:$F$204,$G$235)&gt;0)),"",IFERROR(IF(MINIFS(SAISIE!$E$5:$E$204,SAISIE!$B$5:$B$204,"*Vent G/D*",SAISIE!$F$5:$F$204,$G$235)&gt;=0,INDEX(SAISIE!$D$5:$D$204,MATCH(MAXIFS(SAISIE!$C$5:$C$204,SAISIE!$B$5:$B$204,"*Vent G/D*",SAISIE!$F$5:$F$204,$G$235),SAISIE!$C$5:$C$204,0)),INDEX(SAISIE!$D$5:$D$204,MATCH(MINIFS(SAISIE!$E$5:$E$204,SAISIE!$B$5:$B$204,"*Vent G/D*",SAISIE!$F$5:$F$204,$G$235),SAISIE!$E$5:$E$204,0))),"-"))</f>
        <v/>
      </c>
      <c r="D237" s="9">
        <f>IF(OR($G$235="",NOT(COUNTIFS(SAISIE!$B$5:$B$204,"*Vent G/D*",SAISIE!$F$5:$F$204,$G$235)&gt;0)),"",IFERROR(IF(MINIFS(SAISIE!$E$5:$E$204,SAISIE!$B$5:$B$204,"*Vent G/D*",SAISIE!$F$5:$F$204,$G$235)&gt;=0,0,MINIFS(SAISIE!$E$5:$E$204,SAISIE!$B$5:$B$204,"*Vent G/D*",SAISIE!$F$5:$F$204,$G$235)),"-"))</f>
        <v/>
      </c>
      <c r="E237" s="9">
        <f>IF($G$235="","",IF(OR(D237="",D237="-"),"",IF(D237&gt;0,"(soulevement)",IF(D237&lt;0,"(compression)","-"))))</f>
        <v/>
      </c>
    </row>
    <row r="238">
      <c r="A238" s="8">
        <f>IF(OR($G$235="",NOT(MAXIFS(SAISIE!$E$5:$E$204,SAISIE!$B$5:$B$204,"*Vent G/D*",SAISIE!$F$5:$F$204,$G$235)&gt;0)),"","Vent G/D")</f>
        <v/>
      </c>
      <c r="B238" s="9">
        <f>IF(OR($G$235="",NOT(MAXIFS(SAISIE!$E$5:$E$204,SAISIE!$B$5:$B$204,"*Vent G/D*",SAISIE!$F$5:$F$204,$G$235)&gt;0)),"",IFERROR(INDEX(SAISIE!$C$5:$C$204,MATCH(MAXIFS(SAISIE!$E$5:$E$204,SAISIE!$B$5:$B$204,"*Vent G/D*",SAISIE!$F$5:$F$204,$G$235),SAISIE!$E$5:$E$204,0)),"-"))</f>
        <v/>
      </c>
      <c r="C238" s="9">
        <f>IF(OR($G$235="",NOT(MAXIFS(SAISIE!$E$5:$E$204,SAISIE!$B$5:$B$204,"*Vent G/D*",SAISIE!$F$5:$F$204,$G$235)&gt;0)),"",IFERROR(INDEX(SAISIE!$D$5:$D$204,MATCH(MAXIFS(SAISIE!$E$5:$E$204,SAISIE!$B$5:$B$204,"*Vent G/D*",SAISIE!$F$5:$F$204,$G$235),SAISIE!$E$5:$E$204,0)),"-"))</f>
        <v/>
      </c>
      <c r="D238" s="9">
        <f>IF(OR($G$235="",NOT(MAXIFS(SAISIE!$E$5:$E$204,SAISIE!$B$5:$B$204,"*Vent G/D*",SAISIE!$F$5:$F$204,$G$235)&gt;0)),"",IFERROR(MAXIFS(SAISIE!$E$5:$E$204,SAISIE!$B$5:$B$204,"*Vent G/D*",SAISIE!$F$5:$F$204,$G$235),"-"))</f>
        <v/>
      </c>
      <c r="E238" s="9">
        <f>IF($G$235="","",IF(OR(D238="",D238="-"),"",IF(D238&gt;0,"(soulevement)",IF(D238&lt;0,"(compression)","-"))))</f>
        <v/>
      </c>
    </row>
    <row r="239">
      <c r="A239" s="8">
        <f>IF(OR($G$235="",NOT(COUNTIFS(SAISIE!$B$5:$B$204,"*Vent D/G*",SAISIE!$F$5:$F$204,$G$235)&gt;0)),"","Vent D/G")</f>
        <v/>
      </c>
      <c r="B239" s="9">
        <f>IF(OR($G$235="",NOT(COUNTIFS(SAISIE!$B$5:$B$204,"*Vent D/G*",SAISIE!$F$5:$F$204,$G$235)&gt;0)),"",IFERROR(IF(MINIFS(SAISIE!$E$5:$E$204,SAISIE!$B$5:$B$204,"*Vent D/G*",SAISIE!$F$5:$F$204,$G$235)&gt;=0,MAXIFS(SAISIE!$C$5:$C$204,SAISIE!$B$5:$B$204,"*Vent D/G*",SAISIE!$F$5:$F$204,$G$235),INDEX(SAISIE!$C$5:$C$204,MATCH(MINIFS(SAISIE!$E$5:$E$204,SAISIE!$B$5:$B$204,"*Vent D/G*",SAISIE!$F$5:$F$204,$G$235),SAISIE!$E$5:$E$204,0))),"-"))</f>
        <v/>
      </c>
      <c r="C239" s="9">
        <f>IF(OR($G$235="",NOT(COUNTIFS(SAISIE!$B$5:$B$204,"*Vent D/G*",SAISIE!$F$5:$F$204,$G$235)&gt;0)),"",IFERROR(IF(MINIFS(SAISIE!$E$5:$E$204,SAISIE!$B$5:$B$204,"*Vent D/G*",SAISIE!$F$5:$F$204,$G$235)&gt;=0,INDEX(SAISIE!$D$5:$D$204,MATCH(MAXIFS(SAISIE!$C$5:$C$204,SAISIE!$B$5:$B$204,"*Vent D/G*",SAISIE!$F$5:$F$204,$G$235),SAISIE!$C$5:$C$204,0)),INDEX(SAISIE!$D$5:$D$204,MATCH(MINIFS(SAISIE!$E$5:$E$204,SAISIE!$B$5:$B$204,"*Vent D/G*",SAISIE!$F$5:$F$204,$G$235),SAISIE!$E$5:$E$204,0))),"-"))</f>
        <v/>
      </c>
      <c r="D239" s="9">
        <f>IF(OR($G$235="",NOT(COUNTIFS(SAISIE!$B$5:$B$204,"*Vent D/G*",SAISIE!$F$5:$F$204,$G$235)&gt;0)),"",IFERROR(IF(MINIFS(SAISIE!$E$5:$E$204,SAISIE!$B$5:$B$204,"*Vent D/G*",SAISIE!$F$5:$F$204,$G$235)&gt;=0,0,MINIFS(SAISIE!$E$5:$E$204,SAISIE!$B$5:$B$204,"*Vent D/G*",SAISIE!$F$5:$F$204,$G$235)),"-"))</f>
        <v/>
      </c>
      <c r="E239" s="9">
        <f>IF($G$235="","",IF(OR(D239="",D239="-"),"",IF(D239&gt;0,"(soulevement)",IF(D239&lt;0,"(compression)","-"))))</f>
        <v/>
      </c>
    </row>
    <row r="240">
      <c r="A240" s="8">
        <f>IF(OR($G$235="",NOT(MAXIFS(SAISIE!$E$5:$E$204,SAISIE!$B$5:$B$204,"*Vent D/G*",SAISIE!$F$5:$F$204,$G$235)&gt;0)),"","Vent D/G")</f>
        <v/>
      </c>
      <c r="B240" s="9">
        <f>IF(OR($G$235="",NOT(MAXIFS(SAISIE!$E$5:$E$204,SAISIE!$B$5:$B$204,"*Vent D/G*",SAISIE!$F$5:$F$204,$G$235)&gt;0)),"",IFERROR(INDEX(SAISIE!$C$5:$C$204,MATCH(MAXIFS(SAISIE!$E$5:$E$204,SAISIE!$B$5:$B$204,"*Vent D/G*",SAISIE!$F$5:$F$204,$G$235),SAISIE!$E$5:$E$204,0)),"-"))</f>
        <v/>
      </c>
      <c r="C240" s="9">
        <f>IF(OR($G$235="",NOT(MAXIFS(SAISIE!$E$5:$E$204,SAISIE!$B$5:$B$204,"*Vent D/G*",SAISIE!$F$5:$F$204,$G$235)&gt;0)),"",IFERROR(INDEX(SAISIE!$D$5:$D$204,MATCH(MAXIFS(SAISIE!$E$5:$E$204,SAISIE!$B$5:$B$204,"*Vent D/G*",SAISIE!$F$5:$F$204,$G$235),SAISIE!$E$5:$E$204,0)),"-"))</f>
        <v/>
      </c>
      <c r="D240" s="9">
        <f>IF(OR($G$235="",NOT(MAXIFS(SAISIE!$E$5:$E$204,SAISIE!$B$5:$B$204,"*Vent D/G*",SAISIE!$F$5:$F$204,$G$235)&gt;0)),"",IFERROR(MAXIFS(SAISIE!$E$5:$E$204,SAISIE!$B$5:$B$204,"*Vent D/G*",SAISIE!$F$5:$F$204,$G$235),"-"))</f>
        <v/>
      </c>
      <c r="E240" s="9">
        <f>IF($G$235="","",IF(OR(D240="",D240="-"),"",IF(D240&gt;0,"(soulevement)",IF(D240&lt;0,"(compression)","-"))))</f>
        <v/>
      </c>
    </row>
    <row r="241">
      <c r="A241" s="8">
        <f>IF(OR($G$235="",NOT(COUNTIFS(SAISIE!$B$5:$B$204,"*Vent Av./Arr.*",SAISIE!$F$5:$F$204,$G$235)&gt;0)),"","Vent Av./Arr.")</f>
        <v/>
      </c>
      <c r="B241" s="9">
        <f>IF(OR($G$235="",NOT(COUNTIFS(SAISIE!$B$5:$B$204,"*Vent Av./Arr.*",SAISIE!$F$5:$F$204,$G$235)&gt;0)),"",IFERROR(IF(MINIFS(SAISIE!$E$5:$E$204,SAISIE!$B$5:$B$204,"*Vent Av./Arr.*",SAISIE!$F$5:$F$204,$G$235)&gt;=0,MAXIFS(SAISIE!$C$5:$C$204,SAISIE!$B$5:$B$204,"*Vent Av./Arr.*",SAISIE!$F$5:$F$204,$G$235),INDEX(SAISIE!$C$5:$C$204,MATCH(MINIFS(SAISIE!$E$5:$E$204,SAISIE!$B$5:$B$204,"*Vent Av./Arr.*",SAISIE!$F$5:$F$204,$G$235),SAISIE!$E$5:$E$204,0))),"-"))</f>
        <v/>
      </c>
      <c r="C241" s="9">
        <f>IF(OR($G$235="",NOT(COUNTIFS(SAISIE!$B$5:$B$204,"*Vent Av./Arr.*",SAISIE!$F$5:$F$204,$G$235)&gt;0)),"",IFERROR(IF(MINIFS(SAISIE!$E$5:$E$204,SAISIE!$B$5:$B$204,"*Vent Av./Arr.*",SAISIE!$F$5:$F$204,$G$235)&gt;=0,INDEX(SAISIE!$D$5:$D$204,MATCH(MAXIFS(SAISIE!$C$5:$C$204,SAISIE!$B$5:$B$204,"*Vent Av./Arr.*",SAISIE!$F$5:$F$204,$G$235),SAISIE!$C$5:$C$204,0)),INDEX(SAISIE!$D$5:$D$204,MATCH(MINIFS(SAISIE!$E$5:$E$204,SAISIE!$B$5:$B$204,"*Vent Av./Arr.*",SAISIE!$F$5:$F$204,$G$235),SAISIE!$E$5:$E$204,0))),"-"))</f>
        <v/>
      </c>
      <c r="D241" s="9">
        <f>IF(OR($G$235="",NOT(COUNTIFS(SAISIE!$B$5:$B$204,"*Vent Av./Arr.*",SAISIE!$F$5:$F$204,$G$235)&gt;0)),"",IFERROR(IF(MINIFS(SAISIE!$E$5:$E$204,SAISIE!$B$5:$B$204,"*Vent Av./Arr.*",SAISIE!$F$5:$F$204,$G$235)&gt;=0,0,MINIFS(SAISIE!$E$5:$E$204,SAISIE!$B$5:$B$204,"*Vent Av./Arr.*",SAISIE!$F$5:$F$204,$G$235)),"-"))</f>
        <v/>
      </c>
      <c r="E241" s="9">
        <f>IF($G$235="","",IF(OR(D241="",D241="-"),"",IF(D241&gt;0,"(soulevement)",IF(D241&lt;0,"(compression)","-"))))</f>
        <v/>
      </c>
    </row>
    <row r="242">
      <c r="A242" s="8">
        <f>IF(OR($G$235="",NOT(MAXIFS(SAISIE!$E$5:$E$204,SAISIE!$B$5:$B$204,"*Vent Av./Arr.*",SAISIE!$F$5:$F$204,$G$235)&gt;0)),"","Vent Av./Arr.")</f>
        <v/>
      </c>
      <c r="B242" s="9">
        <f>IF(OR($G$235="",NOT(MAXIFS(SAISIE!$E$5:$E$204,SAISIE!$B$5:$B$204,"*Vent Av./Arr.*",SAISIE!$F$5:$F$204,$G$235)&gt;0)),"",IFERROR(INDEX(SAISIE!$C$5:$C$204,MATCH(MAXIFS(SAISIE!$E$5:$E$204,SAISIE!$B$5:$B$204,"*Vent Av./Arr.*",SAISIE!$F$5:$F$204,$G$235),SAISIE!$E$5:$E$204,0)),"-"))</f>
        <v/>
      </c>
      <c r="C242" s="9">
        <f>IF(OR($G$235="",NOT(MAXIFS(SAISIE!$E$5:$E$204,SAISIE!$B$5:$B$204,"*Vent Av./Arr.*",SAISIE!$F$5:$F$204,$G$235)&gt;0)),"",IFERROR(INDEX(SAISIE!$D$5:$D$204,MATCH(MAXIFS(SAISIE!$E$5:$E$204,SAISIE!$B$5:$B$204,"*Vent Av./Arr.*",SAISIE!$F$5:$F$204,$G$235),SAISIE!$E$5:$E$204,0)),"-"))</f>
        <v/>
      </c>
      <c r="D242" s="9">
        <f>IF(OR($G$235="",NOT(MAXIFS(SAISIE!$E$5:$E$204,SAISIE!$B$5:$B$204,"*Vent Av./Arr.*",SAISIE!$F$5:$F$204,$G$235)&gt;0)),"",IFERROR(MAXIFS(SAISIE!$E$5:$E$204,SAISIE!$B$5:$B$204,"*Vent Av./Arr.*",SAISIE!$F$5:$F$204,$G$235),"-"))</f>
        <v/>
      </c>
      <c r="E242" s="9">
        <f>IF($G$235="","",IF(OR(D242="",D242="-"),"",IF(D242&gt;0,"(soulevement)",IF(D242&lt;0,"(compression)","-"))))</f>
        <v/>
      </c>
    </row>
    <row r="243">
      <c r="A243" s="8">
        <f>IF(OR($G$235="",NOT(COUNTIFS(SAISIE!$B$5:$B$204,"*Vent Arr./Av.*",SAISIE!$F$5:$F$204,$G$235)&gt;0)),"","Vent Arr./Av.")</f>
        <v/>
      </c>
      <c r="B243" s="9">
        <f>IF(OR($G$235="",NOT(COUNTIFS(SAISIE!$B$5:$B$204,"*Vent Arr./Av.*",SAISIE!$F$5:$F$204,$G$235)&gt;0)),"",IFERROR(IF(MINIFS(SAISIE!$E$5:$E$204,SAISIE!$B$5:$B$204,"*Vent Arr./Av.*",SAISIE!$F$5:$F$204,$G$235)&gt;=0,MAXIFS(SAISIE!$C$5:$C$204,SAISIE!$B$5:$B$204,"*Vent Arr./Av.*",SAISIE!$F$5:$F$204,$G$235),INDEX(SAISIE!$C$5:$C$204,MATCH(MINIFS(SAISIE!$E$5:$E$204,SAISIE!$B$5:$B$204,"*Vent Arr./Av.*",SAISIE!$F$5:$F$204,$G$235),SAISIE!$E$5:$E$204,0))),"-"))</f>
        <v/>
      </c>
      <c r="C243" s="9">
        <f>IF(OR($G$235="",NOT(COUNTIFS(SAISIE!$B$5:$B$204,"*Vent Arr./Av.*",SAISIE!$F$5:$F$204,$G$235)&gt;0)),"",IFERROR(IF(MINIFS(SAISIE!$E$5:$E$204,SAISIE!$B$5:$B$204,"*Vent Arr./Av.*",SAISIE!$F$5:$F$204,$G$235)&gt;=0,INDEX(SAISIE!$D$5:$D$204,MATCH(MAXIFS(SAISIE!$C$5:$C$204,SAISIE!$B$5:$B$204,"*Vent Arr./Av.*",SAISIE!$F$5:$F$204,$G$235),SAISIE!$C$5:$C$204,0)),INDEX(SAISIE!$D$5:$D$204,MATCH(MINIFS(SAISIE!$E$5:$E$204,SAISIE!$B$5:$B$204,"*Vent Arr./Av.*",SAISIE!$F$5:$F$204,$G$235),SAISIE!$E$5:$E$204,0))),"-"))</f>
        <v/>
      </c>
      <c r="D243" s="9">
        <f>IF(OR($G$235="",NOT(COUNTIFS(SAISIE!$B$5:$B$204,"*Vent Arr./Av.*",SAISIE!$F$5:$F$204,$G$235)&gt;0)),"",IFERROR(IF(MINIFS(SAISIE!$E$5:$E$204,SAISIE!$B$5:$B$204,"*Vent Arr./Av.*",SAISIE!$F$5:$F$204,$G$235)&gt;=0,0,MINIFS(SAISIE!$E$5:$E$204,SAISIE!$B$5:$B$204,"*Vent Arr./Av.*",SAISIE!$F$5:$F$204,$G$235)),"-"))</f>
        <v/>
      </c>
      <c r="E243" s="9">
        <f>IF($G$235="","",IF(OR(D243="",D243="-"),"",IF(D243&gt;0,"(soulevement)",IF(D243&lt;0,"(compression)","-"))))</f>
        <v/>
      </c>
    </row>
    <row r="244">
      <c r="A244" s="8">
        <f>IF(OR($G$235="",NOT(MAXIFS(SAISIE!$E$5:$E$204,SAISIE!$B$5:$B$204,"*Vent Arr./Av.*",SAISIE!$F$5:$F$204,$G$235)&gt;0)),"","Vent Arr./Av.")</f>
        <v/>
      </c>
      <c r="B244" s="9">
        <f>IF(OR($G$235="",NOT(MAXIFS(SAISIE!$E$5:$E$204,SAISIE!$B$5:$B$204,"*Vent Arr./Av.*",SAISIE!$F$5:$F$204,$G$235)&gt;0)),"",IFERROR(INDEX(SAISIE!$C$5:$C$204,MATCH(MAXIFS(SAISIE!$E$5:$E$204,SAISIE!$B$5:$B$204,"*Vent Arr./Av.*",SAISIE!$F$5:$F$204,$G$235),SAISIE!$E$5:$E$204,0)),"-"))</f>
        <v/>
      </c>
      <c r="C244" s="9">
        <f>IF(OR($G$235="",NOT(MAXIFS(SAISIE!$E$5:$E$204,SAISIE!$B$5:$B$204,"*Vent Arr./Av.*",SAISIE!$F$5:$F$204,$G$235)&gt;0)),"",IFERROR(INDEX(SAISIE!$D$5:$D$204,MATCH(MAXIFS(SAISIE!$E$5:$E$204,SAISIE!$B$5:$B$204,"*Vent Arr./Av.*",SAISIE!$F$5:$F$204,$G$235),SAISIE!$E$5:$E$204,0)),"-"))</f>
        <v/>
      </c>
      <c r="D244" s="9">
        <f>IF(OR($G$235="",NOT(MAXIFS(SAISIE!$E$5:$E$204,SAISIE!$B$5:$B$204,"*Vent Arr./Av.*",SAISIE!$F$5:$F$204,$G$235)&gt;0)),"",IFERROR(MAXIFS(SAISIE!$E$5:$E$204,SAISIE!$B$5:$B$204,"*Vent Arr./Av.*",SAISIE!$F$5:$F$204,$G$235),"-"))</f>
        <v/>
      </c>
      <c r="E244" s="9">
        <f>IF($G$235="","",IF(OR(D244="",D244="-"),"",IF(D244&gt;0,"(soulevement)",IF(D244&lt;0,"(compression)","-"))))</f>
        <v/>
      </c>
    </row>
    <row r="245">
      <c r="A245" s="8">
        <f>IF(OR($G$235="",NOT(TRUE)),"","Neige normale")</f>
        <v/>
      </c>
      <c r="B245" s="9">
        <f>IF($G$235="","",IFERROR(INDEX(SAISIE!$C$5:$C$204,MATCH(MINIFS(SAISIE!$E$5:$E$204,SAISIE!$B$5:$B$204,"*Neige*",SAISIE!$B$5:$B$204,"&lt;&gt;*accidentel*",SAISIE!$F$5:$F$204,$G$235),SAISIE!$E$5:$E$204,0)),"-"))</f>
        <v/>
      </c>
      <c r="C245" s="9">
        <f>IF($G$235="","",IFERROR(INDEX(SAISIE!$D$5:$D$204,MATCH(MINIFS(SAISIE!$E$5:$E$204,SAISIE!$B$5:$B$204,"*Neige*",SAISIE!$B$5:$B$204,"&lt;&gt;*accidentel*",SAISIE!$F$5:$F$204,$G$235),SAISIE!$E$5:$E$204,0)),"-"))</f>
        <v/>
      </c>
      <c r="D245" s="9">
        <f>IF($G$235="","",IFERROR(INDEX(SAISIE!$E$5:$E$204,MATCH(MINIFS(SAISIE!$E$5:$E$204,SAISIE!$B$5:$B$204,"*Neige*",SAISIE!$B$5:$B$204,"&lt;&gt;*accidentel*",SAISIE!$F$5:$F$204,$G$235),SAISIE!$E$5:$E$204,0)),"-"))</f>
        <v/>
      </c>
      <c r="E245" s="9">
        <f>IF($G$235="","",IF(OR(D245="",D245="-"),"",IF(D245&gt;0,"(soulevement)",IF(D245&lt;0,"(compression)","-"))))</f>
        <v/>
      </c>
    </row>
    <row r="246">
      <c r="A246" s="8">
        <f>IF(OR($G$235="",NOT(TRUE)),"","Neige accidentelle")</f>
        <v/>
      </c>
      <c r="B246" s="9">
        <f>IF($G$235="","",IFERROR(LOOKUP(2,1/((SAISIE!$F$5:$F$204=$G$235)*(ISNUMBER(SEARCH("accidentel",SAISIE!$B$5:$B$204)))),SAISIE!$C$5:$C$204),"-"))</f>
        <v/>
      </c>
      <c r="C246" s="9">
        <f>IF($G$235="","",IFERROR(LOOKUP(2,1/((SAISIE!$F$5:$F$204=$G$235)*(ISNUMBER(SEARCH("accidentel",SAISIE!$B$5:$B$204)))),SAISIE!$D$5:$D$204),"-"))</f>
        <v/>
      </c>
      <c r="D246" s="9">
        <f>IF($G$235="","",IFERROR(LOOKUP(2,1/((SAISIE!$F$5:$F$204=$G$235)*(ISNUMBER(SEARCH("accidentel",SAISIE!$B$5:$B$204)))),SAISIE!$E$5:$E$204),"-"))</f>
        <v/>
      </c>
      <c r="E246" s="9">
        <f>IF($G$235="","",IF(OR(D246="",D246="-"),"",IF(D246&gt;0,"(soulevement)",IF(D246&lt;0,"(compression)","-"))))</f>
        <v/>
      </c>
    </row>
    <row r="249">
      <c r="A249" s="3" t="inlineStr">
        <is>
          <t>SYNTHESE — SANS FY</t>
        </is>
      </c>
    </row>
    <row r="250">
      <c r="A250" s="4" t="inlineStr">
        <is>
          <t>Nom du cas</t>
        </is>
      </c>
      <c r="B250" s="4" t="inlineStr">
        <is>
          <t>FX [daN]</t>
        </is>
      </c>
      <c r="C250" s="4" t="inlineStr">
        <is>
          <t>FZ [daN]</t>
        </is>
      </c>
      <c r="D250" s="4" t="inlineStr">
        <is>
          <t>Note</t>
        </is>
      </c>
    </row>
    <row r="251">
      <c r="A251" s="6">
        <f>IF($H$251="","","Noeud "&amp;$H$251)</f>
        <v/>
      </c>
      <c r="B251" s="7" t="n"/>
      <c r="C251" s="7" t="n"/>
      <c r="D251" s="7" t="n"/>
      <c r="H251">
        <f>IFERROR(INDEX(SAISIE!$E$210:$E$409,AGGREGATE(15,6,ROW(SAISIE!$E$210:$E$409)-ROW(SAISIE!$E$210)+1/(SAISIE!$E$210:$E$409&lt;&gt;"")/(COUNTIF($H$4:H250,SAISIE!$E$210:$E$409)=0),1)),"")</f>
        <v/>
      </c>
    </row>
    <row r="252">
      <c r="A252" s="8">
        <f>IF(OR($H$251="",NOT(TRUE)),"","Couverture")</f>
        <v/>
      </c>
      <c r="B252" s="9">
        <f>IF($H$251="","",IFERROR(IFERROR(LOOKUP(2,1/((SAISIE!$E$210:$E$409=$H$251)*(LEFT(SAISIE!$B$210:$B$409,2)="G ")),SAISIE!$C$210:$C$409),LOOKUP(2,1/((SAISIE!$E$210:$E$409=$H$251)*(ISNUMBER(SEARCH("Couverture",SAISIE!$B$210:$B$409)))),SAISIE!$C$210:$C$409)),"-"))</f>
        <v/>
      </c>
      <c r="C252" s="9">
        <f>IF($H$251="","",IFERROR(IFERROR(LOOKUP(2,1/((SAISIE!$E$210:$E$409=$H$251)*(LEFT(SAISIE!$B$210:$B$409,2)="G ")),SAISIE!$D$210:$D$409),LOOKUP(2,1/((SAISIE!$E$210:$E$409=$H$251)*(ISNUMBER(SEARCH("Couverture",SAISIE!$B$210:$B$409)))),SAISIE!$D$210:$D$409)),"-"))</f>
        <v/>
      </c>
      <c r="D252" s="9">
        <f>IF($H$251="","",IF(OR(C252="",C252="-"),"",IF(C252&gt;0,"(soulevement)",IF(C252&lt;0,"(compression)","-"))))</f>
        <v/>
      </c>
    </row>
    <row r="253">
      <c r="A253" s="8">
        <f>IF(OR($H$251="",NOT(COUNTIFS(SAISIE!$B$210:$B$409,"*Vent G/D*",SAISIE!$E$210:$E$409,$H$251)&gt;0)),"","Vent G/D")</f>
        <v/>
      </c>
      <c r="B253" s="9">
        <f>IF(OR($H$251="",NOT(COUNTIFS(SAISIE!$B$210:$B$409,"*Vent G/D*",SAISIE!$E$210:$E$409,$H$251)&gt;0)),"",IFERROR(IF(MINIFS(SAISIE!$D$210:$D$409,SAISIE!$B$210:$B$409,"*Vent G/D*",SAISIE!$E$210:$E$409,$H$251)&gt;=0,MAXIFS(SAISIE!$C$210:$C$409,SAISIE!$B$210:$B$409,"*Vent G/D*",SAISIE!$E$210:$E$409,$H$251),INDEX(SAISIE!$C$210:$C$409,MATCH(MINIFS(SAISIE!$D$210:$D$409,SAISIE!$B$210:$B$409,"*Vent G/D*",SAISIE!$E$210:$E$409,$H$251),SAISIE!$D$210:$D$409,0))),"-"))</f>
        <v/>
      </c>
      <c r="C253" s="9">
        <f>IF(OR($H$251="",NOT(COUNTIFS(SAISIE!$B$210:$B$409,"*Vent G/D*",SAISIE!$E$210:$E$409,$H$251)&gt;0)),"",IFERROR(IF(MINIFS(SAISIE!$D$210:$D$409,SAISIE!$B$210:$B$409,"*Vent G/D*",SAISIE!$E$210:$E$409,$H$251)&gt;=0,0,MINIFS(SAISIE!$D$210:$D$409,SAISIE!$B$210:$B$409,"*Vent G/D*",SAISIE!$E$210:$E$409,$H$251)),"-"))</f>
        <v/>
      </c>
      <c r="D253" s="9">
        <f>IF($H$251="","",IF(OR(C253="",C253="-"),"",IF(C253&gt;0,"(soulevement)",IF(C253&lt;0,"(compression)","-"))))</f>
        <v/>
      </c>
    </row>
    <row r="254">
      <c r="A254" s="8">
        <f>IF(OR($H$251="",NOT(MAXIFS(SAISIE!$D$210:$D$409,SAISIE!$B$210:$B$409,"*Vent G/D*",SAISIE!$E$210:$E$409,$H$251)&gt;0)),"","Vent G/D")</f>
        <v/>
      </c>
      <c r="B254" s="9">
        <f>IF(OR($H$251="",NOT(MAXIFS(SAISIE!$D$210:$D$409,SAISIE!$B$210:$B$409,"*Vent G/D*",SAISIE!$E$210:$E$409,$H$251)&gt;0)),"",IFERROR(INDEX(SAISIE!$C$210:$C$409,MATCH(MAXIFS(SAISIE!$D$210:$D$409,SAISIE!$B$210:$B$409,"*Vent G/D*",SAISIE!$E$210:$E$409,$H$251),SAISIE!$D$210:$D$409,0)),"-"))</f>
        <v/>
      </c>
      <c r="C254" s="9">
        <f>IF(OR($H$251="",NOT(MAXIFS(SAISIE!$D$210:$D$409,SAISIE!$B$210:$B$409,"*Vent G/D*",SAISIE!$E$210:$E$409,$H$251)&gt;0)),"",IFERROR(MAXIFS(SAISIE!$D$210:$D$409,SAISIE!$B$210:$B$409,"*Vent G/D*",SAISIE!$E$210:$E$409,$H$251),"-"))</f>
        <v/>
      </c>
      <c r="D254" s="9">
        <f>IF($H$251="","",IF(OR(C254="",C254="-"),"",IF(C254&gt;0,"(soulevement)",IF(C254&lt;0,"(compression)","-"))))</f>
        <v/>
      </c>
    </row>
    <row r="255">
      <c r="A255" s="8">
        <f>IF(OR($H$251="",NOT(COUNTIFS(SAISIE!$B$210:$B$409,"*Vent D/G*",SAISIE!$E$210:$E$409,$H$251)&gt;0)),"","Vent D/G")</f>
        <v/>
      </c>
      <c r="B255" s="9">
        <f>IF(OR($H$251="",NOT(COUNTIFS(SAISIE!$B$210:$B$409,"*Vent D/G*",SAISIE!$E$210:$E$409,$H$251)&gt;0)),"",IFERROR(IF(MINIFS(SAISIE!$D$210:$D$409,SAISIE!$B$210:$B$409,"*Vent D/G*",SAISIE!$E$210:$E$409,$H$251)&gt;=0,MAXIFS(SAISIE!$C$210:$C$409,SAISIE!$B$210:$B$409,"*Vent D/G*",SAISIE!$E$210:$E$409,$H$251),INDEX(SAISIE!$C$210:$C$409,MATCH(MINIFS(SAISIE!$D$210:$D$409,SAISIE!$B$210:$B$409,"*Vent D/G*",SAISIE!$E$210:$E$409,$H$251),SAISIE!$D$210:$D$409,0))),"-"))</f>
        <v/>
      </c>
      <c r="C255" s="9">
        <f>IF(OR($H$251="",NOT(COUNTIFS(SAISIE!$B$210:$B$409,"*Vent D/G*",SAISIE!$E$210:$E$409,$H$251)&gt;0)),"",IFERROR(IF(MINIFS(SAISIE!$D$210:$D$409,SAISIE!$B$210:$B$409,"*Vent D/G*",SAISIE!$E$210:$E$409,$H$251)&gt;=0,0,MINIFS(SAISIE!$D$210:$D$409,SAISIE!$B$210:$B$409,"*Vent D/G*",SAISIE!$E$210:$E$409,$H$251)),"-"))</f>
        <v/>
      </c>
      <c r="D255" s="9">
        <f>IF($H$251="","",IF(OR(C255="",C255="-"),"",IF(C255&gt;0,"(soulevement)",IF(C255&lt;0,"(compression)","-"))))</f>
        <v/>
      </c>
    </row>
    <row r="256">
      <c r="A256" s="8">
        <f>IF(OR($H$251="",NOT(MAXIFS(SAISIE!$D$210:$D$409,SAISIE!$B$210:$B$409,"*Vent D/G*",SAISIE!$E$210:$E$409,$H$251)&gt;0)),"","Vent D/G")</f>
        <v/>
      </c>
      <c r="B256" s="9">
        <f>IF(OR($H$251="",NOT(MAXIFS(SAISIE!$D$210:$D$409,SAISIE!$B$210:$B$409,"*Vent D/G*",SAISIE!$E$210:$E$409,$H$251)&gt;0)),"",IFERROR(INDEX(SAISIE!$C$210:$C$409,MATCH(MAXIFS(SAISIE!$D$210:$D$409,SAISIE!$B$210:$B$409,"*Vent D/G*",SAISIE!$E$210:$E$409,$H$251),SAISIE!$D$210:$D$409,0)),"-"))</f>
        <v/>
      </c>
      <c r="C256" s="9">
        <f>IF(OR($H$251="",NOT(MAXIFS(SAISIE!$D$210:$D$409,SAISIE!$B$210:$B$409,"*Vent D/G*",SAISIE!$E$210:$E$409,$H$251)&gt;0)),"",IFERROR(MAXIFS(SAISIE!$D$210:$D$409,SAISIE!$B$210:$B$409,"*Vent D/G*",SAISIE!$E$210:$E$409,$H$251),"-"))</f>
        <v/>
      </c>
      <c r="D256" s="9">
        <f>IF($H$251="","",IF(OR(C256="",C256="-"),"",IF(C256&gt;0,"(soulevement)",IF(C256&lt;0,"(compression)","-"))))</f>
        <v/>
      </c>
    </row>
    <row r="257">
      <c r="A257" s="8">
        <f>IF(OR($H$251="",NOT(COUNTIFS(SAISIE!$B$210:$B$409,"*Vent Av./Arr.*",SAISIE!$E$210:$E$409,$H$251)&gt;0)),"","Vent Av./Arr.")</f>
        <v/>
      </c>
      <c r="B257" s="9">
        <f>IF(OR($H$251="",NOT(COUNTIFS(SAISIE!$B$210:$B$409,"*Vent Av./Arr.*",SAISIE!$E$210:$E$409,$H$251)&gt;0)),"",IFERROR(IF(MINIFS(SAISIE!$D$210:$D$409,SAISIE!$B$210:$B$409,"*Vent Av./Arr.*",SAISIE!$E$210:$E$409,$H$251)&gt;=0,MAXIFS(SAISIE!$C$210:$C$409,SAISIE!$B$210:$B$409,"*Vent Av./Arr.*",SAISIE!$E$210:$E$409,$H$251),INDEX(SAISIE!$C$210:$C$409,MATCH(MINIFS(SAISIE!$D$210:$D$409,SAISIE!$B$210:$B$409,"*Vent Av./Arr.*",SAISIE!$E$210:$E$409,$H$251),SAISIE!$D$210:$D$409,0))),"-"))</f>
        <v/>
      </c>
      <c r="C257" s="9">
        <f>IF(OR($H$251="",NOT(COUNTIFS(SAISIE!$B$210:$B$409,"*Vent Av./Arr.*",SAISIE!$E$210:$E$409,$H$251)&gt;0)),"",IFERROR(IF(MINIFS(SAISIE!$D$210:$D$409,SAISIE!$B$210:$B$409,"*Vent Av./Arr.*",SAISIE!$E$210:$E$409,$H$251)&gt;=0,0,MINIFS(SAISIE!$D$210:$D$409,SAISIE!$B$210:$B$409,"*Vent Av./Arr.*",SAISIE!$E$210:$E$409,$H$251)),"-"))</f>
        <v/>
      </c>
      <c r="D257" s="9">
        <f>IF($H$251="","",IF(OR(C257="",C257="-"),"",IF(C257&gt;0,"(soulevement)",IF(C257&lt;0,"(compression)","-"))))</f>
        <v/>
      </c>
    </row>
    <row r="258">
      <c r="A258" s="8">
        <f>IF(OR($H$251="",NOT(MAXIFS(SAISIE!$D$210:$D$409,SAISIE!$B$210:$B$409,"*Vent Av./Arr.*",SAISIE!$E$210:$E$409,$H$251)&gt;0)),"","Vent Av./Arr.")</f>
        <v/>
      </c>
      <c r="B258" s="9">
        <f>IF(OR($H$251="",NOT(MAXIFS(SAISIE!$D$210:$D$409,SAISIE!$B$210:$B$409,"*Vent Av./Arr.*",SAISIE!$E$210:$E$409,$H$251)&gt;0)),"",IFERROR(INDEX(SAISIE!$C$210:$C$409,MATCH(MAXIFS(SAISIE!$D$210:$D$409,SAISIE!$B$210:$B$409,"*Vent Av./Arr.*",SAISIE!$E$210:$E$409,$H$251),SAISIE!$D$210:$D$409,0)),"-"))</f>
        <v/>
      </c>
      <c r="C258" s="9">
        <f>IF(OR($H$251="",NOT(MAXIFS(SAISIE!$D$210:$D$409,SAISIE!$B$210:$B$409,"*Vent Av./Arr.*",SAISIE!$E$210:$E$409,$H$251)&gt;0)),"",IFERROR(MAXIFS(SAISIE!$D$210:$D$409,SAISIE!$B$210:$B$409,"*Vent Av./Arr.*",SAISIE!$E$210:$E$409,$H$251),"-"))</f>
        <v/>
      </c>
      <c r="D258" s="9">
        <f>IF($H$251="","",IF(OR(C258="",C258="-"),"",IF(C258&gt;0,"(soulevement)",IF(C258&lt;0,"(compression)","-"))))</f>
        <v/>
      </c>
    </row>
    <row r="259">
      <c r="A259" s="8">
        <f>IF(OR($H$251="",NOT(COUNTIFS(SAISIE!$B$210:$B$409,"*Vent Arr./Av.*",SAISIE!$E$210:$E$409,$H$251)&gt;0)),"","Vent Arr./Av.")</f>
        <v/>
      </c>
      <c r="B259" s="9">
        <f>IF(OR($H$251="",NOT(COUNTIFS(SAISIE!$B$210:$B$409,"*Vent Arr./Av.*",SAISIE!$E$210:$E$409,$H$251)&gt;0)),"",IFERROR(IF(MINIFS(SAISIE!$D$210:$D$409,SAISIE!$B$210:$B$409,"*Vent Arr./Av.*",SAISIE!$E$210:$E$409,$H$251)&gt;=0,MAXIFS(SAISIE!$C$210:$C$409,SAISIE!$B$210:$B$409,"*Vent Arr./Av.*",SAISIE!$E$210:$E$409,$H$251),INDEX(SAISIE!$C$210:$C$409,MATCH(MINIFS(SAISIE!$D$210:$D$409,SAISIE!$B$210:$B$409,"*Vent Arr./Av.*",SAISIE!$E$210:$E$409,$H$251),SAISIE!$D$210:$D$409,0))),"-"))</f>
        <v/>
      </c>
      <c r="C259" s="9">
        <f>IF(OR($H$251="",NOT(COUNTIFS(SAISIE!$B$210:$B$409,"*Vent Arr./Av.*",SAISIE!$E$210:$E$409,$H$251)&gt;0)),"",IFERROR(IF(MINIFS(SAISIE!$D$210:$D$409,SAISIE!$B$210:$B$409,"*Vent Arr./Av.*",SAISIE!$E$210:$E$409,$H$251)&gt;=0,0,MINIFS(SAISIE!$D$210:$D$409,SAISIE!$B$210:$B$409,"*Vent Arr./Av.*",SAISIE!$E$210:$E$409,$H$251)),"-"))</f>
        <v/>
      </c>
      <c r="D259" s="9">
        <f>IF($H$251="","",IF(OR(C259="",C259="-"),"",IF(C259&gt;0,"(soulevement)",IF(C259&lt;0,"(compression)","-"))))</f>
        <v/>
      </c>
    </row>
    <row r="260">
      <c r="A260" s="8">
        <f>IF(OR($H$251="",NOT(MAXIFS(SAISIE!$D$210:$D$409,SAISIE!$B$210:$B$409,"*Vent Arr./Av.*",SAISIE!$E$210:$E$409,$H$251)&gt;0)),"","Vent Arr./Av.")</f>
        <v/>
      </c>
      <c r="B260" s="9">
        <f>IF(OR($H$251="",NOT(MAXIFS(SAISIE!$D$210:$D$409,SAISIE!$B$210:$B$409,"*Vent Arr./Av.*",SAISIE!$E$210:$E$409,$H$251)&gt;0)),"",IFERROR(INDEX(SAISIE!$C$210:$C$409,MATCH(MAXIFS(SAISIE!$D$210:$D$409,SAISIE!$B$210:$B$409,"*Vent Arr./Av.*",SAISIE!$E$210:$E$409,$H$251),SAISIE!$D$210:$D$409,0)),"-"))</f>
        <v/>
      </c>
      <c r="C260" s="9">
        <f>IF(OR($H$251="",NOT(MAXIFS(SAISIE!$D$210:$D$409,SAISIE!$B$210:$B$409,"*Vent Arr./Av.*",SAISIE!$E$210:$E$409,$H$251)&gt;0)),"",IFERROR(MAXIFS(SAISIE!$D$210:$D$409,SAISIE!$B$210:$B$409,"*Vent Arr./Av.*",SAISIE!$E$210:$E$409,$H$251),"-"))</f>
        <v/>
      </c>
      <c r="D260" s="9">
        <f>IF($H$251="","",IF(OR(C260="",C260="-"),"",IF(C260&gt;0,"(soulevement)",IF(C260&lt;0,"(compression)","-"))))</f>
        <v/>
      </c>
    </row>
    <row r="261">
      <c r="A261" s="8">
        <f>IF(OR($H$251="",NOT(TRUE)),"","Neige normale")</f>
        <v/>
      </c>
      <c r="B261" s="9">
        <f>IF($H$251="","",IFERROR(INDEX(SAISIE!$C$210:$C$409,MATCH(MINIFS(SAISIE!$D$210:$D$409,SAISIE!$B$210:$B$409,"*Neige*",SAISIE!$B$210:$B$409,"&lt;&gt;*accidentel*",SAISIE!$E$210:$E$409,$H$251),SAISIE!$D$210:$D$409,0)),"-"))</f>
        <v/>
      </c>
      <c r="C261" s="9">
        <f>IF($H$251="","",IFERROR(INDEX(SAISIE!$D$210:$D$409,MATCH(MINIFS(SAISIE!$D$210:$D$409,SAISIE!$B$210:$B$409,"*Neige*",SAISIE!$B$210:$B$409,"&lt;&gt;*accidentel*",SAISIE!$E$210:$E$409,$H$251),SAISIE!$D$210:$D$409,0)),"-"))</f>
        <v/>
      </c>
      <c r="D261" s="9">
        <f>IF($H$251="","",IF(OR(C261="",C261="-"),"",IF(C261&gt;0,"(soulevement)",IF(C261&lt;0,"(compression)","-"))))</f>
        <v/>
      </c>
    </row>
    <row r="262">
      <c r="A262" s="8">
        <f>IF(OR($H$251="",NOT(TRUE)),"","Neige accidentelle")</f>
        <v/>
      </c>
      <c r="B262" s="9">
        <f>IF($H$251="","",IFERROR(LOOKUP(2,1/((SAISIE!$E$210:$E$409=$H$251)*(ISNUMBER(SEARCH("accidentel",SAISIE!$B$210:$B$409)))),SAISIE!$C$210:$C$409),"-"))</f>
        <v/>
      </c>
      <c r="C262" s="9">
        <f>IF($H$251="","",IFERROR(LOOKUP(2,1/((SAISIE!$E$210:$E$409=$H$251)*(ISNUMBER(SEARCH("accidentel",SAISIE!$B$210:$B$409)))),SAISIE!$D$210:$D$409),"-"))</f>
        <v/>
      </c>
      <c r="D262" s="9">
        <f>IF($H$251="","",IF(OR(C262="",C262="-"),"",IF(C262&gt;0,"(soulevement)",IF(C262&lt;0,"(compression)","-"))))</f>
        <v/>
      </c>
    </row>
    <row r="263">
      <c r="A263" s="6">
        <f>IF($H$263="","","Noeud "&amp;$H$263)</f>
        <v/>
      </c>
      <c r="B263" s="7" t="n"/>
      <c r="C263" s="7" t="n"/>
      <c r="D263" s="7" t="n"/>
      <c r="H263">
        <f>IFERROR(INDEX(SAISIE!$E$210:$E$409,AGGREGATE(15,6,ROW(SAISIE!$E$210:$E$409)-ROW(SAISIE!$E$210)+1/(SAISIE!$E$210:$E$409&lt;&gt;"")/(COUNTIF($H$4:H262,SAISIE!$E$210:$E$409)=0),1)),"")</f>
        <v/>
      </c>
    </row>
    <row r="264">
      <c r="A264" s="8">
        <f>IF(OR($H$263="",NOT(TRUE)),"","Couverture")</f>
        <v/>
      </c>
      <c r="B264" s="9">
        <f>IF($H$263="","",IFERROR(IFERROR(LOOKUP(2,1/((SAISIE!$E$210:$E$409=$H$263)*(LEFT(SAISIE!$B$210:$B$409,2)="G ")),SAISIE!$C$210:$C$409),LOOKUP(2,1/((SAISIE!$E$210:$E$409=$H$263)*(ISNUMBER(SEARCH("Couverture",SAISIE!$B$210:$B$409)))),SAISIE!$C$210:$C$409)),"-"))</f>
        <v/>
      </c>
      <c r="C264" s="9">
        <f>IF($H$263="","",IFERROR(IFERROR(LOOKUP(2,1/((SAISIE!$E$210:$E$409=$H$263)*(LEFT(SAISIE!$B$210:$B$409,2)="G ")),SAISIE!$D$210:$D$409),LOOKUP(2,1/((SAISIE!$E$210:$E$409=$H$263)*(ISNUMBER(SEARCH("Couverture",SAISIE!$B$210:$B$409)))),SAISIE!$D$210:$D$409)),"-"))</f>
        <v/>
      </c>
      <c r="D264" s="9">
        <f>IF($H$263="","",IF(OR(C264="",C264="-"),"",IF(C264&gt;0,"(soulevement)",IF(C264&lt;0,"(compression)","-"))))</f>
        <v/>
      </c>
    </row>
    <row r="265">
      <c r="A265" s="8">
        <f>IF(OR($H$263="",NOT(COUNTIFS(SAISIE!$B$210:$B$409,"*Vent G/D*",SAISIE!$E$210:$E$409,$H$263)&gt;0)),"","Vent G/D")</f>
        <v/>
      </c>
      <c r="B265" s="9">
        <f>IF(OR($H$263="",NOT(COUNTIFS(SAISIE!$B$210:$B$409,"*Vent G/D*",SAISIE!$E$210:$E$409,$H$263)&gt;0)),"",IFERROR(IF(MINIFS(SAISIE!$D$210:$D$409,SAISIE!$B$210:$B$409,"*Vent G/D*",SAISIE!$E$210:$E$409,$H$263)&gt;=0,MAXIFS(SAISIE!$C$210:$C$409,SAISIE!$B$210:$B$409,"*Vent G/D*",SAISIE!$E$210:$E$409,$H$263),INDEX(SAISIE!$C$210:$C$409,MATCH(MINIFS(SAISIE!$D$210:$D$409,SAISIE!$B$210:$B$409,"*Vent G/D*",SAISIE!$E$210:$E$409,$H$263),SAISIE!$D$210:$D$409,0))),"-"))</f>
        <v/>
      </c>
      <c r="C265" s="9">
        <f>IF(OR($H$263="",NOT(COUNTIFS(SAISIE!$B$210:$B$409,"*Vent G/D*",SAISIE!$E$210:$E$409,$H$263)&gt;0)),"",IFERROR(IF(MINIFS(SAISIE!$D$210:$D$409,SAISIE!$B$210:$B$409,"*Vent G/D*",SAISIE!$E$210:$E$409,$H$263)&gt;=0,0,MINIFS(SAISIE!$D$210:$D$409,SAISIE!$B$210:$B$409,"*Vent G/D*",SAISIE!$E$210:$E$409,$H$263)),"-"))</f>
        <v/>
      </c>
      <c r="D265" s="9">
        <f>IF($H$263="","",IF(OR(C265="",C265="-"),"",IF(C265&gt;0,"(soulevement)",IF(C265&lt;0,"(compression)","-"))))</f>
        <v/>
      </c>
    </row>
    <row r="266">
      <c r="A266" s="8">
        <f>IF(OR($H$263="",NOT(MAXIFS(SAISIE!$D$210:$D$409,SAISIE!$B$210:$B$409,"*Vent G/D*",SAISIE!$E$210:$E$409,$H$263)&gt;0)),"","Vent G/D")</f>
        <v/>
      </c>
      <c r="B266" s="9">
        <f>IF(OR($H$263="",NOT(MAXIFS(SAISIE!$D$210:$D$409,SAISIE!$B$210:$B$409,"*Vent G/D*",SAISIE!$E$210:$E$409,$H$263)&gt;0)),"",IFERROR(INDEX(SAISIE!$C$210:$C$409,MATCH(MAXIFS(SAISIE!$D$210:$D$409,SAISIE!$B$210:$B$409,"*Vent G/D*",SAISIE!$E$210:$E$409,$H$263),SAISIE!$D$210:$D$409,0)),"-"))</f>
        <v/>
      </c>
      <c r="C266" s="9">
        <f>IF(OR($H$263="",NOT(MAXIFS(SAISIE!$D$210:$D$409,SAISIE!$B$210:$B$409,"*Vent G/D*",SAISIE!$E$210:$E$409,$H$263)&gt;0)),"",IFERROR(MAXIFS(SAISIE!$D$210:$D$409,SAISIE!$B$210:$B$409,"*Vent G/D*",SAISIE!$E$210:$E$409,$H$263),"-"))</f>
        <v/>
      </c>
      <c r="D266" s="9">
        <f>IF($H$263="","",IF(OR(C266="",C266="-"),"",IF(C266&gt;0,"(soulevement)",IF(C266&lt;0,"(compression)","-"))))</f>
        <v/>
      </c>
    </row>
    <row r="267">
      <c r="A267" s="8">
        <f>IF(OR($H$263="",NOT(COUNTIFS(SAISIE!$B$210:$B$409,"*Vent D/G*",SAISIE!$E$210:$E$409,$H$263)&gt;0)),"","Vent D/G")</f>
        <v/>
      </c>
      <c r="B267" s="9">
        <f>IF(OR($H$263="",NOT(COUNTIFS(SAISIE!$B$210:$B$409,"*Vent D/G*",SAISIE!$E$210:$E$409,$H$263)&gt;0)),"",IFERROR(IF(MINIFS(SAISIE!$D$210:$D$409,SAISIE!$B$210:$B$409,"*Vent D/G*",SAISIE!$E$210:$E$409,$H$263)&gt;=0,MAXIFS(SAISIE!$C$210:$C$409,SAISIE!$B$210:$B$409,"*Vent D/G*",SAISIE!$E$210:$E$409,$H$263),INDEX(SAISIE!$C$210:$C$409,MATCH(MINIFS(SAISIE!$D$210:$D$409,SAISIE!$B$210:$B$409,"*Vent D/G*",SAISIE!$E$210:$E$409,$H$263),SAISIE!$D$210:$D$409,0))),"-"))</f>
        <v/>
      </c>
      <c r="C267" s="9">
        <f>IF(OR($H$263="",NOT(COUNTIFS(SAISIE!$B$210:$B$409,"*Vent D/G*",SAISIE!$E$210:$E$409,$H$263)&gt;0)),"",IFERROR(IF(MINIFS(SAISIE!$D$210:$D$409,SAISIE!$B$210:$B$409,"*Vent D/G*",SAISIE!$E$210:$E$409,$H$263)&gt;=0,0,MINIFS(SAISIE!$D$210:$D$409,SAISIE!$B$210:$B$409,"*Vent D/G*",SAISIE!$E$210:$E$409,$H$263)),"-"))</f>
        <v/>
      </c>
      <c r="D267" s="9">
        <f>IF($H$263="","",IF(OR(C267="",C267="-"),"",IF(C267&gt;0,"(soulevement)",IF(C267&lt;0,"(compression)","-"))))</f>
        <v/>
      </c>
    </row>
    <row r="268">
      <c r="A268" s="8">
        <f>IF(OR($H$263="",NOT(MAXIFS(SAISIE!$D$210:$D$409,SAISIE!$B$210:$B$409,"*Vent D/G*",SAISIE!$E$210:$E$409,$H$263)&gt;0)),"","Vent D/G")</f>
        <v/>
      </c>
      <c r="B268" s="9">
        <f>IF(OR($H$263="",NOT(MAXIFS(SAISIE!$D$210:$D$409,SAISIE!$B$210:$B$409,"*Vent D/G*",SAISIE!$E$210:$E$409,$H$263)&gt;0)),"",IFERROR(INDEX(SAISIE!$C$210:$C$409,MATCH(MAXIFS(SAISIE!$D$210:$D$409,SAISIE!$B$210:$B$409,"*Vent D/G*",SAISIE!$E$210:$E$409,$H$263),SAISIE!$D$210:$D$409,0)),"-"))</f>
        <v/>
      </c>
      <c r="C268" s="9">
        <f>IF(OR($H$263="",NOT(MAXIFS(SAISIE!$D$210:$D$409,SAISIE!$B$210:$B$409,"*Vent D/G*",SAISIE!$E$210:$E$409,$H$263)&gt;0)),"",IFERROR(MAXIFS(SAISIE!$D$210:$D$409,SAISIE!$B$210:$B$409,"*Vent D/G*",SAISIE!$E$210:$E$409,$H$263),"-"))</f>
        <v/>
      </c>
      <c r="D268" s="9">
        <f>IF($H$263="","",IF(OR(C268="",C268="-"),"",IF(C268&gt;0,"(soulevement)",IF(C268&lt;0,"(compression)","-"))))</f>
        <v/>
      </c>
    </row>
    <row r="269">
      <c r="A269" s="8">
        <f>IF(OR($H$263="",NOT(COUNTIFS(SAISIE!$B$210:$B$409,"*Vent Av./Arr.*",SAISIE!$E$210:$E$409,$H$263)&gt;0)),"","Vent Av./Arr.")</f>
        <v/>
      </c>
      <c r="B269" s="9">
        <f>IF(OR($H$263="",NOT(COUNTIFS(SAISIE!$B$210:$B$409,"*Vent Av./Arr.*",SAISIE!$E$210:$E$409,$H$263)&gt;0)),"",IFERROR(IF(MINIFS(SAISIE!$D$210:$D$409,SAISIE!$B$210:$B$409,"*Vent Av./Arr.*",SAISIE!$E$210:$E$409,$H$263)&gt;=0,MAXIFS(SAISIE!$C$210:$C$409,SAISIE!$B$210:$B$409,"*Vent Av./Arr.*",SAISIE!$E$210:$E$409,$H$263),INDEX(SAISIE!$C$210:$C$409,MATCH(MINIFS(SAISIE!$D$210:$D$409,SAISIE!$B$210:$B$409,"*Vent Av./Arr.*",SAISIE!$E$210:$E$409,$H$263),SAISIE!$D$210:$D$409,0))),"-"))</f>
        <v/>
      </c>
      <c r="C269" s="9">
        <f>IF(OR($H$263="",NOT(COUNTIFS(SAISIE!$B$210:$B$409,"*Vent Av./Arr.*",SAISIE!$E$210:$E$409,$H$263)&gt;0)),"",IFERROR(IF(MINIFS(SAISIE!$D$210:$D$409,SAISIE!$B$210:$B$409,"*Vent Av./Arr.*",SAISIE!$E$210:$E$409,$H$263)&gt;=0,0,MINIFS(SAISIE!$D$210:$D$409,SAISIE!$B$210:$B$409,"*Vent Av./Arr.*",SAISIE!$E$210:$E$409,$H$263)),"-"))</f>
        <v/>
      </c>
      <c r="D269" s="9">
        <f>IF($H$263="","",IF(OR(C269="",C269="-"),"",IF(C269&gt;0,"(soulevement)",IF(C269&lt;0,"(compression)","-"))))</f>
        <v/>
      </c>
    </row>
    <row r="270">
      <c r="A270" s="8">
        <f>IF(OR($H$263="",NOT(MAXIFS(SAISIE!$D$210:$D$409,SAISIE!$B$210:$B$409,"*Vent Av./Arr.*",SAISIE!$E$210:$E$409,$H$263)&gt;0)),"","Vent Av./Arr.")</f>
        <v/>
      </c>
      <c r="B270" s="9">
        <f>IF(OR($H$263="",NOT(MAXIFS(SAISIE!$D$210:$D$409,SAISIE!$B$210:$B$409,"*Vent Av./Arr.*",SAISIE!$E$210:$E$409,$H$263)&gt;0)),"",IFERROR(INDEX(SAISIE!$C$210:$C$409,MATCH(MAXIFS(SAISIE!$D$210:$D$409,SAISIE!$B$210:$B$409,"*Vent Av./Arr.*",SAISIE!$E$210:$E$409,$H$263),SAISIE!$D$210:$D$409,0)),"-"))</f>
        <v/>
      </c>
      <c r="C270" s="9">
        <f>IF(OR($H$263="",NOT(MAXIFS(SAISIE!$D$210:$D$409,SAISIE!$B$210:$B$409,"*Vent Av./Arr.*",SAISIE!$E$210:$E$409,$H$263)&gt;0)),"",IFERROR(MAXIFS(SAISIE!$D$210:$D$409,SAISIE!$B$210:$B$409,"*Vent Av./Arr.*",SAISIE!$E$210:$E$409,$H$263),"-"))</f>
        <v/>
      </c>
      <c r="D270" s="9">
        <f>IF($H$263="","",IF(OR(C270="",C270="-"),"",IF(C270&gt;0,"(soulevement)",IF(C270&lt;0,"(compression)","-"))))</f>
        <v/>
      </c>
    </row>
    <row r="271">
      <c r="A271" s="8">
        <f>IF(OR($H$263="",NOT(COUNTIFS(SAISIE!$B$210:$B$409,"*Vent Arr./Av.*",SAISIE!$E$210:$E$409,$H$263)&gt;0)),"","Vent Arr./Av.")</f>
        <v/>
      </c>
      <c r="B271" s="9">
        <f>IF(OR($H$263="",NOT(COUNTIFS(SAISIE!$B$210:$B$409,"*Vent Arr./Av.*",SAISIE!$E$210:$E$409,$H$263)&gt;0)),"",IFERROR(IF(MINIFS(SAISIE!$D$210:$D$409,SAISIE!$B$210:$B$409,"*Vent Arr./Av.*",SAISIE!$E$210:$E$409,$H$263)&gt;=0,MAXIFS(SAISIE!$C$210:$C$409,SAISIE!$B$210:$B$409,"*Vent Arr./Av.*",SAISIE!$E$210:$E$409,$H$263),INDEX(SAISIE!$C$210:$C$409,MATCH(MINIFS(SAISIE!$D$210:$D$409,SAISIE!$B$210:$B$409,"*Vent Arr./Av.*",SAISIE!$E$210:$E$409,$H$263),SAISIE!$D$210:$D$409,0))),"-"))</f>
        <v/>
      </c>
      <c r="C271" s="9">
        <f>IF(OR($H$263="",NOT(COUNTIFS(SAISIE!$B$210:$B$409,"*Vent Arr./Av.*",SAISIE!$E$210:$E$409,$H$263)&gt;0)),"",IFERROR(IF(MINIFS(SAISIE!$D$210:$D$409,SAISIE!$B$210:$B$409,"*Vent Arr./Av.*",SAISIE!$E$210:$E$409,$H$263)&gt;=0,0,MINIFS(SAISIE!$D$210:$D$409,SAISIE!$B$210:$B$409,"*Vent Arr./Av.*",SAISIE!$E$210:$E$409,$H$263)),"-"))</f>
        <v/>
      </c>
      <c r="D271" s="9">
        <f>IF($H$263="","",IF(OR(C271="",C271="-"),"",IF(C271&gt;0,"(soulevement)",IF(C271&lt;0,"(compression)","-"))))</f>
        <v/>
      </c>
    </row>
    <row r="272">
      <c r="A272" s="8">
        <f>IF(OR($H$263="",NOT(MAXIFS(SAISIE!$D$210:$D$409,SAISIE!$B$210:$B$409,"*Vent Arr./Av.*",SAISIE!$E$210:$E$409,$H$263)&gt;0)),"","Vent Arr./Av.")</f>
        <v/>
      </c>
      <c r="B272" s="9">
        <f>IF(OR($H$263="",NOT(MAXIFS(SAISIE!$D$210:$D$409,SAISIE!$B$210:$B$409,"*Vent Arr./Av.*",SAISIE!$E$210:$E$409,$H$263)&gt;0)),"",IFERROR(INDEX(SAISIE!$C$210:$C$409,MATCH(MAXIFS(SAISIE!$D$210:$D$409,SAISIE!$B$210:$B$409,"*Vent Arr./Av.*",SAISIE!$E$210:$E$409,$H$263),SAISIE!$D$210:$D$409,0)),"-"))</f>
        <v/>
      </c>
      <c r="C272" s="9">
        <f>IF(OR($H$263="",NOT(MAXIFS(SAISIE!$D$210:$D$409,SAISIE!$B$210:$B$409,"*Vent Arr./Av.*",SAISIE!$E$210:$E$409,$H$263)&gt;0)),"",IFERROR(MAXIFS(SAISIE!$D$210:$D$409,SAISIE!$B$210:$B$409,"*Vent Arr./Av.*",SAISIE!$E$210:$E$409,$H$263),"-"))</f>
        <v/>
      </c>
      <c r="D272" s="9">
        <f>IF($H$263="","",IF(OR(C272="",C272="-"),"",IF(C272&gt;0,"(soulevement)",IF(C272&lt;0,"(compression)","-"))))</f>
        <v/>
      </c>
    </row>
    <row r="273">
      <c r="A273" s="8">
        <f>IF(OR($H$263="",NOT(TRUE)),"","Neige normale")</f>
        <v/>
      </c>
      <c r="B273" s="9">
        <f>IF($H$263="","",IFERROR(INDEX(SAISIE!$C$210:$C$409,MATCH(MINIFS(SAISIE!$D$210:$D$409,SAISIE!$B$210:$B$409,"*Neige*",SAISIE!$B$210:$B$409,"&lt;&gt;*accidentel*",SAISIE!$E$210:$E$409,$H$263),SAISIE!$D$210:$D$409,0)),"-"))</f>
        <v/>
      </c>
      <c r="C273" s="9">
        <f>IF($H$263="","",IFERROR(INDEX(SAISIE!$D$210:$D$409,MATCH(MINIFS(SAISIE!$D$210:$D$409,SAISIE!$B$210:$B$409,"*Neige*",SAISIE!$B$210:$B$409,"&lt;&gt;*accidentel*",SAISIE!$E$210:$E$409,$H$263),SAISIE!$D$210:$D$409,0)),"-"))</f>
        <v/>
      </c>
      <c r="D273" s="9">
        <f>IF($H$263="","",IF(OR(C273="",C273="-"),"",IF(C273&gt;0,"(soulevement)",IF(C273&lt;0,"(compression)","-"))))</f>
        <v/>
      </c>
    </row>
    <row r="274">
      <c r="A274" s="8">
        <f>IF(OR($H$263="",NOT(TRUE)),"","Neige accidentelle")</f>
        <v/>
      </c>
      <c r="B274" s="9">
        <f>IF($H$263="","",IFERROR(LOOKUP(2,1/((SAISIE!$E$210:$E$409=$H$263)*(ISNUMBER(SEARCH("accidentel",SAISIE!$B$210:$B$409)))),SAISIE!$C$210:$C$409),"-"))</f>
        <v/>
      </c>
      <c r="C274" s="9">
        <f>IF($H$263="","",IFERROR(LOOKUP(2,1/((SAISIE!$E$210:$E$409=$H$263)*(ISNUMBER(SEARCH("accidentel",SAISIE!$B$210:$B$409)))),SAISIE!$D$210:$D$409),"-"))</f>
        <v/>
      </c>
      <c r="D274" s="9">
        <f>IF($H$263="","",IF(OR(C274="",C274="-"),"",IF(C274&gt;0,"(soulevement)",IF(C274&lt;0,"(compression)","-"))))</f>
        <v/>
      </c>
    </row>
    <row r="275">
      <c r="A275" s="6">
        <f>IF($H$275="","","Noeud "&amp;$H$275)</f>
        <v/>
      </c>
      <c r="B275" s="7" t="n"/>
      <c r="C275" s="7" t="n"/>
      <c r="D275" s="7" t="n"/>
      <c r="H275">
        <f>IFERROR(INDEX(SAISIE!$E$210:$E$409,AGGREGATE(15,6,ROW(SAISIE!$E$210:$E$409)-ROW(SAISIE!$E$210)+1/(SAISIE!$E$210:$E$409&lt;&gt;"")/(COUNTIF($H$4:H274,SAISIE!$E$210:$E$409)=0),1)),"")</f>
        <v/>
      </c>
    </row>
    <row r="276">
      <c r="A276" s="8">
        <f>IF(OR($H$275="",NOT(TRUE)),"","Couverture")</f>
        <v/>
      </c>
      <c r="B276" s="9">
        <f>IF($H$275="","",IFERROR(IFERROR(LOOKUP(2,1/((SAISIE!$E$210:$E$409=$H$275)*(LEFT(SAISIE!$B$210:$B$409,2)="G ")),SAISIE!$C$210:$C$409),LOOKUP(2,1/((SAISIE!$E$210:$E$409=$H$275)*(ISNUMBER(SEARCH("Couverture",SAISIE!$B$210:$B$409)))),SAISIE!$C$210:$C$409)),"-"))</f>
        <v/>
      </c>
      <c r="C276" s="9">
        <f>IF($H$275="","",IFERROR(IFERROR(LOOKUP(2,1/((SAISIE!$E$210:$E$409=$H$275)*(LEFT(SAISIE!$B$210:$B$409,2)="G ")),SAISIE!$D$210:$D$409),LOOKUP(2,1/((SAISIE!$E$210:$E$409=$H$275)*(ISNUMBER(SEARCH("Couverture",SAISIE!$B$210:$B$409)))),SAISIE!$D$210:$D$409)),"-"))</f>
        <v/>
      </c>
      <c r="D276" s="9">
        <f>IF($H$275="","",IF(OR(C276="",C276="-"),"",IF(C276&gt;0,"(soulevement)",IF(C276&lt;0,"(compression)","-"))))</f>
        <v/>
      </c>
    </row>
    <row r="277">
      <c r="A277" s="8">
        <f>IF(OR($H$275="",NOT(COUNTIFS(SAISIE!$B$210:$B$409,"*Vent G/D*",SAISIE!$E$210:$E$409,$H$275)&gt;0)),"","Vent G/D")</f>
        <v/>
      </c>
      <c r="B277" s="9">
        <f>IF(OR($H$275="",NOT(COUNTIFS(SAISIE!$B$210:$B$409,"*Vent G/D*",SAISIE!$E$210:$E$409,$H$275)&gt;0)),"",IFERROR(IF(MINIFS(SAISIE!$D$210:$D$409,SAISIE!$B$210:$B$409,"*Vent G/D*",SAISIE!$E$210:$E$409,$H$275)&gt;=0,MAXIFS(SAISIE!$C$210:$C$409,SAISIE!$B$210:$B$409,"*Vent G/D*",SAISIE!$E$210:$E$409,$H$275),INDEX(SAISIE!$C$210:$C$409,MATCH(MINIFS(SAISIE!$D$210:$D$409,SAISIE!$B$210:$B$409,"*Vent G/D*",SAISIE!$E$210:$E$409,$H$275),SAISIE!$D$210:$D$409,0))),"-"))</f>
        <v/>
      </c>
      <c r="C277" s="9">
        <f>IF(OR($H$275="",NOT(COUNTIFS(SAISIE!$B$210:$B$409,"*Vent G/D*",SAISIE!$E$210:$E$409,$H$275)&gt;0)),"",IFERROR(IF(MINIFS(SAISIE!$D$210:$D$409,SAISIE!$B$210:$B$409,"*Vent G/D*",SAISIE!$E$210:$E$409,$H$275)&gt;=0,0,MINIFS(SAISIE!$D$210:$D$409,SAISIE!$B$210:$B$409,"*Vent G/D*",SAISIE!$E$210:$E$409,$H$275)),"-"))</f>
        <v/>
      </c>
      <c r="D277" s="9">
        <f>IF($H$275="","",IF(OR(C277="",C277="-"),"",IF(C277&gt;0,"(soulevement)",IF(C277&lt;0,"(compression)","-"))))</f>
        <v/>
      </c>
    </row>
    <row r="278">
      <c r="A278" s="8">
        <f>IF(OR($H$275="",NOT(MAXIFS(SAISIE!$D$210:$D$409,SAISIE!$B$210:$B$409,"*Vent G/D*",SAISIE!$E$210:$E$409,$H$275)&gt;0)),"","Vent G/D")</f>
        <v/>
      </c>
      <c r="B278" s="9">
        <f>IF(OR($H$275="",NOT(MAXIFS(SAISIE!$D$210:$D$409,SAISIE!$B$210:$B$409,"*Vent G/D*",SAISIE!$E$210:$E$409,$H$275)&gt;0)),"",IFERROR(INDEX(SAISIE!$C$210:$C$409,MATCH(MAXIFS(SAISIE!$D$210:$D$409,SAISIE!$B$210:$B$409,"*Vent G/D*",SAISIE!$E$210:$E$409,$H$275),SAISIE!$D$210:$D$409,0)),"-"))</f>
        <v/>
      </c>
      <c r="C278" s="9">
        <f>IF(OR($H$275="",NOT(MAXIFS(SAISIE!$D$210:$D$409,SAISIE!$B$210:$B$409,"*Vent G/D*",SAISIE!$E$210:$E$409,$H$275)&gt;0)),"",IFERROR(MAXIFS(SAISIE!$D$210:$D$409,SAISIE!$B$210:$B$409,"*Vent G/D*",SAISIE!$E$210:$E$409,$H$275),"-"))</f>
        <v/>
      </c>
      <c r="D278" s="9">
        <f>IF($H$275="","",IF(OR(C278="",C278="-"),"",IF(C278&gt;0,"(soulevement)",IF(C278&lt;0,"(compression)","-"))))</f>
        <v/>
      </c>
    </row>
    <row r="279">
      <c r="A279" s="8">
        <f>IF(OR($H$275="",NOT(COUNTIFS(SAISIE!$B$210:$B$409,"*Vent D/G*",SAISIE!$E$210:$E$409,$H$275)&gt;0)),"","Vent D/G")</f>
        <v/>
      </c>
      <c r="B279" s="9">
        <f>IF(OR($H$275="",NOT(COUNTIFS(SAISIE!$B$210:$B$409,"*Vent D/G*",SAISIE!$E$210:$E$409,$H$275)&gt;0)),"",IFERROR(IF(MINIFS(SAISIE!$D$210:$D$409,SAISIE!$B$210:$B$409,"*Vent D/G*",SAISIE!$E$210:$E$409,$H$275)&gt;=0,MAXIFS(SAISIE!$C$210:$C$409,SAISIE!$B$210:$B$409,"*Vent D/G*",SAISIE!$E$210:$E$409,$H$275),INDEX(SAISIE!$C$210:$C$409,MATCH(MINIFS(SAISIE!$D$210:$D$409,SAISIE!$B$210:$B$409,"*Vent D/G*",SAISIE!$E$210:$E$409,$H$275),SAISIE!$D$210:$D$409,0))),"-"))</f>
        <v/>
      </c>
      <c r="C279" s="9">
        <f>IF(OR($H$275="",NOT(COUNTIFS(SAISIE!$B$210:$B$409,"*Vent D/G*",SAISIE!$E$210:$E$409,$H$275)&gt;0)),"",IFERROR(IF(MINIFS(SAISIE!$D$210:$D$409,SAISIE!$B$210:$B$409,"*Vent D/G*",SAISIE!$E$210:$E$409,$H$275)&gt;=0,0,MINIFS(SAISIE!$D$210:$D$409,SAISIE!$B$210:$B$409,"*Vent D/G*",SAISIE!$E$210:$E$409,$H$275)),"-"))</f>
        <v/>
      </c>
      <c r="D279" s="9">
        <f>IF($H$275="","",IF(OR(C279="",C279="-"),"",IF(C279&gt;0,"(soulevement)",IF(C279&lt;0,"(compression)","-"))))</f>
        <v/>
      </c>
    </row>
    <row r="280">
      <c r="A280" s="8">
        <f>IF(OR($H$275="",NOT(MAXIFS(SAISIE!$D$210:$D$409,SAISIE!$B$210:$B$409,"*Vent D/G*",SAISIE!$E$210:$E$409,$H$275)&gt;0)),"","Vent D/G")</f>
        <v/>
      </c>
      <c r="B280" s="9">
        <f>IF(OR($H$275="",NOT(MAXIFS(SAISIE!$D$210:$D$409,SAISIE!$B$210:$B$409,"*Vent D/G*",SAISIE!$E$210:$E$409,$H$275)&gt;0)),"",IFERROR(INDEX(SAISIE!$C$210:$C$409,MATCH(MAXIFS(SAISIE!$D$210:$D$409,SAISIE!$B$210:$B$409,"*Vent D/G*",SAISIE!$E$210:$E$409,$H$275),SAISIE!$D$210:$D$409,0)),"-"))</f>
        <v/>
      </c>
      <c r="C280" s="9">
        <f>IF(OR($H$275="",NOT(MAXIFS(SAISIE!$D$210:$D$409,SAISIE!$B$210:$B$409,"*Vent D/G*",SAISIE!$E$210:$E$409,$H$275)&gt;0)),"",IFERROR(MAXIFS(SAISIE!$D$210:$D$409,SAISIE!$B$210:$B$409,"*Vent D/G*",SAISIE!$E$210:$E$409,$H$275),"-"))</f>
        <v/>
      </c>
      <c r="D280" s="9">
        <f>IF($H$275="","",IF(OR(C280="",C280="-"),"",IF(C280&gt;0,"(soulevement)",IF(C280&lt;0,"(compression)","-"))))</f>
        <v/>
      </c>
    </row>
    <row r="281">
      <c r="A281" s="8">
        <f>IF(OR($H$275="",NOT(COUNTIFS(SAISIE!$B$210:$B$409,"*Vent Av./Arr.*",SAISIE!$E$210:$E$409,$H$275)&gt;0)),"","Vent Av./Arr.")</f>
        <v/>
      </c>
      <c r="B281" s="9">
        <f>IF(OR($H$275="",NOT(COUNTIFS(SAISIE!$B$210:$B$409,"*Vent Av./Arr.*",SAISIE!$E$210:$E$409,$H$275)&gt;0)),"",IFERROR(IF(MINIFS(SAISIE!$D$210:$D$409,SAISIE!$B$210:$B$409,"*Vent Av./Arr.*",SAISIE!$E$210:$E$409,$H$275)&gt;=0,MAXIFS(SAISIE!$C$210:$C$409,SAISIE!$B$210:$B$409,"*Vent Av./Arr.*",SAISIE!$E$210:$E$409,$H$275),INDEX(SAISIE!$C$210:$C$409,MATCH(MINIFS(SAISIE!$D$210:$D$409,SAISIE!$B$210:$B$409,"*Vent Av./Arr.*",SAISIE!$E$210:$E$409,$H$275),SAISIE!$D$210:$D$409,0))),"-"))</f>
        <v/>
      </c>
      <c r="C281" s="9">
        <f>IF(OR($H$275="",NOT(COUNTIFS(SAISIE!$B$210:$B$409,"*Vent Av./Arr.*",SAISIE!$E$210:$E$409,$H$275)&gt;0)),"",IFERROR(IF(MINIFS(SAISIE!$D$210:$D$409,SAISIE!$B$210:$B$409,"*Vent Av./Arr.*",SAISIE!$E$210:$E$409,$H$275)&gt;=0,0,MINIFS(SAISIE!$D$210:$D$409,SAISIE!$B$210:$B$409,"*Vent Av./Arr.*",SAISIE!$E$210:$E$409,$H$275)),"-"))</f>
        <v/>
      </c>
      <c r="D281" s="9">
        <f>IF($H$275="","",IF(OR(C281="",C281="-"),"",IF(C281&gt;0,"(soulevement)",IF(C281&lt;0,"(compression)","-"))))</f>
        <v/>
      </c>
    </row>
    <row r="282">
      <c r="A282" s="8">
        <f>IF(OR($H$275="",NOT(MAXIFS(SAISIE!$D$210:$D$409,SAISIE!$B$210:$B$409,"*Vent Av./Arr.*",SAISIE!$E$210:$E$409,$H$275)&gt;0)),"","Vent Av./Arr.")</f>
        <v/>
      </c>
      <c r="B282" s="9">
        <f>IF(OR($H$275="",NOT(MAXIFS(SAISIE!$D$210:$D$409,SAISIE!$B$210:$B$409,"*Vent Av./Arr.*",SAISIE!$E$210:$E$409,$H$275)&gt;0)),"",IFERROR(INDEX(SAISIE!$C$210:$C$409,MATCH(MAXIFS(SAISIE!$D$210:$D$409,SAISIE!$B$210:$B$409,"*Vent Av./Arr.*",SAISIE!$E$210:$E$409,$H$275),SAISIE!$D$210:$D$409,0)),"-"))</f>
        <v/>
      </c>
      <c r="C282" s="9">
        <f>IF(OR($H$275="",NOT(MAXIFS(SAISIE!$D$210:$D$409,SAISIE!$B$210:$B$409,"*Vent Av./Arr.*",SAISIE!$E$210:$E$409,$H$275)&gt;0)),"",IFERROR(MAXIFS(SAISIE!$D$210:$D$409,SAISIE!$B$210:$B$409,"*Vent Av./Arr.*",SAISIE!$E$210:$E$409,$H$275),"-"))</f>
        <v/>
      </c>
      <c r="D282" s="9">
        <f>IF($H$275="","",IF(OR(C282="",C282="-"),"",IF(C282&gt;0,"(soulevement)",IF(C282&lt;0,"(compression)","-"))))</f>
        <v/>
      </c>
    </row>
    <row r="283">
      <c r="A283" s="8">
        <f>IF(OR($H$275="",NOT(COUNTIFS(SAISIE!$B$210:$B$409,"*Vent Arr./Av.*",SAISIE!$E$210:$E$409,$H$275)&gt;0)),"","Vent Arr./Av.")</f>
        <v/>
      </c>
      <c r="B283" s="9">
        <f>IF(OR($H$275="",NOT(COUNTIFS(SAISIE!$B$210:$B$409,"*Vent Arr./Av.*",SAISIE!$E$210:$E$409,$H$275)&gt;0)),"",IFERROR(IF(MINIFS(SAISIE!$D$210:$D$409,SAISIE!$B$210:$B$409,"*Vent Arr./Av.*",SAISIE!$E$210:$E$409,$H$275)&gt;=0,MAXIFS(SAISIE!$C$210:$C$409,SAISIE!$B$210:$B$409,"*Vent Arr./Av.*",SAISIE!$E$210:$E$409,$H$275),INDEX(SAISIE!$C$210:$C$409,MATCH(MINIFS(SAISIE!$D$210:$D$409,SAISIE!$B$210:$B$409,"*Vent Arr./Av.*",SAISIE!$E$210:$E$409,$H$275),SAISIE!$D$210:$D$409,0))),"-"))</f>
        <v/>
      </c>
      <c r="C283" s="9">
        <f>IF(OR($H$275="",NOT(COUNTIFS(SAISIE!$B$210:$B$409,"*Vent Arr./Av.*",SAISIE!$E$210:$E$409,$H$275)&gt;0)),"",IFERROR(IF(MINIFS(SAISIE!$D$210:$D$409,SAISIE!$B$210:$B$409,"*Vent Arr./Av.*",SAISIE!$E$210:$E$409,$H$275)&gt;=0,0,MINIFS(SAISIE!$D$210:$D$409,SAISIE!$B$210:$B$409,"*Vent Arr./Av.*",SAISIE!$E$210:$E$409,$H$275)),"-"))</f>
        <v/>
      </c>
      <c r="D283" s="9">
        <f>IF($H$275="","",IF(OR(C283="",C283="-"),"",IF(C283&gt;0,"(soulevement)",IF(C283&lt;0,"(compression)","-"))))</f>
        <v/>
      </c>
    </row>
    <row r="284">
      <c r="A284" s="8">
        <f>IF(OR($H$275="",NOT(MAXIFS(SAISIE!$D$210:$D$409,SAISIE!$B$210:$B$409,"*Vent Arr./Av.*",SAISIE!$E$210:$E$409,$H$275)&gt;0)),"","Vent Arr./Av.")</f>
        <v/>
      </c>
      <c r="B284" s="9">
        <f>IF(OR($H$275="",NOT(MAXIFS(SAISIE!$D$210:$D$409,SAISIE!$B$210:$B$409,"*Vent Arr./Av.*",SAISIE!$E$210:$E$409,$H$275)&gt;0)),"",IFERROR(INDEX(SAISIE!$C$210:$C$409,MATCH(MAXIFS(SAISIE!$D$210:$D$409,SAISIE!$B$210:$B$409,"*Vent Arr./Av.*",SAISIE!$E$210:$E$409,$H$275),SAISIE!$D$210:$D$409,0)),"-"))</f>
        <v/>
      </c>
      <c r="C284" s="9">
        <f>IF(OR($H$275="",NOT(MAXIFS(SAISIE!$D$210:$D$409,SAISIE!$B$210:$B$409,"*Vent Arr./Av.*",SAISIE!$E$210:$E$409,$H$275)&gt;0)),"",IFERROR(MAXIFS(SAISIE!$D$210:$D$409,SAISIE!$B$210:$B$409,"*Vent Arr./Av.*",SAISIE!$E$210:$E$409,$H$275),"-"))</f>
        <v/>
      </c>
      <c r="D284" s="9">
        <f>IF($H$275="","",IF(OR(C284="",C284="-"),"",IF(C284&gt;0,"(soulevement)",IF(C284&lt;0,"(compression)","-"))))</f>
        <v/>
      </c>
    </row>
    <row r="285">
      <c r="A285" s="8">
        <f>IF(OR($H$275="",NOT(TRUE)),"","Neige normale")</f>
        <v/>
      </c>
      <c r="B285" s="9">
        <f>IF($H$275="","",IFERROR(INDEX(SAISIE!$C$210:$C$409,MATCH(MINIFS(SAISIE!$D$210:$D$409,SAISIE!$B$210:$B$409,"*Neige*",SAISIE!$B$210:$B$409,"&lt;&gt;*accidentel*",SAISIE!$E$210:$E$409,$H$275),SAISIE!$D$210:$D$409,0)),"-"))</f>
        <v/>
      </c>
      <c r="C285" s="9">
        <f>IF($H$275="","",IFERROR(INDEX(SAISIE!$D$210:$D$409,MATCH(MINIFS(SAISIE!$D$210:$D$409,SAISIE!$B$210:$B$409,"*Neige*",SAISIE!$B$210:$B$409,"&lt;&gt;*accidentel*",SAISIE!$E$210:$E$409,$H$275),SAISIE!$D$210:$D$409,0)),"-"))</f>
        <v/>
      </c>
      <c r="D285" s="9">
        <f>IF($H$275="","",IF(OR(C285="",C285="-"),"",IF(C285&gt;0,"(soulevement)",IF(C285&lt;0,"(compression)","-"))))</f>
        <v/>
      </c>
    </row>
    <row r="286">
      <c r="A286" s="8">
        <f>IF(OR($H$275="",NOT(TRUE)),"","Neige accidentelle")</f>
        <v/>
      </c>
      <c r="B286" s="9">
        <f>IF($H$275="","",IFERROR(LOOKUP(2,1/((SAISIE!$E$210:$E$409=$H$275)*(ISNUMBER(SEARCH("accidentel",SAISIE!$B$210:$B$409)))),SAISIE!$C$210:$C$409),"-"))</f>
        <v/>
      </c>
      <c r="C286" s="9">
        <f>IF($H$275="","",IFERROR(LOOKUP(2,1/((SAISIE!$E$210:$E$409=$H$275)*(ISNUMBER(SEARCH("accidentel",SAISIE!$B$210:$B$409)))),SAISIE!$D$210:$D$409),"-"))</f>
        <v/>
      </c>
      <c r="D286" s="9">
        <f>IF($H$275="","",IF(OR(C286="",C286="-"),"",IF(C286&gt;0,"(soulevement)",IF(C286&lt;0,"(compression)","-"))))</f>
        <v/>
      </c>
    </row>
    <row r="287">
      <c r="A287" s="6">
        <f>IF($H$287="","","Noeud "&amp;$H$287)</f>
        <v/>
      </c>
      <c r="B287" s="7" t="n"/>
      <c r="C287" s="7" t="n"/>
      <c r="D287" s="7" t="n"/>
      <c r="H287">
        <f>IFERROR(INDEX(SAISIE!$E$210:$E$409,AGGREGATE(15,6,ROW(SAISIE!$E$210:$E$409)-ROW(SAISIE!$E$210)+1/(SAISIE!$E$210:$E$409&lt;&gt;"")/(COUNTIF($H$4:H286,SAISIE!$E$210:$E$409)=0),1)),"")</f>
        <v/>
      </c>
    </row>
    <row r="288">
      <c r="A288" s="8">
        <f>IF(OR($H$287="",NOT(TRUE)),"","Couverture")</f>
        <v/>
      </c>
      <c r="B288" s="9">
        <f>IF($H$287="","",IFERROR(IFERROR(LOOKUP(2,1/((SAISIE!$E$210:$E$409=$H$287)*(LEFT(SAISIE!$B$210:$B$409,2)="G ")),SAISIE!$C$210:$C$409),LOOKUP(2,1/((SAISIE!$E$210:$E$409=$H$287)*(ISNUMBER(SEARCH("Couverture",SAISIE!$B$210:$B$409)))),SAISIE!$C$210:$C$409)),"-"))</f>
        <v/>
      </c>
      <c r="C288" s="9">
        <f>IF($H$287="","",IFERROR(IFERROR(LOOKUP(2,1/((SAISIE!$E$210:$E$409=$H$287)*(LEFT(SAISIE!$B$210:$B$409,2)="G ")),SAISIE!$D$210:$D$409),LOOKUP(2,1/((SAISIE!$E$210:$E$409=$H$287)*(ISNUMBER(SEARCH("Couverture",SAISIE!$B$210:$B$409)))),SAISIE!$D$210:$D$409)),"-"))</f>
        <v/>
      </c>
      <c r="D288" s="9">
        <f>IF($H$287="","",IF(OR(C288="",C288="-"),"",IF(C288&gt;0,"(soulevement)",IF(C288&lt;0,"(compression)","-"))))</f>
        <v/>
      </c>
    </row>
    <row r="289">
      <c r="A289" s="8">
        <f>IF(OR($H$287="",NOT(COUNTIFS(SAISIE!$B$210:$B$409,"*Vent G/D*",SAISIE!$E$210:$E$409,$H$287)&gt;0)),"","Vent G/D")</f>
        <v/>
      </c>
      <c r="B289" s="9">
        <f>IF(OR($H$287="",NOT(COUNTIFS(SAISIE!$B$210:$B$409,"*Vent G/D*",SAISIE!$E$210:$E$409,$H$287)&gt;0)),"",IFERROR(IF(MINIFS(SAISIE!$D$210:$D$409,SAISIE!$B$210:$B$409,"*Vent G/D*",SAISIE!$E$210:$E$409,$H$287)&gt;=0,MAXIFS(SAISIE!$C$210:$C$409,SAISIE!$B$210:$B$409,"*Vent G/D*",SAISIE!$E$210:$E$409,$H$287),INDEX(SAISIE!$C$210:$C$409,MATCH(MINIFS(SAISIE!$D$210:$D$409,SAISIE!$B$210:$B$409,"*Vent G/D*",SAISIE!$E$210:$E$409,$H$287),SAISIE!$D$210:$D$409,0))),"-"))</f>
        <v/>
      </c>
      <c r="C289" s="9">
        <f>IF(OR($H$287="",NOT(COUNTIFS(SAISIE!$B$210:$B$409,"*Vent G/D*",SAISIE!$E$210:$E$409,$H$287)&gt;0)),"",IFERROR(IF(MINIFS(SAISIE!$D$210:$D$409,SAISIE!$B$210:$B$409,"*Vent G/D*",SAISIE!$E$210:$E$409,$H$287)&gt;=0,0,MINIFS(SAISIE!$D$210:$D$409,SAISIE!$B$210:$B$409,"*Vent G/D*",SAISIE!$E$210:$E$409,$H$287)),"-"))</f>
        <v/>
      </c>
      <c r="D289" s="9">
        <f>IF($H$287="","",IF(OR(C289="",C289="-"),"",IF(C289&gt;0,"(soulevement)",IF(C289&lt;0,"(compression)","-"))))</f>
        <v/>
      </c>
    </row>
    <row r="290">
      <c r="A290" s="8">
        <f>IF(OR($H$287="",NOT(MAXIFS(SAISIE!$D$210:$D$409,SAISIE!$B$210:$B$409,"*Vent G/D*",SAISIE!$E$210:$E$409,$H$287)&gt;0)),"","Vent G/D")</f>
        <v/>
      </c>
      <c r="B290" s="9">
        <f>IF(OR($H$287="",NOT(MAXIFS(SAISIE!$D$210:$D$409,SAISIE!$B$210:$B$409,"*Vent G/D*",SAISIE!$E$210:$E$409,$H$287)&gt;0)),"",IFERROR(INDEX(SAISIE!$C$210:$C$409,MATCH(MAXIFS(SAISIE!$D$210:$D$409,SAISIE!$B$210:$B$409,"*Vent G/D*",SAISIE!$E$210:$E$409,$H$287),SAISIE!$D$210:$D$409,0)),"-"))</f>
        <v/>
      </c>
      <c r="C290" s="9">
        <f>IF(OR($H$287="",NOT(MAXIFS(SAISIE!$D$210:$D$409,SAISIE!$B$210:$B$409,"*Vent G/D*",SAISIE!$E$210:$E$409,$H$287)&gt;0)),"",IFERROR(MAXIFS(SAISIE!$D$210:$D$409,SAISIE!$B$210:$B$409,"*Vent G/D*",SAISIE!$E$210:$E$409,$H$287),"-"))</f>
        <v/>
      </c>
      <c r="D290" s="9">
        <f>IF($H$287="","",IF(OR(C290="",C290="-"),"",IF(C290&gt;0,"(soulevement)",IF(C290&lt;0,"(compression)","-"))))</f>
        <v/>
      </c>
    </row>
    <row r="291">
      <c r="A291" s="8">
        <f>IF(OR($H$287="",NOT(COUNTIFS(SAISIE!$B$210:$B$409,"*Vent D/G*",SAISIE!$E$210:$E$409,$H$287)&gt;0)),"","Vent D/G")</f>
        <v/>
      </c>
      <c r="B291" s="9">
        <f>IF(OR($H$287="",NOT(COUNTIFS(SAISIE!$B$210:$B$409,"*Vent D/G*",SAISIE!$E$210:$E$409,$H$287)&gt;0)),"",IFERROR(IF(MINIFS(SAISIE!$D$210:$D$409,SAISIE!$B$210:$B$409,"*Vent D/G*",SAISIE!$E$210:$E$409,$H$287)&gt;=0,MAXIFS(SAISIE!$C$210:$C$409,SAISIE!$B$210:$B$409,"*Vent D/G*",SAISIE!$E$210:$E$409,$H$287),INDEX(SAISIE!$C$210:$C$409,MATCH(MINIFS(SAISIE!$D$210:$D$409,SAISIE!$B$210:$B$409,"*Vent D/G*",SAISIE!$E$210:$E$409,$H$287),SAISIE!$D$210:$D$409,0))),"-"))</f>
        <v/>
      </c>
      <c r="C291" s="9">
        <f>IF(OR($H$287="",NOT(COUNTIFS(SAISIE!$B$210:$B$409,"*Vent D/G*",SAISIE!$E$210:$E$409,$H$287)&gt;0)),"",IFERROR(IF(MINIFS(SAISIE!$D$210:$D$409,SAISIE!$B$210:$B$409,"*Vent D/G*",SAISIE!$E$210:$E$409,$H$287)&gt;=0,0,MINIFS(SAISIE!$D$210:$D$409,SAISIE!$B$210:$B$409,"*Vent D/G*",SAISIE!$E$210:$E$409,$H$287)),"-"))</f>
        <v/>
      </c>
      <c r="D291" s="9">
        <f>IF($H$287="","",IF(OR(C291="",C291="-"),"",IF(C291&gt;0,"(soulevement)",IF(C291&lt;0,"(compression)","-"))))</f>
        <v/>
      </c>
    </row>
    <row r="292">
      <c r="A292" s="8">
        <f>IF(OR($H$287="",NOT(MAXIFS(SAISIE!$D$210:$D$409,SAISIE!$B$210:$B$409,"*Vent D/G*",SAISIE!$E$210:$E$409,$H$287)&gt;0)),"","Vent D/G")</f>
        <v/>
      </c>
      <c r="B292" s="9">
        <f>IF(OR($H$287="",NOT(MAXIFS(SAISIE!$D$210:$D$409,SAISIE!$B$210:$B$409,"*Vent D/G*",SAISIE!$E$210:$E$409,$H$287)&gt;0)),"",IFERROR(INDEX(SAISIE!$C$210:$C$409,MATCH(MAXIFS(SAISIE!$D$210:$D$409,SAISIE!$B$210:$B$409,"*Vent D/G*",SAISIE!$E$210:$E$409,$H$287),SAISIE!$D$210:$D$409,0)),"-"))</f>
        <v/>
      </c>
      <c r="C292" s="9">
        <f>IF(OR($H$287="",NOT(MAXIFS(SAISIE!$D$210:$D$409,SAISIE!$B$210:$B$409,"*Vent D/G*",SAISIE!$E$210:$E$409,$H$287)&gt;0)),"",IFERROR(MAXIFS(SAISIE!$D$210:$D$409,SAISIE!$B$210:$B$409,"*Vent D/G*",SAISIE!$E$210:$E$409,$H$287),"-"))</f>
        <v/>
      </c>
      <c r="D292" s="9">
        <f>IF($H$287="","",IF(OR(C292="",C292="-"),"",IF(C292&gt;0,"(soulevement)",IF(C292&lt;0,"(compression)","-"))))</f>
        <v/>
      </c>
    </row>
    <row r="293">
      <c r="A293" s="8">
        <f>IF(OR($H$287="",NOT(COUNTIFS(SAISIE!$B$210:$B$409,"*Vent Av./Arr.*",SAISIE!$E$210:$E$409,$H$287)&gt;0)),"","Vent Av./Arr.")</f>
        <v/>
      </c>
      <c r="B293" s="9">
        <f>IF(OR($H$287="",NOT(COUNTIFS(SAISIE!$B$210:$B$409,"*Vent Av./Arr.*",SAISIE!$E$210:$E$409,$H$287)&gt;0)),"",IFERROR(IF(MINIFS(SAISIE!$D$210:$D$409,SAISIE!$B$210:$B$409,"*Vent Av./Arr.*",SAISIE!$E$210:$E$409,$H$287)&gt;=0,MAXIFS(SAISIE!$C$210:$C$409,SAISIE!$B$210:$B$409,"*Vent Av./Arr.*",SAISIE!$E$210:$E$409,$H$287),INDEX(SAISIE!$C$210:$C$409,MATCH(MINIFS(SAISIE!$D$210:$D$409,SAISIE!$B$210:$B$409,"*Vent Av./Arr.*",SAISIE!$E$210:$E$409,$H$287),SAISIE!$D$210:$D$409,0))),"-"))</f>
        <v/>
      </c>
      <c r="C293" s="9">
        <f>IF(OR($H$287="",NOT(COUNTIFS(SAISIE!$B$210:$B$409,"*Vent Av./Arr.*",SAISIE!$E$210:$E$409,$H$287)&gt;0)),"",IFERROR(IF(MINIFS(SAISIE!$D$210:$D$409,SAISIE!$B$210:$B$409,"*Vent Av./Arr.*",SAISIE!$E$210:$E$409,$H$287)&gt;=0,0,MINIFS(SAISIE!$D$210:$D$409,SAISIE!$B$210:$B$409,"*Vent Av./Arr.*",SAISIE!$E$210:$E$409,$H$287)),"-"))</f>
        <v/>
      </c>
      <c r="D293" s="9">
        <f>IF($H$287="","",IF(OR(C293="",C293="-"),"",IF(C293&gt;0,"(soulevement)",IF(C293&lt;0,"(compression)","-"))))</f>
        <v/>
      </c>
    </row>
    <row r="294">
      <c r="A294" s="8">
        <f>IF(OR($H$287="",NOT(MAXIFS(SAISIE!$D$210:$D$409,SAISIE!$B$210:$B$409,"*Vent Av./Arr.*",SAISIE!$E$210:$E$409,$H$287)&gt;0)),"","Vent Av./Arr.")</f>
        <v/>
      </c>
      <c r="B294" s="9">
        <f>IF(OR($H$287="",NOT(MAXIFS(SAISIE!$D$210:$D$409,SAISIE!$B$210:$B$409,"*Vent Av./Arr.*",SAISIE!$E$210:$E$409,$H$287)&gt;0)),"",IFERROR(INDEX(SAISIE!$C$210:$C$409,MATCH(MAXIFS(SAISIE!$D$210:$D$409,SAISIE!$B$210:$B$409,"*Vent Av./Arr.*",SAISIE!$E$210:$E$409,$H$287),SAISIE!$D$210:$D$409,0)),"-"))</f>
        <v/>
      </c>
      <c r="C294" s="9">
        <f>IF(OR($H$287="",NOT(MAXIFS(SAISIE!$D$210:$D$409,SAISIE!$B$210:$B$409,"*Vent Av./Arr.*",SAISIE!$E$210:$E$409,$H$287)&gt;0)),"",IFERROR(MAXIFS(SAISIE!$D$210:$D$409,SAISIE!$B$210:$B$409,"*Vent Av./Arr.*",SAISIE!$E$210:$E$409,$H$287),"-"))</f>
        <v/>
      </c>
      <c r="D294" s="9">
        <f>IF($H$287="","",IF(OR(C294="",C294="-"),"",IF(C294&gt;0,"(soulevement)",IF(C294&lt;0,"(compression)","-"))))</f>
        <v/>
      </c>
    </row>
    <row r="295">
      <c r="A295" s="8">
        <f>IF(OR($H$287="",NOT(COUNTIFS(SAISIE!$B$210:$B$409,"*Vent Arr./Av.*",SAISIE!$E$210:$E$409,$H$287)&gt;0)),"","Vent Arr./Av.")</f>
        <v/>
      </c>
      <c r="B295" s="9">
        <f>IF(OR($H$287="",NOT(COUNTIFS(SAISIE!$B$210:$B$409,"*Vent Arr./Av.*",SAISIE!$E$210:$E$409,$H$287)&gt;0)),"",IFERROR(IF(MINIFS(SAISIE!$D$210:$D$409,SAISIE!$B$210:$B$409,"*Vent Arr./Av.*",SAISIE!$E$210:$E$409,$H$287)&gt;=0,MAXIFS(SAISIE!$C$210:$C$409,SAISIE!$B$210:$B$409,"*Vent Arr./Av.*",SAISIE!$E$210:$E$409,$H$287),INDEX(SAISIE!$C$210:$C$409,MATCH(MINIFS(SAISIE!$D$210:$D$409,SAISIE!$B$210:$B$409,"*Vent Arr./Av.*",SAISIE!$E$210:$E$409,$H$287),SAISIE!$D$210:$D$409,0))),"-"))</f>
        <v/>
      </c>
      <c r="C295" s="9">
        <f>IF(OR($H$287="",NOT(COUNTIFS(SAISIE!$B$210:$B$409,"*Vent Arr./Av.*",SAISIE!$E$210:$E$409,$H$287)&gt;0)),"",IFERROR(IF(MINIFS(SAISIE!$D$210:$D$409,SAISIE!$B$210:$B$409,"*Vent Arr./Av.*",SAISIE!$E$210:$E$409,$H$287)&gt;=0,0,MINIFS(SAISIE!$D$210:$D$409,SAISIE!$B$210:$B$409,"*Vent Arr./Av.*",SAISIE!$E$210:$E$409,$H$287)),"-"))</f>
        <v/>
      </c>
      <c r="D295" s="9">
        <f>IF($H$287="","",IF(OR(C295="",C295="-"),"",IF(C295&gt;0,"(soulevement)",IF(C295&lt;0,"(compression)","-"))))</f>
        <v/>
      </c>
    </row>
    <row r="296">
      <c r="A296" s="8">
        <f>IF(OR($H$287="",NOT(MAXIFS(SAISIE!$D$210:$D$409,SAISIE!$B$210:$B$409,"*Vent Arr./Av.*",SAISIE!$E$210:$E$409,$H$287)&gt;0)),"","Vent Arr./Av.")</f>
        <v/>
      </c>
      <c r="B296" s="9">
        <f>IF(OR($H$287="",NOT(MAXIFS(SAISIE!$D$210:$D$409,SAISIE!$B$210:$B$409,"*Vent Arr./Av.*",SAISIE!$E$210:$E$409,$H$287)&gt;0)),"",IFERROR(INDEX(SAISIE!$C$210:$C$409,MATCH(MAXIFS(SAISIE!$D$210:$D$409,SAISIE!$B$210:$B$409,"*Vent Arr./Av.*",SAISIE!$E$210:$E$409,$H$287),SAISIE!$D$210:$D$409,0)),"-"))</f>
        <v/>
      </c>
      <c r="C296" s="9">
        <f>IF(OR($H$287="",NOT(MAXIFS(SAISIE!$D$210:$D$409,SAISIE!$B$210:$B$409,"*Vent Arr./Av.*",SAISIE!$E$210:$E$409,$H$287)&gt;0)),"",IFERROR(MAXIFS(SAISIE!$D$210:$D$409,SAISIE!$B$210:$B$409,"*Vent Arr./Av.*",SAISIE!$E$210:$E$409,$H$287),"-"))</f>
        <v/>
      </c>
      <c r="D296" s="9">
        <f>IF($H$287="","",IF(OR(C296="",C296="-"),"",IF(C296&gt;0,"(soulevement)",IF(C296&lt;0,"(compression)","-"))))</f>
        <v/>
      </c>
    </row>
    <row r="297">
      <c r="A297" s="8">
        <f>IF(OR($H$287="",NOT(TRUE)),"","Neige normale")</f>
        <v/>
      </c>
      <c r="B297" s="9">
        <f>IF($H$287="","",IFERROR(INDEX(SAISIE!$C$210:$C$409,MATCH(MINIFS(SAISIE!$D$210:$D$409,SAISIE!$B$210:$B$409,"*Neige*",SAISIE!$B$210:$B$409,"&lt;&gt;*accidentel*",SAISIE!$E$210:$E$409,$H$287),SAISIE!$D$210:$D$409,0)),"-"))</f>
        <v/>
      </c>
      <c r="C297" s="9">
        <f>IF($H$287="","",IFERROR(INDEX(SAISIE!$D$210:$D$409,MATCH(MINIFS(SAISIE!$D$210:$D$409,SAISIE!$B$210:$B$409,"*Neige*",SAISIE!$B$210:$B$409,"&lt;&gt;*accidentel*",SAISIE!$E$210:$E$409,$H$287),SAISIE!$D$210:$D$409,0)),"-"))</f>
        <v/>
      </c>
      <c r="D297" s="9">
        <f>IF($H$287="","",IF(OR(C297="",C297="-"),"",IF(C297&gt;0,"(soulevement)",IF(C297&lt;0,"(compression)","-"))))</f>
        <v/>
      </c>
    </row>
    <row r="298">
      <c r="A298" s="8">
        <f>IF(OR($H$287="",NOT(TRUE)),"","Neige accidentelle")</f>
        <v/>
      </c>
      <c r="B298" s="9">
        <f>IF($H$287="","",IFERROR(LOOKUP(2,1/((SAISIE!$E$210:$E$409=$H$287)*(ISNUMBER(SEARCH("accidentel",SAISIE!$B$210:$B$409)))),SAISIE!$C$210:$C$409),"-"))</f>
        <v/>
      </c>
      <c r="C298" s="9">
        <f>IF($H$287="","",IFERROR(LOOKUP(2,1/((SAISIE!$E$210:$E$409=$H$287)*(ISNUMBER(SEARCH("accidentel",SAISIE!$B$210:$B$409)))),SAISIE!$D$210:$D$409),"-"))</f>
        <v/>
      </c>
      <c r="D298" s="9">
        <f>IF($H$287="","",IF(OR(C298="",C298="-"),"",IF(C298&gt;0,"(soulevement)",IF(C298&lt;0,"(compression)","-"))))</f>
        <v/>
      </c>
    </row>
    <row r="299">
      <c r="A299" s="6">
        <f>IF($H$299="","","Noeud "&amp;$H$299)</f>
        <v/>
      </c>
      <c r="B299" s="7" t="n"/>
      <c r="C299" s="7" t="n"/>
      <c r="D299" s="7" t="n"/>
      <c r="H299">
        <f>IFERROR(INDEX(SAISIE!$E$210:$E$409,AGGREGATE(15,6,ROW(SAISIE!$E$210:$E$409)-ROW(SAISIE!$E$210)+1/(SAISIE!$E$210:$E$409&lt;&gt;"")/(COUNTIF($H$4:H298,SAISIE!$E$210:$E$409)=0),1)),"")</f>
        <v/>
      </c>
    </row>
    <row r="300">
      <c r="A300" s="8">
        <f>IF(OR($H$299="",NOT(TRUE)),"","Couverture")</f>
        <v/>
      </c>
      <c r="B300" s="9">
        <f>IF($H$299="","",IFERROR(IFERROR(LOOKUP(2,1/((SAISIE!$E$210:$E$409=$H$299)*(LEFT(SAISIE!$B$210:$B$409,2)="G ")),SAISIE!$C$210:$C$409),LOOKUP(2,1/((SAISIE!$E$210:$E$409=$H$299)*(ISNUMBER(SEARCH("Couverture",SAISIE!$B$210:$B$409)))),SAISIE!$C$210:$C$409)),"-"))</f>
        <v/>
      </c>
      <c r="C300" s="9">
        <f>IF($H$299="","",IFERROR(IFERROR(LOOKUP(2,1/((SAISIE!$E$210:$E$409=$H$299)*(LEFT(SAISIE!$B$210:$B$409,2)="G ")),SAISIE!$D$210:$D$409),LOOKUP(2,1/((SAISIE!$E$210:$E$409=$H$299)*(ISNUMBER(SEARCH("Couverture",SAISIE!$B$210:$B$409)))),SAISIE!$D$210:$D$409)),"-"))</f>
        <v/>
      </c>
      <c r="D300" s="9">
        <f>IF($H$299="","",IF(OR(C300="",C300="-"),"",IF(C300&gt;0,"(soulevement)",IF(C300&lt;0,"(compression)","-"))))</f>
        <v/>
      </c>
    </row>
    <row r="301">
      <c r="A301" s="8">
        <f>IF(OR($H$299="",NOT(COUNTIFS(SAISIE!$B$210:$B$409,"*Vent G/D*",SAISIE!$E$210:$E$409,$H$299)&gt;0)),"","Vent G/D")</f>
        <v/>
      </c>
      <c r="B301" s="9">
        <f>IF(OR($H$299="",NOT(COUNTIFS(SAISIE!$B$210:$B$409,"*Vent G/D*",SAISIE!$E$210:$E$409,$H$299)&gt;0)),"",IFERROR(IF(MINIFS(SAISIE!$D$210:$D$409,SAISIE!$B$210:$B$409,"*Vent G/D*",SAISIE!$E$210:$E$409,$H$299)&gt;=0,MAXIFS(SAISIE!$C$210:$C$409,SAISIE!$B$210:$B$409,"*Vent G/D*",SAISIE!$E$210:$E$409,$H$299),INDEX(SAISIE!$C$210:$C$409,MATCH(MINIFS(SAISIE!$D$210:$D$409,SAISIE!$B$210:$B$409,"*Vent G/D*",SAISIE!$E$210:$E$409,$H$299),SAISIE!$D$210:$D$409,0))),"-"))</f>
        <v/>
      </c>
      <c r="C301" s="9">
        <f>IF(OR($H$299="",NOT(COUNTIFS(SAISIE!$B$210:$B$409,"*Vent G/D*",SAISIE!$E$210:$E$409,$H$299)&gt;0)),"",IFERROR(IF(MINIFS(SAISIE!$D$210:$D$409,SAISIE!$B$210:$B$409,"*Vent G/D*",SAISIE!$E$210:$E$409,$H$299)&gt;=0,0,MINIFS(SAISIE!$D$210:$D$409,SAISIE!$B$210:$B$409,"*Vent G/D*",SAISIE!$E$210:$E$409,$H$299)),"-"))</f>
        <v/>
      </c>
      <c r="D301" s="9">
        <f>IF($H$299="","",IF(OR(C301="",C301="-"),"",IF(C301&gt;0,"(soulevement)",IF(C301&lt;0,"(compression)","-"))))</f>
        <v/>
      </c>
    </row>
    <row r="302">
      <c r="A302" s="8">
        <f>IF(OR($H$299="",NOT(MAXIFS(SAISIE!$D$210:$D$409,SAISIE!$B$210:$B$409,"*Vent G/D*",SAISIE!$E$210:$E$409,$H$299)&gt;0)),"","Vent G/D")</f>
        <v/>
      </c>
      <c r="B302" s="9">
        <f>IF(OR($H$299="",NOT(MAXIFS(SAISIE!$D$210:$D$409,SAISIE!$B$210:$B$409,"*Vent G/D*",SAISIE!$E$210:$E$409,$H$299)&gt;0)),"",IFERROR(INDEX(SAISIE!$C$210:$C$409,MATCH(MAXIFS(SAISIE!$D$210:$D$409,SAISIE!$B$210:$B$409,"*Vent G/D*",SAISIE!$E$210:$E$409,$H$299),SAISIE!$D$210:$D$409,0)),"-"))</f>
        <v/>
      </c>
      <c r="C302" s="9">
        <f>IF(OR($H$299="",NOT(MAXIFS(SAISIE!$D$210:$D$409,SAISIE!$B$210:$B$409,"*Vent G/D*",SAISIE!$E$210:$E$409,$H$299)&gt;0)),"",IFERROR(MAXIFS(SAISIE!$D$210:$D$409,SAISIE!$B$210:$B$409,"*Vent G/D*",SAISIE!$E$210:$E$409,$H$299),"-"))</f>
        <v/>
      </c>
      <c r="D302" s="9">
        <f>IF($H$299="","",IF(OR(C302="",C302="-"),"",IF(C302&gt;0,"(soulevement)",IF(C302&lt;0,"(compression)","-"))))</f>
        <v/>
      </c>
    </row>
    <row r="303">
      <c r="A303" s="8">
        <f>IF(OR($H$299="",NOT(COUNTIFS(SAISIE!$B$210:$B$409,"*Vent D/G*",SAISIE!$E$210:$E$409,$H$299)&gt;0)),"","Vent D/G")</f>
        <v/>
      </c>
      <c r="B303" s="9">
        <f>IF(OR($H$299="",NOT(COUNTIFS(SAISIE!$B$210:$B$409,"*Vent D/G*",SAISIE!$E$210:$E$409,$H$299)&gt;0)),"",IFERROR(IF(MINIFS(SAISIE!$D$210:$D$409,SAISIE!$B$210:$B$409,"*Vent D/G*",SAISIE!$E$210:$E$409,$H$299)&gt;=0,MAXIFS(SAISIE!$C$210:$C$409,SAISIE!$B$210:$B$409,"*Vent D/G*",SAISIE!$E$210:$E$409,$H$299),INDEX(SAISIE!$C$210:$C$409,MATCH(MINIFS(SAISIE!$D$210:$D$409,SAISIE!$B$210:$B$409,"*Vent D/G*",SAISIE!$E$210:$E$409,$H$299),SAISIE!$D$210:$D$409,0))),"-"))</f>
        <v/>
      </c>
      <c r="C303" s="9">
        <f>IF(OR($H$299="",NOT(COUNTIFS(SAISIE!$B$210:$B$409,"*Vent D/G*",SAISIE!$E$210:$E$409,$H$299)&gt;0)),"",IFERROR(IF(MINIFS(SAISIE!$D$210:$D$409,SAISIE!$B$210:$B$409,"*Vent D/G*",SAISIE!$E$210:$E$409,$H$299)&gt;=0,0,MINIFS(SAISIE!$D$210:$D$409,SAISIE!$B$210:$B$409,"*Vent D/G*",SAISIE!$E$210:$E$409,$H$299)),"-"))</f>
        <v/>
      </c>
      <c r="D303" s="9">
        <f>IF($H$299="","",IF(OR(C303="",C303="-"),"",IF(C303&gt;0,"(soulevement)",IF(C303&lt;0,"(compression)","-"))))</f>
        <v/>
      </c>
    </row>
    <row r="304">
      <c r="A304" s="8">
        <f>IF(OR($H$299="",NOT(MAXIFS(SAISIE!$D$210:$D$409,SAISIE!$B$210:$B$409,"*Vent D/G*",SAISIE!$E$210:$E$409,$H$299)&gt;0)),"","Vent D/G")</f>
        <v/>
      </c>
      <c r="B304" s="9">
        <f>IF(OR($H$299="",NOT(MAXIFS(SAISIE!$D$210:$D$409,SAISIE!$B$210:$B$409,"*Vent D/G*",SAISIE!$E$210:$E$409,$H$299)&gt;0)),"",IFERROR(INDEX(SAISIE!$C$210:$C$409,MATCH(MAXIFS(SAISIE!$D$210:$D$409,SAISIE!$B$210:$B$409,"*Vent D/G*",SAISIE!$E$210:$E$409,$H$299),SAISIE!$D$210:$D$409,0)),"-"))</f>
        <v/>
      </c>
      <c r="C304" s="9">
        <f>IF(OR($H$299="",NOT(MAXIFS(SAISIE!$D$210:$D$409,SAISIE!$B$210:$B$409,"*Vent D/G*",SAISIE!$E$210:$E$409,$H$299)&gt;0)),"",IFERROR(MAXIFS(SAISIE!$D$210:$D$409,SAISIE!$B$210:$B$409,"*Vent D/G*",SAISIE!$E$210:$E$409,$H$299),"-"))</f>
        <v/>
      </c>
      <c r="D304" s="9">
        <f>IF($H$299="","",IF(OR(C304="",C304="-"),"",IF(C304&gt;0,"(soulevement)",IF(C304&lt;0,"(compression)","-"))))</f>
        <v/>
      </c>
    </row>
    <row r="305">
      <c r="A305" s="8">
        <f>IF(OR($H$299="",NOT(COUNTIFS(SAISIE!$B$210:$B$409,"*Vent Av./Arr.*",SAISIE!$E$210:$E$409,$H$299)&gt;0)),"","Vent Av./Arr.")</f>
        <v/>
      </c>
      <c r="B305" s="9">
        <f>IF(OR($H$299="",NOT(COUNTIFS(SAISIE!$B$210:$B$409,"*Vent Av./Arr.*",SAISIE!$E$210:$E$409,$H$299)&gt;0)),"",IFERROR(IF(MINIFS(SAISIE!$D$210:$D$409,SAISIE!$B$210:$B$409,"*Vent Av./Arr.*",SAISIE!$E$210:$E$409,$H$299)&gt;=0,MAXIFS(SAISIE!$C$210:$C$409,SAISIE!$B$210:$B$409,"*Vent Av./Arr.*",SAISIE!$E$210:$E$409,$H$299),INDEX(SAISIE!$C$210:$C$409,MATCH(MINIFS(SAISIE!$D$210:$D$409,SAISIE!$B$210:$B$409,"*Vent Av./Arr.*",SAISIE!$E$210:$E$409,$H$299),SAISIE!$D$210:$D$409,0))),"-"))</f>
        <v/>
      </c>
      <c r="C305" s="9">
        <f>IF(OR($H$299="",NOT(COUNTIFS(SAISIE!$B$210:$B$409,"*Vent Av./Arr.*",SAISIE!$E$210:$E$409,$H$299)&gt;0)),"",IFERROR(IF(MINIFS(SAISIE!$D$210:$D$409,SAISIE!$B$210:$B$409,"*Vent Av./Arr.*",SAISIE!$E$210:$E$409,$H$299)&gt;=0,0,MINIFS(SAISIE!$D$210:$D$409,SAISIE!$B$210:$B$409,"*Vent Av./Arr.*",SAISIE!$E$210:$E$409,$H$299)),"-"))</f>
        <v/>
      </c>
      <c r="D305" s="9">
        <f>IF($H$299="","",IF(OR(C305="",C305="-"),"",IF(C305&gt;0,"(soulevement)",IF(C305&lt;0,"(compression)","-"))))</f>
        <v/>
      </c>
    </row>
    <row r="306">
      <c r="A306" s="8">
        <f>IF(OR($H$299="",NOT(MAXIFS(SAISIE!$D$210:$D$409,SAISIE!$B$210:$B$409,"*Vent Av./Arr.*",SAISIE!$E$210:$E$409,$H$299)&gt;0)),"","Vent Av./Arr.")</f>
        <v/>
      </c>
      <c r="B306" s="9">
        <f>IF(OR($H$299="",NOT(MAXIFS(SAISIE!$D$210:$D$409,SAISIE!$B$210:$B$409,"*Vent Av./Arr.*",SAISIE!$E$210:$E$409,$H$299)&gt;0)),"",IFERROR(INDEX(SAISIE!$C$210:$C$409,MATCH(MAXIFS(SAISIE!$D$210:$D$409,SAISIE!$B$210:$B$409,"*Vent Av./Arr.*",SAISIE!$E$210:$E$409,$H$299),SAISIE!$D$210:$D$409,0)),"-"))</f>
        <v/>
      </c>
      <c r="C306" s="9">
        <f>IF(OR($H$299="",NOT(MAXIFS(SAISIE!$D$210:$D$409,SAISIE!$B$210:$B$409,"*Vent Av./Arr.*",SAISIE!$E$210:$E$409,$H$299)&gt;0)),"",IFERROR(MAXIFS(SAISIE!$D$210:$D$409,SAISIE!$B$210:$B$409,"*Vent Av./Arr.*",SAISIE!$E$210:$E$409,$H$299),"-"))</f>
        <v/>
      </c>
      <c r="D306" s="9">
        <f>IF($H$299="","",IF(OR(C306="",C306="-"),"",IF(C306&gt;0,"(soulevement)",IF(C306&lt;0,"(compression)","-"))))</f>
        <v/>
      </c>
    </row>
    <row r="307">
      <c r="A307" s="8">
        <f>IF(OR($H$299="",NOT(COUNTIFS(SAISIE!$B$210:$B$409,"*Vent Arr./Av.*",SAISIE!$E$210:$E$409,$H$299)&gt;0)),"","Vent Arr./Av.")</f>
        <v/>
      </c>
      <c r="B307" s="9">
        <f>IF(OR($H$299="",NOT(COUNTIFS(SAISIE!$B$210:$B$409,"*Vent Arr./Av.*",SAISIE!$E$210:$E$409,$H$299)&gt;0)),"",IFERROR(IF(MINIFS(SAISIE!$D$210:$D$409,SAISIE!$B$210:$B$409,"*Vent Arr./Av.*",SAISIE!$E$210:$E$409,$H$299)&gt;=0,MAXIFS(SAISIE!$C$210:$C$409,SAISIE!$B$210:$B$409,"*Vent Arr./Av.*",SAISIE!$E$210:$E$409,$H$299),INDEX(SAISIE!$C$210:$C$409,MATCH(MINIFS(SAISIE!$D$210:$D$409,SAISIE!$B$210:$B$409,"*Vent Arr./Av.*",SAISIE!$E$210:$E$409,$H$299),SAISIE!$D$210:$D$409,0))),"-"))</f>
        <v/>
      </c>
      <c r="C307" s="9">
        <f>IF(OR($H$299="",NOT(COUNTIFS(SAISIE!$B$210:$B$409,"*Vent Arr./Av.*",SAISIE!$E$210:$E$409,$H$299)&gt;0)),"",IFERROR(IF(MINIFS(SAISIE!$D$210:$D$409,SAISIE!$B$210:$B$409,"*Vent Arr./Av.*",SAISIE!$E$210:$E$409,$H$299)&gt;=0,0,MINIFS(SAISIE!$D$210:$D$409,SAISIE!$B$210:$B$409,"*Vent Arr./Av.*",SAISIE!$E$210:$E$409,$H$299)),"-"))</f>
        <v/>
      </c>
      <c r="D307" s="9">
        <f>IF($H$299="","",IF(OR(C307="",C307="-"),"",IF(C307&gt;0,"(soulevement)",IF(C307&lt;0,"(compression)","-"))))</f>
        <v/>
      </c>
    </row>
    <row r="308">
      <c r="A308" s="8">
        <f>IF(OR($H$299="",NOT(MAXIFS(SAISIE!$D$210:$D$409,SAISIE!$B$210:$B$409,"*Vent Arr./Av.*",SAISIE!$E$210:$E$409,$H$299)&gt;0)),"","Vent Arr./Av.")</f>
        <v/>
      </c>
      <c r="B308" s="9">
        <f>IF(OR($H$299="",NOT(MAXIFS(SAISIE!$D$210:$D$409,SAISIE!$B$210:$B$409,"*Vent Arr./Av.*",SAISIE!$E$210:$E$409,$H$299)&gt;0)),"",IFERROR(INDEX(SAISIE!$C$210:$C$409,MATCH(MAXIFS(SAISIE!$D$210:$D$409,SAISIE!$B$210:$B$409,"*Vent Arr./Av.*",SAISIE!$E$210:$E$409,$H$299),SAISIE!$D$210:$D$409,0)),"-"))</f>
        <v/>
      </c>
      <c r="C308" s="9">
        <f>IF(OR($H$299="",NOT(MAXIFS(SAISIE!$D$210:$D$409,SAISIE!$B$210:$B$409,"*Vent Arr./Av.*",SAISIE!$E$210:$E$409,$H$299)&gt;0)),"",IFERROR(MAXIFS(SAISIE!$D$210:$D$409,SAISIE!$B$210:$B$409,"*Vent Arr./Av.*",SAISIE!$E$210:$E$409,$H$299),"-"))</f>
        <v/>
      </c>
      <c r="D308" s="9">
        <f>IF($H$299="","",IF(OR(C308="",C308="-"),"",IF(C308&gt;0,"(soulevement)",IF(C308&lt;0,"(compression)","-"))))</f>
        <v/>
      </c>
    </row>
    <row r="309">
      <c r="A309" s="8">
        <f>IF(OR($H$299="",NOT(TRUE)),"","Neige normale")</f>
        <v/>
      </c>
      <c r="B309" s="9">
        <f>IF($H$299="","",IFERROR(INDEX(SAISIE!$C$210:$C$409,MATCH(MINIFS(SAISIE!$D$210:$D$409,SAISIE!$B$210:$B$409,"*Neige*",SAISIE!$B$210:$B$409,"&lt;&gt;*accidentel*",SAISIE!$E$210:$E$409,$H$299),SAISIE!$D$210:$D$409,0)),"-"))</f>
        <v/>
      </c>
      <c r="C309" s="9">
        <f>IF($H$299="","",IFERROR(INDEX(SAISIE!$D$210:$D$409,MATCH(MINIFS(SAISIE!$D$210:$D$409,SAISIE!$B$210:$B$409,"*Neige*",SAISIE!$B$210:$B$409,"&lt;&gt;*accidentel*",SAISIE!$E$210:$E$409,$H$299),SAISIE!$D$210:$D$409,0)),"-"))</f>
        <v/>
      </c>
      <c r="D309" s="9">
        <f>IF($H$299="","",IF(OR(C309="",C309="-"),"",IF(C309&gt;0,"(soulevement)",IF(C309&lt;0,"(compression)","-"))))</f>
        <v/>
      </c>
    </row>
    <row r="310">
      <c r="A310" s="8">
        <f>IF(OR($H$299="",NOT(TRUE)),"","Neige accidentelle")</f>
        <v/>
      </c>
      <c r="B310" s="9">
        <f>IF($H$299="","",IFERROR(LOOKUP(2,1/((SAISIE!$E$210:$E$409=$H$299)*(ISNUMBER(SEARCH("accidentel",SAISIE!$B$210:$B$409)))),SAISIE!$C$210:$C$409),"-"))</f>
        <v/>
      </c>
      <c r="C310" s="9">
        <f>IF($H$299="","",IFERROR(LOOKUP(2,1/((SAISIE!$E$210:$E$409=$H$299)*(ISNUMBER(SEARCH("accidentel",SAISIE!$B$210:$B$409)))),SAISIE!$D$210:$D$409),"-"))</f>
        <v/>
      </c>
      <c r="D310" s="9">
        <f>IF($H$299="","",IF(OR(C310="",C310="-"),"",IF(C310&gt;0,"(soulevement)",IF(C310&lt;0,"(compression)","-"))))</f>
        <v/>
      </c>
    </row>
    <row r="311">
      <c r="A311" s="6">
        <f>IF($H$311="","","Noeud "&amp;$H$311)</f>
        <v/>
      </c>
      <c r="B311" s="7" t="n"/>
      <c r="C311" s="7" t="n"/>
      <c r="D311" s="7" t="n"/>
      <c r="H311">
        <f>IFERROR(INDEX(SAISIE!$E$210:$E$409,AGGREGATE(15,6,ROW(SAISIE!$E$210:$E$409)-ROW(SAISIE!$E$210)+1/(SAISIE!$E$210:$E$409&lt;&gt;"")/(COUNTIF($H$4:H310,SAISIE!$E$210:$E$409)=0),1)),"")</f>
        <v/>
      </c>
    </row>
    <row r="312">
      <c r="A312" s="8">
        <f>IF(OR($H$311="",NOT(TRUE)),"","Couverture")</f>
        <v/>
      </c>
      <c r="B312" s="9">
        <f>IF($H$311="","",IFERROR(IFERROR(LOOKUP(2,1/((SAISIE!$E$210:$E$409=$H$311)*(LEFT(SAISIE!$B$210:$B$409,2)="G ")),SAISIE!$C$210:$C$409),LOOKUP(2,1/((SAISIE!$E$210:$E$409=$H$311)*(ISNUMBER(SEARCH("Couverture",SAISIE!$B$210:$B$409)))),SAISIE!$C$210:$C$409)),"-"))</f>
        <v/>
      </c>
      <c r="C312" s="9">
        <f>IF($H$311="","",IFERROR(IFERROR(LOOKUP(2,1/((SAISIE!$E$210:$E$409=$H$311)*(LEFT(SAISIE!$B$210:$B$409,2)="G ")),SAISIE!$D$210:$D$409),LOOKUP(2,1/((SAISIE!$E$210:$E$409=$H$311)*(ISNUMBER(SEARCH("Couverture",SAISIE!$B$210:$B$409)))),SAISIE!$D$210:$D$409)),"-"))</f>
        <v/>
      </c>
      <c r="D312" s="9">
        <f>IF($H$311="","",IF(OR(C312="",C312="-"),"",IF(C312&gt;0,"(soulevement)",IF(C312&lt;0,"(compression)","-"))))</f>
        <v/>
      </c>
    </row>
    <row r="313">
      <c r="A313" s="8">
        <f>IF(OR($H$311="",NOT(COUNTIFS(SAISIE!$B$210:$B$409,"*Vent G/D*",SAISIE!$E$210:$E$409,$H$311)&gt;0)),"","Vent G/D")</f>
        <v/>
      </c>
      <c r="B313" s="9">
        <f>IF(OR($H$311="",NOT(COUNTIFS(SAISIE!$B$210:$B$409,"*Vent G/D*",SAISIE!$E$210:$E$409,$H$311)&gt;0)),"",IFERROR(IF(MINIFS(SAISIE!$D$210:$D$409,SAISIE!$B$210:$B$409,"*Vent G/D*",SAISIE!$E$210:$E$409,$H$311)&gt;=0,MAXIFS(SAISIE!$C$210:$C$409,SAISIE!$B$210:$B$409,"*Vent G/D*",SAISIE!$E$210:$E$409,$H$311),INDEX(SAISIE!$C$210:$C$409,MATCH(MINIFS(SAISIE!$D$210:$D$409,SAISIE!$B$210:$B$409,"*Vent G/D*",SAISIE!$E$210:$E$409,$H$311),SAISIE!$D$210:$D$409,0))),"-"))</f>
        <v/>
      </c>
      <c r="C313" s="9">
        <f>IF(OR($H$311="",NOT(COUNTIFS(SAISIE!$B$210:$B$409,"*Vent G/D*",SAISIE!$E$210:$E$409,$H$311)&gt;0)),"",IFERROR(IF(MINIFS(SAISIE!$D$210:$D$409,SAISIE!$B$210:$B$409,"*Vent G/D*",SAISIE!$E$210:$E$409,$H$311)&gt;=0,0,MINIFS(SAISIE!$D$210:$D$409,SAISIE!$B$210:$B$409,"*Vent G/D*",SAISIE!$E$210:$E$409,$H$311)),"-"))</f>
        <v/>
      </c>
      <c r="D313" s="9">
        <f>IF($H$311="","",IF(OR(C313="",C313="-"),"",IF(C313&gt;0,"(soulevement)",IF(C313&lt;0,"(compression)","-"))))</f>
        <v/>
      </c>
    </row>
    <row r="314">
      <c r="A314" s="8">
        <f>IF(OR($H$311="",NOT(MAXIFS(SAISIE!$D$210:$D$409,SAISIE!$B$210:$B$409,"*Vent G/D*",SAISIE!$E$210:$E$409,$H$311)&gt;0)),"","Vent G/D")</f>
        <v/>
      </c>
      <c r="B314" s="9">
        <f>IF(OR($H$311="",NOT(MAXIFS(SAISIE!$D$210:$D$409,SAISIE!$B$210:$B$409,"*Vent G/D*",SAISIE!$E$210:$E$409,$H$311)&gt;0)),"",IFERROR(INDEX(SAISIE!$C$210:$C$409,MATCH(MAXIFS(SAISIE!$D$210:$D$409,SAISIE!$B$210:$B$409,"*Vent G/D*",SAISIE!$E$210:$E$409,$H$311),SAISIE!$D$210:$D$409,0)),"-"))</f>
        <v/>
      </c>
      <c r="C314" s="9">
        <f>IF(OR($H$311="",NOT(MAXIFS(SAISIE!$D$210:$D$409,SAISIE!$B$210:$B$409,"*Vent G/D*",SAISIE!$E$210:$E$409,$H$311)&gt;0)),"",IFERROR(MAXIFS(SAISIE!$D$210:$D$409,SAISIE!$B$210:$B$409,"*Vent G/D*",SAISIE!$E$210:$E$409,$H$311),"-"))</f>
        <v/>
      </c>
      <c r="D314" s="9">
        <f>IF($H$311="","",IF(OR(C314="",C314="-"),"",IF(C314&gt;0,"(soulevement)",IF(C314&lt;0,"(compression)","-"))))</f>
        <v/>
      </c>
    </row>
    <row r="315">
      <c r="A315" s="8">
        <f>IF(OR($H$311="",NOT(COUNTIFS(SAISIE!$B$210:$B$409,"*Vent D/G*",SAISIE!$E$210:$E$409,$H$311)&gt;0)),"","Vent D/G")</f>
        <v/>
      </c>
      <c r="B315" s="9">
        <f>IF(OR($H$311="",NOT(COUNTIFS(SAISIE!$B$210:$B$409,"*Vent D/G*",SAISIE!$E$210:$E$409,$H$311)&gt;0)),"",IFERROR(IF(MINIFS(SAISIE!$D$210:$D$409,SAISIE!$B$210:$B$409,"*Vent D/G*",SAISIE!$E$210:$E$409,$H$311)&gt;=0,MAXIFS(SAISIE!$C$210:$C$409,SAISIE!$B$210:$B$409,"*Vent D/G*",SAISIE!$E$210:$E$409,$H$311),INDEX(SAISIE!$C$210:$C$409,MATCH(MINIFS(SAISIE!$D$210:$D$409,SAISIE!$B$210:$B$409,"*Vent D/G*",SAISIE!$E$210:$E$409,$H$311),SAISIE!$D$210:$D$409,0))),"-"))</f>
        <v/>
      </c>
      <c r="C315" s="9">
        <f>IF(OR($H$311="",NOT(COUNTIFS(SAISIE!$B$210:$B$409,"*Vent D/G*",SAISIE!$E$210:$E$409,$H$311)&gt;0)),"",IFERROR(IF(MINIFS(SAISIE!$D$210:$D$409,SAISIE!$B$210:$B$409,"*Vent D/G*",SAISIE!$E$210:$E$409,$H$311)&gt;=0,0,MINIFS(SAISIE!$D$210:$D$409,SAISIE!$B$210:$B$409,"*Vent D/G*",SAISIE!$E$210:$E$409,$H$311)),"-"))</f>
        <v/>
      </c>
      <c r="D315" s="9">
        <f>IF($H$311="","",IF(OR(C315="",C315="-"),"",IF(C315&gt;0,"(soulevement)",IF(C315&lt;0,"(compression)","-"))))</f>
        <v/>
      </c>
    </row>
    <row r="316">
      <c r="A316" s="8">
        <f>IF(OR($H$311="",NOT(MAXIFS(SAISIE!$D$210:$D$409,SAISIE!$B$210:$B$409,"*Vent D/G*",SAISIE!$E$210:$E$409,$H$311)&gt;0)),"","Vent D/G")</f>
        <v/>
      </c>
      <c r="B316" s="9">
        <f>IF(OR($H$311="",NOT(MAXIFS(SAISIE!$D$210:$D$409,SAISIE!$B$210:$B$409,"*Vent D/G*",SAISIE!$E$210:$E$409,$H$311)&gt;0)),"",IFERROR(INDEX(SAISIE!$C$210:$C$409,MATCH(MAXIFS(SAISIE!$D$210:$D$409,SAISIE!$B$210:$B$409,"*Vent D/G*",SAISIE!$E$210:$E$409,$H$311),SAISIE!$D$210:$D$409,0)),"-"))</f>
        <v/>
      </c>
      <c r="C316" s="9">
        <f>IF(OR($H$311="",NOT(MAXIFS(SAISIE!$D$210:$D$409,SAISIE!$B$210:$B$409,"*Vent D/G*",SAISIE!$E$210:$E$409,$H$311)&gt;0)),"",IFERROR(MAXIFS(SAISIE!$D$210:$D$409,SAISIE!$B$210:$B$409,"*Vent D/G*",SAISIE!$E$210:$E$409,$H$311),"-"))</f>
        <v/>
      </c>
      <c r="D316" s="9">
        <f>IF($H$311="","",IF(OR(C316="",C316="-"),"",IF(C316&gt;0,"(soulevement)",IF(C316&lt;0,"(compression)","-"))))</f>
        <v/>
      </c>
    </row>
    <row r="317">
      <c r="A317" s="8">
        <f>IF(OR($H$311="",NOT(COUNTIFS(SAISIE!$B$210:$B$409,"*Vent Av./Arr.*",SAISIE!$E$210:$E$409,$H$311)&gt;0)),"","Vent Av./Arr.")</f>
        <v/>
      </c>
      <c r="B317" s="9">
        <f>IF(OR($H$311="",NOT(COUNTIFS(SAISIE!$B$210:$B$409,"*Vent Av./Arr.*",SAISIE!$E$210:$E$409,$H$311)&gt;0)),"",IFERROR(IF(MINIFS(SAISIE!$D$210:$D$409,SAISIE!$B$210:$B$409,"*Vent Av./Arr.*",SAISIE!$E$210:$E$409,$H$311)&gt;=0,MAXIFS(SAISIE!$C$210:$C$409,SAISIE!$B$210:$B$409,"*Vent Av./Arr.*",SAISIE!$E$210:$E$409,$H$311),INDEX(SAISIE!$C$210:$C$409,MATCH(MINIFS(SAISIE!$D$210:$D$409,SAISIE!$B$210:$B$409,"*Vent Av./Arr.*",SAISIE!$E$210:$E$409,$H$311),SAISIE!$D$210:$D$409,0))),"-"))</f>
        <v/>
      </c>
      <c r="C317" s="9">
        <f>IF(OR($H$311="",NOT(COUNTIFS(SAISIE!$B$210:$B$409,"*Vent Av./Arr.*",SAISIE!$E$210:$E$409,$H$311)&gt;0)),"",IFERROR(IF(MINIFS(SAISIE!$D$210:$D$409,SAISIE!$B$210:$B$409,"*Vent Av./Arr.*",SAISIE!$E$210:$E$409,$H$311)&gt;=0,0,MINIFS(SAISIE!$D$210:$D$409,SAISIE!$B$210:$B$409,"*Vent Av./Arr.*",SAISIE!$E$210:$E$409,$H$311)),"-"))</f>
        <v/>
      </c>
      <c r="D317" s="9">
        <f>IF($H$311="","",IF(OR(C317="",C317="-"),"",IF(C317&gt;0,"(soulevement)",IF(C317&lt;0,"(compression)","-"))))</f>
        <v/>
      </c>
    </row>
    <row r="318">
      <c r="A318" s="8">
        <f>IF(OR($H$311="",NOT(MAXIFS(SAISIE!$D$210:$D$409,SAISIE!$B$210:$B$409,"*Vent Av./Arr.*",SAISIE!$E$210:$E$409,$H$311)&gt;0)),"","Vent Av./Arr.")</f>
        <v/>
      </c>
      <c r="B318" s="9">
        <f>IF(OR($H$311="",NOT(MAXIFS(SAISIE!$D$210:$D$409,SAISIE!$B$210:$B$409,"*Vent Av./Arr.*",SAISIE!$E$210:$E$409,$H$311)&gt;0)),"",IFERROR(INDEX(SAISIE!$C$210:$C$409,MATCH(MAXIFS(SAISIE!$D$210:$D$409,SAISIE!$B$210:$B$409,"*Vent Av./Arr.*",SAISIE!$E$210:$E$409,$H$311),SAISIE!$D$210:$D$409,0)),"-"))</f>
        <v/>
      </c>
      <c r="C318" s="9">
        <f>IF(OR($H$311="",NOT(MAXIFS(SAISIE!$D$210:$D$409,SAISIE!$B$210:$B$409,"*Vent Av./Arr.*",SAISIE!$E$210:$E$409,$H$311)&gt;0)),"",IFERROR(MAXIFS(SAISIE!$D$210:$D$409,SAISIE!$B$210:$B$409,"*Vent Av./Arr.*",SAISIE!$E$210:$E$409,$H$311),"-"))</f>
        <v/>
      </c>
      <c r="D318" s="9">
        <f>IF($H$311="","",IF(OR(C318="",C318="-"),"",IF(C318&gt;0,"(soulevement)",IF(C318&lt;0,"(compression)","-"))))</f>
        <v/>
      </c>
    </row>
    <row r="319">
      <c r="A319" s="8">
        <f>IF(OR($H$311="",NOT(COUNTIFS(SAISIE!$B$210:$B$409,"*Vent Arr./Av.*",SAISIE!$E$210:$E$409,$H$311)&gt;0)),"","Vent Arr./Av.")</f>
        <v/>
      </c>
      <c r="B319" s="9">
        <f>IF(OR($H$311="",NOT(COUNTIFS(SAISIE!$B$210:$B$409,"*Vent Arr./Av.*",SAISIE!$E$210:$E$409,$H$311)&gt;0)),"",IFERROR(IF(MINIFS(SAISIE!$D$210:$D$409,SAISIE!$B$210:$B$409,"*Vent Arr./Av.*",SAISIE!$E$210:$E$409,$H$311)&gt;=0,MAXIFS(SAISIE!$C$210:$C$409,SAISIE!$B$210:$B$409,"*Vent Arr./Av.*",SAISIE!$E$210:$E$409,$H$311),INDEX(SAISIE!$C$210:$C$409,MATCH(MINIFS(SAISIE!$D$210:$D$409,SAISIE!$B$210:$B$409,"*Vent Arr./Av.*",SAISIE!$E$210:$E$409,$H$311),SAISIE!$D$210:$D$409,0))),"-"))</f>
        <v/>
      </c>
      <c r="C319" s="9">
        <f>IF(OR($H$311="",NOT(COUNTIFS(SAISIE!$B$210:$B$409,"*Vent Arr./Av.*",SAISIE!$E$210:$E$409,$H$311)&gt;0)),"",IFERROR(IF(MINIFS(SAISIE!$D$210:$D$409,SAISIE!$B$210:$B$409,"*Vent Arr./Av.*",SAISIE!$E$210:$E$409,$H$311)&gt;=0,0,MINIFS(SAISIE!$D$210:$D$409,SAISIE!$B$210:$B$409,"*Vent Arr./Av.*",SAISIE!$E$210:$E$409,$H$311)),"-"))</f>
        <v/>
      </c>
      <c r="D319" s="9">
        <f>IF($H$311="","",IF(OR(C319="",C319="-"),"",IF(C319&gt;0,"(soulevement)",IF(C319&lt;0,"(compression)","-"))))</f>
        <v/>
      </c>
    </row>
    <row r="320">
      <c r="A320" s="8">
        <f>IF(OR($H$311="",NOT(MAXIFS(SAISIE!$D$210:$D$409,SAISIE!$B$210:$B$409,"*Vent Arr./Av.*",SAISIE!$E$210:$E$409,$H$311)&gt;0)),"","Vent Arr./Av.")</f>
        <v/>
      </c>
      <c r="B320" s="9">
        <f>IF(OR($H$311="",NOT(MAXIFS(SAISIE!$D$210:$D$409,SAISIE!$B$210:$B$409,"*Vent Arr./Av.*",SAISIE!$E$210:$E$409,$H$311)&gt;0)),"",IFERROR(INDEX(SAISIE!$C$210:$C$409,MATCH(MAXIFS(SAISIE!$D$210:$D$409,SAISIE!$B$210:$B$409,"*Vent Arr./Av.*",SAISIE!$E$210:$E$409,$H$311),SAISIE!$D$210:$D$409,0)),"-"))</f>
        <v/>
      </c>
      <c r="C320" s="9">
        <f>IF(OR($H$311="",NOT(MAXIFS(SAISIE!$D$210:$D$409,SAISIE!$B$210:$B$409,"*Vent Arr./Av.*",SAISIE!$E$210:$E$409,$H$311)&gt;0)),"",IFERROR(MAXIFS(SAISIE!$D$210:$D$409,SAISIE!$B$210:$B$409,"*Vent Arr./Av.*",SAISIE!$E$210:$E$409,$H$311),"-"))</f>
        <v/>
      </c>
      <c r="D320" s="9">
        <f>IF($H$311="","",IF(OR(C320="",C320="-"),"",IF(C320&gt;0,"(soulevement)",IF(C320&lt;0,"(compression)","-"))))</f>
        <v/>
      </c>
    </row>
    <row r="321">
      <c r="A321" s="8">
        <f>IF(OR($H$311="",NOT(TRUE)),"","Neige normale")</f>
        <v/>
      </c>
      <c r="B321" s="9">
        <f>IF($H$311="","",IFERROR(INDEX(SAISIE!$C$210:$C$409,MATCH(MINIFS(SAISIE!$D$210:$D$409,SAISIE!$B$210:$B$409,"*Neige*",SAISIE!$B$210:$B$409,"&lt;&gt;*accidentel*",SAISIE!$E$210:$E$409,$H$311),SAISIE!$D$210:$D$409,0)),"-"))</f>
        <v/>
      </c>
      <c r="C321" s="9">
        <f>IF($H$311="","",IFERROR(INDEX(SAISIE!$D$210:$D$409,MATCH(MINIFS(SAISIE!$D$210:$D$409,SAISIE!$B$210:$B$409,"*Neige*",SAISIE!$B$210:$B$409,"&lt;&gt;*accidentel*",SAISIE!$E$210:$E$409,$H$311),SAISIE!$D$210:$D$409,0)),"-"))</f>
        <v/>
      </c>
      <c r="D321" s="9">
        <f>IF($H$311="","",IF(OR(C321="",C321="-"),"",IF(C321&gt;0,"(soulevement)",IF(C321&lt;0,"(compression)","-"))))</f>
        <v/>
      </c>
    </row>
    <row r="322">
      <c r="A322" s="8">
        <f>IF(OR($H$311="",NOT(TRUE)),"","Neige accidentelle")</f>
        <v/>
      </c>
      <c r="B322" s="9">
        <f>IF($H$311="","",IFERROR(LOOKUP(2,1/((SAISIE!$E$210:$E$409=$H$311)*(ISNUMBER(SEARCH("accidentel",SAISIE!$B$210:$B$409)))),SAISIE!$C$210:$C$409),"-"))</f>
        <v/>
      </c>
      <c r="C322" s="9">
        <f>IF($H$311="","",IFERROR(LOOKUP(2,1/((SAISIE!$E$210:$E$409=$H$311)*(ISNUMBER(SEARCH("accidentel",SAISIE!$B$210:$B$409)))),SAISIE!$D$210:$D$409),"-"))</f>
        <v/>
      </c>
      <c r="D322" s="9">
        <f>IF($H$311="","",IF(OR(C322="",C322="-"),"",IF(C322&gt;0,"(soulevement)",IF(C322&lt;0,"(compression)","-"))))</f>
        <v/>
      </c>
    </row>
    <row r="323">
      <c r="A323" s="6">
        <f>IF($H$323="","","Noeud "&amp;$H$323)</f>
        <v/>
      </c>
      <c r="B323" s="7" t="n"/>
      <c r="C323" s="7" t="n"/>
      <c r="D323" s="7" t="n"/>
      <c r="H323">
        <f>IFERROR(INDEX(SAISIE!$E$210:$E$409,AGGREGATE(15,6,ROW(SAISIE!$E$210:$E$409)-ROW(SAISIE!$E$210)+1/(SAISIE!$E$210:$E$409&lt;&gt;"")/(COUNTIF($H$4:H322,SAISIE!$E$210:$E$409)=0),1)),"")</f>
        <v/>
      </c>
    </row>
    <row r="324">
      <c r="A324" s="8">
        <f>IF(OR($H$323="",NOT(TRUE)),"","Couverture")</f>
        <v/>
      </c>
      <c r="B324" s="9">
        <f>IF($H$323="","",IFERROR(IFERROR(LOOKUP(2,1/((SAISIE!$E$210:$E$409=$H$323)*(LEFT(SAISIE!$B$210:$B$409,2)="G ")),SAISIE!$C$210:$C$409),LOOKUP(2,1/((SAISIE!$E$210:$E$409=$H$323)*(ISNUMBER(SEARCH("Couverture",SAISIE!$B$210:$B$409)))),SAISIE!$C$210:$C$409)),"-"))</f>
        <v/>
      </c>
      <c r="C324" s="9">
        <f>IF($H$323="","",IFERROR(IFERROR(LOOKUP(2,1/((SAISIE!$E$210:$E$409=$H$323)*(LEFT(SAISIE!$B$210:$B$409,2)="G ")),SAISIE!$D$210:$D$409),LOOKUP(2,1/((SAISIE!$E$210:$E$409=$H$323)*(ISNUMBER(SEARCH("Couverture",SAISIE!$B$210:$B$409)))),SAISIE!$D$210:$D$409)),"-"))</f>
        <v/>
      </c>
      <c r="D324" s="9">
        <f>IF($H$323="","",IF(OR(C324="",C324="-"),"",IF(C324&gt;0,"(soulevement)",IF(C324&lt;0,"(compression)","-"))))</f>
        <v/>
      </c>
    </row>
    <row r="325">
      <c r="A325" s="8">
        <f>IF(OR($H$323="",NOT(COUNTIFS(SAISIE!$B$210:$B$409,"*Vent G/D*",SAISIE!$E$210:$E$409,$H$323)&gt;0)),"","Vent G/D")</f>
        <v/>
      </c>
      <c r="B325" s="9">
        <f>IF(OR($H$323="",NOT(COUNTIFS(SAISIE!$B$210:$B$409,"*Vent G/D*",SAISIE!$E$210:$E$409,$H$323)&gt;0)),"",IFERROR(IF(MINIFS(SAISIE!$D$210:$D$409,SAISIE!$B$210:$B$409,"*Vent G/D*",SAISIE!$E$210:$E$409,$H$323)&gt;=0,MAXIFS(SAISIE!$C$210:$C$409,SAISIE!$B$210:$B$409,"*Vent G/D*",SAISIE!$E$210:$E$409,$H$323),INDEX(SAISIE!$C$210:$C$409,MATCH(MINIFS(SAISIE!$D$210:$D$409,SAISIE!$B$210:$B$409,"*Vent G/D*",SAISIE!$E$210:$E$409,$H$323),SAISIE!$D$210:$D$409,0))),"-"))</f>
        <v/>
      </c>
      <c r="C325" s="9">
        <f>IF(OR($H$323="",NOT(COUNTIFS(SAISIE!$B$210:$B$409,"*Vent G/D*",SAISIE!$E$210:$E$409,$H$323)&gt;0)),"",IFERROR(IF(MINIFS(SAISIE!$D$210:$D$409,SAISIE!$B$210:$B$409,"*Vent G/D*",SAISIE!$E$210:$E$409,$H$323)&gt;=0,0,MINIFS(SAISIE!$D$210:$D$409,SAISIE!$B$210:$B$409,"*Vent G/D*",SAISIE!$E$210:$E$409,$H$323)),"-"))</f>
        <v/>
      </c>
      <c r="D325" s="9">
        <f>IF($H$323="","",IF(OR(C325="",C325="-"),"",IF(C325&gt;0,"(soulevement)",IF(C325&lt;0,"(compression)","-"))))</f>
        <v/>
      </c>
    </row>
    <row r="326">
      <c r="A326" s="8">
        <f>IF(OR($H$323="",NOT(MAXIFS(SAISIE!$D$210:$D$409,SAISIE!$B$210:$B$409,"*Vent G/D*",SAISIE!$E$210:$E$409,$H$323)&gt;0)),"","Vent G/D")</f>
        <v/>
      </c>
      <c r="B326" s="9">
        <f>IF(OR($H$323="",NOT(MAXIFS(SAISIE!$D$210:$D$409,SAISIE!$B$210:$B$409,"*Vent G/D*",SAISIE!$E$210:$E$409,$H$323)&gt;0)),"",IFERROR(INDEX(SAISIE!$C$210:$C$409,MATCH(MAXIFS(SAISIE!$D$210:$D$409,SAISIE!$B$210:$B$409,"*Vent G/D*",SAISIE!$E$210:$E$409,$H$323),SAISIE!$D$210:$D$409,0)),"-"))</f>
        <v/>
      </c>
      <c r="C326" s="9">
        <f>IF(OR($H$323="",NOT(MAXIFS(SAISIE!$D$210:$D$409,SAISIE!$B$210:$B$409,"*Vent G/D*",SAISIE!$E$210:$E$409,$H$323)&gt;0)),"",IFERROR(MAXIFS(SAISIE!$D$210:$D$409,SAISIE!$B$210:$B$409,"*Vent G/D*",SAISIE!$E$210:$E$409,$H$323),"-"))</f>
        <v/>
      </c>
      <c r="D326" s="9">
        <f>IF($H$323="","",IF(OR(C326="",C326="-"),"",IF(C326&gt;0,"(soulevement)",IF(C326&lt;0,"(compression)","-"))))</f>
        <v/>
      </c>
    </row>
    <row r="327">
      <c r="A327" s="8">
        <f>IF(OR($H$323="",NOT(COUNTIFS(SAISIE!$B$210:$B$409,"*Vent D/G*",SAISIE!$E$210:$E$409,$H$323)&gt;0)),"","Vent D/G")</f>
        <v/>
      </c>
      <c r="B327" s="9">
        <f>IF(OR($H$323="",NOT(COUNTIFS(SAISIE!$B$210:$B$409,"*Vent D/G*",SAISIE!$E$210:$E$409,$H$323)&gt;0)),"",IFERROR(IF(MINIFS(SAISIE!$D$210:$D$409,SAISIE!$B$210:$B$409,"*Vent D/G*",SAISIE!$E$210:$E$409,$H$323)&gt;=0,MAXIFS(SAISIE!$C$210:$C$409,SAISIE!$B$210:$B$409,"*Vent D/G*",SAISIE!$E$210:$E$409,$H$323),INDEX(SAISIE!$C$210:$C$409,MATCH(MINIFS(SAISIE!$D$210:$D$409,SAISIE!$B$210:$B$409,"*Vent D/G*",SAISIE!$E$210:$E$409,$H$323),SAISIE!$D$210:$D$409,0))),"-"))</f>
        <v/>
      </c>
      <c r="C327" s="9">
        <f>IF(OR($H$323="",NOT(COUNTIFS(SAISIE!$B$210:$B$409,"*Vent D/G*",SAISIE!$E$210:$E$409,$H$323)&gt;0)),"",IFERROR(IF(MINIFS(SAISIE!$D$210:$D$409,SAISIE!$B$210:$B$409,"*Vent D/G*",SAISIE!$E$210:$E$409,$H$323)&gt;=0,0,MINIFS(SAISIE!$D$210:$D$409,SAISIE!$B$210:$B$409,"*Vent D/G*",SAISIE!$E$210:$E$409,$H$323)),"-"))</f>
        <v/>
      </c>
      <c r="D327" s="9">
        <f>IF($H$323="","",IF(OR(C327="",C327="-"),"",IF(C327&gt;0,"(soulevement)",IF(C327&lt;0,"(compression)","-"))))</f>
        <v/>
      </c>
    </row>
    <row r="328">
      <c r="A328" s="8">
        <f>IF(OR($H$323="",NOT(MAXIFS(SAISIE!$D$210:$D$409,SAISIE!$B$210:$B$409,"*Vent D/G*",SAISIE!$E$210:$E$409,$H$323)&gt;0)),"","Vent D/G")</f>
        <v/>
      </c>
      <c r="B328" s="9">
        <f>IF(OR($H$323="",NOT(MAXIFS(SAISIE!$D$210:$D$409,SAISIE!$B$210:$B$409,"*Vent D/G*",SAISIE!$E$210:$E$409,$H$323)&gt;0)),"",IFERROR(INDEX(SAISIE!$C$210:$C$409,MATCH(MAXIFS(SAISIE!$D$210:$D$409,SAISIE!$B$210:$B$409,"*Vent D/G*",SAISIE!$E$210:$E$409,$H$323),SAISIE!$D$210:$D$409,0)),"-"))</f>
        <v/>
      </c>
      <c r="C328" s="9">
        <f>IF(OR($H$323="",NOT(MAXIFS(SAISIE!$D$210:$D$409,SAISIE!$B$210:$B$409,"*Vent D/G*",SAISIE!$E$210:$E$409,$H$323)&gt;0)),"",IFERROR(MAXIFS(SAISIE!$D$210:$D$409,SAISIE!$B$210:$B$409,"*Vent D/G*",SAISIE!$E$210:$E$409,$H$323),"-"))</f>
        <v/>
      </c>
      <c r="D328" s="9">
        <f>IF($H$323="","",IF(OR(C328="",C328="-"),"",IF(C328&gt;0,"(soulevement)",IF(C328&lt;0,"(compression)","-"))))</f>
        <v/>
      </c>
    </row>
    <row r="329">
      <c r="A329" s="8">
        <f>IF(OR($H$323="",NOT(COUNTIFS(SAISIE!$B$210:$B$409,"*Vent Av./Arr.*",SAISIE!$E$210:$E$409,$H$323)&gt;0)),"","Vent Av./Arr.")</f>
        <v/>
      </c>
      <c r="B329" s="9">
        <f>IF(OR($H$323="",NOT(COUNTIFS(SAISIE!$B$210:$B$409,"*Vent Av./Arr.*",SAISIE!$E$210:$E$409,$H$323)&gt;0)),"",IFERROR(IF(MINIFS(SAISIE!$D$210:$D$409,SAISIE!$B$210:$B$409,"*Vent Av./Arr.*",SAISIE!$E$210:$E$409,$H$323)&gt;=0,MAXIFS(SAISIE!$C$210:$C$409,SAISIE!$B$210:$B$409,"*Vent Av./Arr.*",SAISIE!$E$210:$E$409,$H$323),INDEX(SAISIE!$C$210:$C$409,MATCH(MINIFS(SAISIE!$D$210:$D$409,SAISIE!$B$210:$B$409,"*Vent Av./Arr.*",SAISIE!$E$210:$E$409,$H$323),SAISIE!$D$210:$D$409,0))),"-"))</f>
        <v/>
      </c>
      <c r="C329" s="9">
        <f>IF(OR($H$323="",NOT(COUNTIFS(SAISIE!$B$210:$B$409,"*Vent Av./Arr.*",SAISIE!$E$210:$E$409,$H$323)&gt;0)),"",IFERROR(IF(MINIFS(SAISIE!$D$210:$D$409,SAISIE!$B$210:$B$409,"*Vent Av./Arr.*",SAISIE!$E$210:$E$409,$H$323)&gt;=0,0,MINIFS(SAISIE!$D$210:$D$409,SAISIE!$B$210:$B$409,"*Vent Av./Arr.*",SAISIE!$E$210:$E$409,$H$323)),"-"))</f>
        <v/>
      </c>
      <c r="D329" s="9">
        <f>IF($H$323="","",IF(OR(C329="",C329="-"),"",IF(C329&gt;0,"(soulevement)",IF(C329&lt;0,"(compression)","-"))))</f>
        <v/>
      </c>
    </row>
    <row r="330">
      <c r="A330" s="8">
        <f>IF(OR($H$323="",NOT(MAXIFS(SAISIE!$D$210:$D$409,SAISIE!$B$210:$B$409,"*Vent Av./Arr.*",SAISIE!$E$210:$E$409,$H$323)&gt;0)),"","Vent Av./Arr.")</f>
        <v/>
      </c>
      <c r="B330" s="9">
        <f>IF(OR($H$323="",NOT(MAXIFS(SAISIE!$D$210:$D$409,SAISIE!$B$210:$B$409,"*Vent Av./Arr.*",SAISIE!$E$210:$E$409,$H$323)&gt;0)),"",IFERROR(INDEX(SAISIE!$C$210:$C$409,MATCH(MAXIFS(SAISIE!$D$210:$D$409,SAISIE!$B$210:$B$409,"*Vent Av./Arr.*",SAISIE!$E$210:$E$409,$H$323),SAISIE!$D$210:$D$409,0)),"-"))</f>
        <v/>
      </c>
      <c r="C330" s="9">
        <f>IF(OR($H$323="",NOT(MAXIFS(SAISIE!$D$210:$D$409,SAISIE!$B$210:$B$409,"*Vent Av./Arr.*",SAISIE!$E$210:$E$409,$H$323)&gt;0)),"",IFERROR(MAXIFS(SAISIE!$D$210:$D$409,SAISIE!$B$210:$B$409,"*Vent Av./Arr.*",SAISIE!$E$210:$E$409,$H$323),"-"))</f>
        <v/>
      </c>
      <c r="D330" s="9">
        <f>IF($H$323="","",IF(OR(C330="",C330="-"),"",IF(C330&gt;0,"(soulevement)",IF(C330&lt;0,"(compression)","-"))))</f>
        <v/>
      </c>
    </row>
    <row r="331">
      <c r="A331" s="8">
        <f>IF(OR($H$323="",NOT(COUNTIFS(SAISIE!$B$210:$B$409,"*Vent Arr./Av.*",SAISIE!$E$210:$E$409,$H$323)&gt;0)),"","Vent Arr./Av.")</f>
        <v/>
      </c>
      <c r="B331" s="9">
        <f>IF(OR($H$323="",NOT(COUNTIFS(SAISIE!$B$210:$B$409,"*Vent Arr./Av.*",SAISIE!$E$210:$E$409,$H$323)&gt;0)),"",IFERROR(IF(MINIFS(SAISIE!$D$210:$D$409,SAISIE!$B$210:$B$409,"*Vent Arr./Av.*",SAISIE!$E$210:$E$409,$H$323)&gt;=0,MAXIFS(SAISIE!$C$210:$C$409,SAISIE!$B$210:$B$409,"*Vent Arr./Av.*",SAISIE!$E$210:$E$409,$H$323),INDEX(SAISIE!$C$210:$C$409,MATCH(MINIFS(SAISIE!$D$210:$D$409,SAISIE!$B$210:$B$409,"*Vent Arr./Av.*",SAISIE!$E$210:$E$409,$H$323),SAISIE!$D$210:$D$409,0))),"-"))</f>
        <v/>
      </c>
      <c r="C331" s="9">
        <f>IF(OR($H$323="",NOT(COUNTIFS(SAISIE!$B$210:$B$409,"*Vent Arr./Av.*",SAISIE!$E$210:$E$409,$H$323)&gt;0)),"",IFERROR(IF(MINIFS(SAISIE!$D$210:$D$409,SAISIE!$B$210:$B$409,"*Vent Arr./Av.*",SAISIE!$E$210:$E$409,$H$323)&gt;=0,0,MINIFS(SAISIE!$D$210:$D$409,SAISIE!$B$210:$B$409,"*Vent Arr./Av.*",SAISIE!$E$210:$E$409,$H$323)),"-"))</f>
        <v/>
      </c>
      <c r="D331" s="9">
        <f>IF($H$323="","",IF(OR(C331="",C331="-"),"",IF(C331&gt;0,"(soulevement)",IF(C331&lt;0,"(compression)","-"))))</f>
        <v/>
      </c>
    </row>
    <row r="332">
      <c r="A332" s="8">
        <f>IF(OR($H$323="",NOT(MAXIFS(SAISIE!$D$210:$D$409,SAISIE!$B$210:$B$409,"*Vent Arr./Av.*",SAISIE!$E$210:$E$409,$H$323)&gt;0)),"","Vent Arr./Av.")</f>
        <v/>
      </c>
      <c r="B332" s="9">
        <f>IF(OR($H$323="",NOT(MAXIFS(SAISIE!$D$210:$D$409,SAISIE!$B$210:$B$409,"*Vent Arr./Av.*",SAISIE!$E$210:$E$409,$H$323)&gt;0)),"",IFERROR(INDEX(SAISIE!$C$210:$C$409,MATCH(MAXIFS(SAISIE!$D$210:$D$409,SAISIE!$B$210:$B$409,"*Vent Arr./Av.*",SAISIE!$E$210:$E$409,$H$323),SAISIE!$D$210:$D$409,0)),"-"))</f>
        <v/>
      </c>
      <c r="C332" s="9">
        <f>IF(OR($H$323="",NOT(MAXIFS(SAISIE!$D$210:$D$409,SAISIE!$B$210:$B$409,"*Vent Arr./Av.*",SAISIE!$E$210:$E$409,$H$323)&gt;0)),"",IFERROR(MAXIFS(SAISIE!$D$210:$D$409,SAISIE!$B$210:$B$409,"*Vent Arr./Av.*",SAISIE!$E$210:$E$409,$H$323),"-"))</f>
        <v/>
      </c>
      <c r="D332" s="9">
        <f>IF($H$323="","",IF(OR(C332="",C332="-"),"",IF(C332&gt;0,"(soulevement)",IF(C332&lt;0,"(compression)","-"))))</f>
        <v/>
      </c>
    </row>
    <row r="333">
      <c r="A333" s="8">
        <f>IF(OR($H$323="",NOT(TRUE)),"","Neige normale")</f>
        <v/>
      </c>
      <c r="B333" s="9">
        <f>IF($H$323="","",IFERROR(INDEX(SAISIE!$C$210:$C$409,MATCH(MINIFS(SAISIE!$D$210:$D$409,SAISIE!$B$210:$B$409,"*Neige*",SAISIE!$B$210:$B$409,"&lt;&gt;*accidentel*",SAISIE!$E$210:$E$409,$H$323),SAISIE!$D$210:$D$409,0)),"-"))</f>
        <v/>
      </c>
      <c r="C333" s="9">
        <f>IF($H$323="","",IFERROR(INDEX(SAISIE!$D$210:$D$409,MATCH(MINIFS(SAISIE!$D$210:$D$409,SAISIE!$B$210:$B$409,"*Neige*",SAISIE!$B$210:$B$409,"&lt;&gt;*accidentel*",SAISIE!$E$210:$E$409,$H$323),SAISIE!$D$210:$D$409,0)),"-"))</f>
        <v/>
      </c>
      <c r="D333" s="9">
        <f>IF($H$323="","",IF(OR(C333="",C333="-"),"",IF(C333&gt;0,"(soulevement)",IF(C333&lt;0,"(compression)","-"))))</f>
        <v/>
      </c>
    </row>
    <row r="334">
      <c r="A334" s="8">
        <f>IF(OR($H$323="",NOT(TRUE)),"","Neige accidentelle")</f>
        <v/>
      </c>
      <c r="B334" s="9">
        <f>IF($H$323="","",IFERROR(LOOKUP(2,1/((SAISIE!$E$210:$E$409=$H$323)*(ISNUMBER(SEARCH("accidentel",SAISIE!$B$210:$B$409)))),SAISIE!$C$210:$C$409),"-"))</f>
        <v/>
      </c>
      <c r="C334" s="9">
        <f>IF($H$323="","",IFERROR(LOOKUP(2,1/((SAISIE!$E$210:$E$409=$H$323)*(ISNUMBER(SEARCH("accidentel",SAISIE!$B$210:$B$409)))),SAISIE!$D$210:$D$409),"-"))</f>
        <v/>
      </c>
      <c r="D334" s="9">
        <f>IF($H$323="","",IF(OR(C334="",C334="-"),"",IF(C334&gt;0,"(soulevement)",IF(C334&lt;0,"(compression)","-"))))</f>
        <v/>
      </c>
    </row>
    <row r="335">
      <c r="A335" s="6">
        <f>IF($H$335="","","Noeud "&amp;$H$335)</f>
        <v/>
      </c>
      <c r="B335" s="7" t="n"/>
      <c r="C335" s="7" t="n"/>
      <c r="D335" s="7" t="n"/>
      <c r="H335">
        <f>IFERROR(INDEX(SAISIE!$E$210:$E$409,AGGREGATE(15,6,ROW(SAISIE!$E$210:$E$409)-ROW(SAISIE!$E$210)+1/(SAISIE!$E$210:$E$409&lt;&gt;"")/(COUNTIF($H$4:H334,SAISIE!$E$210:$E$409)=0),1)),"")</f>
        <v/>
      </c>
    </row>
    <row r="336">
      <c r="A336" s="8">
        <f>IF(OR($H$335="",NOT(TRUE)),"","Couverture")</f>
        <v/>
      </c>
      <c r="B336" s="9">
        <f>IF($H$335="","",IFERROR(IFERROR(LOOKUP(2,1/((SAISIE!$E$210:$E$409=$H$335)*(LEFT(SAISIE!$B$210:$B$409,2)="G ")),SAISIE!$C$210:$C$409),LOOKUP(2,1/((SAISIE!$E$210:$E$409=$H$335)*(ISNUMBER(SEARCH("Couverture",SAISIE!$B$210:$B$409)))),SAISIE!$C$210:$C$409)),"-"))</f>
        <v/>
      </c>
      <c r="C336" s="9">
        <f>IF($H$335="","",IFERROR(IFERROR(LOOKUP(2,1/((SAISIE!$E$210:$E$409=$H$335)*(LEFT(SAISIE!$B$210:$B$409,2)="G ")),SAISIE!$D$210:$D$409),LOOKUP(2,1/((SAISIE!$E$210:$E$409=$H$335)*(ISNUMBER(SEARCH("Couverture",SAISIE!$B$210:$B$409)))),SAISIE!$D$210:$D$409)),"-"))</f>
        <v/>
      </c>
      <c r="D336" s="9">
        <f>IF($H$335="","",IF(OR(C336="",C336="-"),"",IF(C336&gt;0,"(soulevement)",IF(C336&lt;0,"(compression)","-"))))</f>
        <v/>
      </c>
    </row>
    <row r="337">
      <c r="A337" s="8">
        <f>IF(OR($H$335="",NOT(COUNTIFS(SAISIE!$B$210:$B$409,"*Vent G/D*",SAISIE!$E$210:$E$409,$H$335)&gt;0)),"","Vent G/D")</f>
        <v/>
      </c>
      <c r="B337" s="9">
        <f>IF(OR($H$335="",NOT(COUNTIFS(SAISIE!$B$210:$B$409,"*Vent G/D*",SAISIE!$E$210:$E$409,$H$335)&gt;0)),"",IFERROR(IF(MINIFS(SAISIE!$D$210:$D$409,SAISIE!$B$210:$B$409,"*Vent G/D*",SAISIE!$E$210:$E$409,$H$335)&gt;=0,MAXIFS(SAISIE!$C$210:$C$409,SAISIE!$B$210:$B$409,"*Vent G/D*",SAISIE!$E$210:$E$409,$H$335),INDEX(SAISIE!$C$210:$C$409,MATCH(MINIFS(SAISIE!$D$210:$D$409,SAISIE!$B$210:$B$409,"*Vent G/D*",SAISIE!$E$210:$E$409,$H$335),SAISIE!$D$210:$D$409,0))),"-"))</f>
        <v/>
      </c>
      <c r="C337" s="9">
        <f>IF(OR($H$335="",NOT(COUNTIFS(SAISIE!$B$210:$B$409,"*Vent G/D*",SAISIE!$E$210:$E$409,$H$335)&gt;0)),"",IFERROR(IF(MINIFS(SAISIE!$D$210:$D$409,SAISIE!$B$210:$B$409,"*Vent G/D*",SAISIE!$E$210:$E$409,$H$335)&gt;=0,0,MINIFS(SAISIE!$D$210:$D$409,SAISIE!$B$210:$B$409,"*Vent G/D*",SAISIE!$E$210:$E$409,$H$335)),"-"))</f>
        <v/>
      </c>
      <c r="D337" s="9">
        <f>IF($H$335="","",IF(OR(C337="",C337="-"),"",IF(C337&gt;0,"(soulevement)",IF(C337&lt;0,"(compression)","-"))))</f>
        <v/>
      </c>
    </row>
    <row r="338">
      <c r="A338" s="8">
        <f>IF(OR($H$335="",NOT(MAXIFS(SAISIE!$D$210:$D$409,SAISIE!$B$210:$B$409,"*Vent G/D*",SAISIE!$E$210:$E$409,$H$335)&gt;0)),"","Vent G/D")</f>
        <v/>
      </c>
      <c r="B338" s="9">
        <f>IF(OR($H$335="",NOT(MAXIFS(SAISIE!$D$210:$D$409,SAISIE!$B$210:$B$409,"*Vent G/D*",SAISIE!$E$210:$E$409,$H$335)&gt;0)),"",IFERROR(INDEX(SAISIE!$C$210:$C$409,MATCH(MAXIFS(SAISIE!$D$210:$D$409,SAISIE!$B$210:$B$409,"*Vent G/D*",SAISIE!$E$210:$E$409,$H$335),SAISIE!$D$210:$D$409,0)),"-"))</f>
        <v/>
      </c>
      <c r="C338" s="9">
        <f>IF(OR($H$335="",NOT(MAXIFS(SAISIE!$D$210:$D$409,SAISIE!$B$210:$B$409,"*Vent G/D*",SAISIE!$E$210:$E$409,$H$335)&gt;0)),"",IFERROR(MAXIFS(SAISIE!$D$210:$D$409,SAISIE!$B$210:$B$409,"*Vent G/D*",SAISIE!$E$210:$E$409,$H$335),"-"))</f>
        <v/>
      </c>
      <c r="D338" s="9">
        <f>IF($H$335="","",IF(OR(C338="",C338="-"),"",IF(C338&gt;0,"(soulevement)",IF(C338&lt;0,"(compression)","-"))))</f>
        <v/>
      </c>
    </row>
    <row r="339">
      <c r="A339" s="8">
        <f>IF(OR($H$335="",NOT(COUNTIFS(SAISIE!$B$210:$B$409,"*Vent D/G*",SAISIE!$E$210:$E$409,$H$335)&gt;0)),"","Vent D/G")</f>
        <v/>
      </c>
      <c r="B339" s="9">
        <f>IF(OR($H$335="",NOT(COUNTIFS(SAISIE!$B$210:$B$409,"*Vent D/G*",SAISIE!$E$210:$E$409,$H$335)&gt;0)),"",IFERROR(IF(MINIFS(SAISIE!$D$210:$D$409,SAISIE!$B$210:$B$409,"*Vent D/G*",SAISIE!$E$210:$E$409,$H$335)&gt;=0,MAXIFS(SAISIE!$C$210:$C$409,SAISIE!$B$210:$B$409,"*Vent D/G*",SAISIE!$E$210:$E$409,$H$335),INDEX(SAISIE!$C$210:$C$409,MATCH(MINIFS(SAISIE!$D$210:$D$409,SAISIE!$B$210:$B$409,"*Vent D/G*",SAISIE!$E$210:$E$409,$H$335),SAISIE!$D$210:$D$409,0))),"-"))</f>
        <v/>
      </c>
      <c r="C339" s="9">
        <f>IF(OR($H$335="",NOT(COUNTIFS(SAISIE!$B$210:$B$409,"*Vent D/G*",SAISIE!$E$210:$E$409,$H$335)&gt;0)),"",IFERROR(IF(MINIFS(SAISIE!$D$210:$D$409,SAISIE!$B$210:$B$409,"*Vent D/G*",SAISIE!$E$210:$E$409,$H$335)&gt;=0,0,MINIFS(SAISIE!$D$210:$D$409,SAISIE!$B$210:$B$409,"*Vent D/G*",SAISIE!$E$210:$E$409,$H$335)),"-"))</f>
        <v/>
      </c>
      <c r="D339" s="9">
        <f>IF($H$335="","",IF(OR(C339="",C339="-"),"",IF(C339&gt;0,"(soulevement)",IF(C339&lt;0,"(compression)","-"))))</f>
        <v/>
      </c>
    </row>
    <row r="340">
      <c r="A340" s="8">
        <f>IF(OR($H$335="",NOT(MAXIFS(SAISIE!$D$210:$D$409,SAISIE!$B$210:$B$409,"*Vent D/G*",SAISIE!$E$210:$E$409,$H$335)&gt;0)),"","Vent D/G")</f>
        <v/>
      </c>
      <c r="B340" s="9">
        <f>IF(OR($H$335="",NOT(MAXIFS(SAISIE!$D$210:$D$409,SAISIE!$B$210:$B$409,"*Vent D/G*",SAISIE!$E$210:$E$409,$H$335)&gt;0)),"",IFERROR(INDEX(SAISIE!$C$210:$C$409,MATCH(MAXIFS(SAISIE!$D$210:$D$409,SAISIE!$B$210:$B$409,"*Vent D/G*",SAISIE!$E$210:$E$409,$H$335),SAISIE!$D$210:$D$409,0)),"-"))</f>
        <v/>
      </c>
      <c r="C340" s="9">
        <f>IF(OR($H$335="",NOT(MAXIFS(SAISIE!$D$210:$D$409,SAISIE!$B$210:$B$409,"*Vent D/G*",SAISIE!$E$210:$E$409,$H$335)&gt;0)),"",IFERROR(MAXIFS(SAISIE!$D$210:$D$409,SAISIE!$B$210:$B$409,"*Vent D/G*",SAISIE!$E$210:$E$409,$H$335),"-"))</f>
        <v/>
      </c>
      <c r="D340" s="9">
        <f>IF($H$335="","",IF(OR(C340="",C340="-"),"",IF(C340&gt;0,"(soulevement)",IF(C340&lt;0,"(compression)","-"))))</f>
        <v/>
      </c>
    </row>
    <row r="341">
      <c r="A341" s="8">
        <f>IF(OR($H$335="",NOT(COUNTIFS(SAISIE!$B$210:$B$409,"*Vent Av./Arr.*",SAISIE!$E$210:$E$409,$H$335)&gt;0)),"","Vent Av./Arr.")</f>
        <v/>
      </c>
      <c r="B341" s="9">
        <f>IF(OR($H$335="",NOT(COUNTIFS(SAISIE!$B$210:$B$409,"*Vent Av./Arr.*",SAISIE!$E$210:$E$409,$H$335)&gt;0)),"",IFERROR(IF(MINIFS(SAISIE!$D$210:$D$409,SAISIE!$B$210:$B$409,"*Vent Av./Arr.*",SAISIE!$E$210:$E$409,$H$335)&gt;=0,MAXIFS(SAISIE!$C$210:$C$409,SAISIE!$B$210:$B$409,"*Vent Av./Arr.*",SAISIE!$E$210:$E$409,$H$335),INDEX(SAISIE!$C$210:$C$409,MATCH(MINIFS(SAISIE!$D$210:$D$409,SAISIE!$B$210:$B$409,"*Vent Av./Arr.*",SAISIE!$E$210:$E$409,$H$335),SAISIE!$D$210:$D$409,0))),"-"))</f>
        <v/>
      </c>
      <c r="C341" s="9">
        <f>IF(OR($H$335="",NOT(COUNTIFS(SAISIE!$B$210:$B$409,"*Vent Av./Arr.*",SAISIE!$E$210:$E$409,$H$335)&gt;0)),"",IFERROR(IF(MINIFS(SAISIE!$D$210:$D$409,SAISIE!$B$210:$B$409,"*Vent Av./Arr.*",SAISIE!$E$210:$E$409,$H$335)&gt;=0,0,MINIFS(SAISIE!$D$210:$D$409,SAISIE!$B$210:$B$409,"*Vent Av./Arr.*",SAISIE!$E$210:$E$409,$H$335)),"-"))</f>
        <v/>
      </c>
      <c r="D341" s="9">
        <f>IF($H$335="","",IF(OR(C341="",C341="-"),"",IF(C341&gt;0,"(soulevement)",IF(C341&lt;0,"(compression)","-"))))</f>
        <v/>
      </c>
    </row>
    <row r="342">
      <c r="A342" s="8">
        <f>IF(OR($H$335="",NOT(MAXIFS(SAISIE!$D$210:$D$409,SAISIE!$B$210:$B$409,"*Vent Av./Arr.*",SAISIE!$E$210:$E$409,$H$335)&gt;0)),"","Vent Av./Arr.")</f>
        <v/>
      </c>
      <c r="B342" s="9">
        <f>IF(OR($H$335="",NOT(MAXIFS(SAISIE!$D$210:$D$409,SAISIE!$B$210:$B$409,"*Vent Av./Arr.*",SAISIE!$E$210:$E$409,$H$335)&gt;0)),"",IFERROR(INDEX(SAISIE!$C$210:$C$409,MATCH(MAXIFS(SAISIE!$D$210:$D$409,SAISIE!$B$210:$B$409,"*Vent Av./Arr.*",SAISIE!$E$210:$E$409,$H$335),SAISIE!$D$210:$D$409,0)),"-"))</f>
        <v/>
      </c>
      <c r="C342" s="9">
        <f>IF(OR($H$335="",NOT(MAXIFS(SAISIE!$D$210:$D$409,SAISIE!$B$210:$B$409,"*Vent Av./Arr.*",SAISIE!$E$210:$E$409,$H$335)&gt;0)),"",IFERROR(MAXIFS(SAISIE!$D$210:$D$409,SAISIE!$B$210:$B$409,"*Vent Av./Arr.*",SAISIE!$E$210:$E$409,$H$335),"-"))</f>
        <v/>
      </c>
      <c r="D342" s="9">
        <f>IF($H$335="","",IF(OR(C342="",C342="-"),"",IF(C342&gt;0,"(soulevement)",IF(C342&lt;0,"(compression)","-"))))</f>
        <v/>
      </c>
    </row>
    <row r="343">
      <c r="A343" s="8">
        <f>IF(OR($H$335="",NOT(COUNTIFS(SAISIE!$B$210:$B$409,"*Vent Arr./Av.*",SAISIE!$E$210:$E$409,$H$335)&gt;0)),"","Vent Arr./Av.")</f>
        <v/>
      </c>
      <c r="B343" s="9">
        <f>IF(OR($H$335="",NOT(COUNTIFS(SAISIE!$B$210:$B$409,"*Vent Arr./Av.*",SAISIE!$E$210:$E$409,$H$335)&gt;0)),"",IFERROR(IF(MINIFS(SAISIE!$D$210:$D$409,SAISIE!$B$210:$B$409,"*Vent Arr./Av.*",SAISIE!$E$210:$E$409,$H$335)&gt;=0,MAXIFS(SAISIE!$C$210:$C$409,SAISIE!$B$210:$B$409,"*Vent Arr./Av.*",SAISIE!$E$210:$E$409,$H$335),INDEX(SAISIE!$C$210:$C$409,MATCH(MINIFS(SAISIE!$D$210:$D$409,SAISIE!$B$210:$B$409,"*Vent Arr./Av.*",SAISIE!$E$210:$E$409,$H$335),SAISIE!$D$210:$D$409,0))),"-"))</f>
        <v/>
      </c>
      <c r="C343" s="9">
        <f>IF(OR($H$335="",NOT(COUNTIFS(SAISIE!$B$210:$B$409,"*Vent Arr./Av.*",SAISIE!$E$210:$E$409,$H$335)&gt;0)),"",IFERROR(IF(MINIFS(SAISIE!$D$210:$D$409,SAISIE!$B$210:$B$409,"*Vent Arr./Av.*",SAISIE!$E$210:$E$409,$H$335)&gt;=0,0,MINIFS(SAISIE!$D$210:$D$409,SAISIE!$B$210:$B$409,"*Vent Arr./Av.*",SAISIE!$E$210:$E$409,$H$335)),"-"))</f>
        <v/>
      </c>
      <c r="D343" s="9">
        <f>IF($H$335="","",IF(OR(C343="",C343="-"),"",IF(C343&gt;0,"(soulevement)",IF(C343&lt;0,"(compression)","-"))))</f>
        <v/>
      </c>
    </row>
    <row r="344">
      <c r="A344" s="8">
        <f>IF(OR($H$335="",NOT(MAXIFS(SAISIE!$D$210:$D$409,SAISIE!$B$210:$B$409,"*Vent Arr./Av.*",SAISIE!$E$210:$E$409,$H$335)&gt;0)),"","Vent Arr./Av.")</f>
        <v/>
      </c>
      <c r="B344" s="9">
        <f>IF(OR($H$335="",NOT(MAXIFS(SAISIE!$D$210:$D$409,SAISIE!$B$210:$B$409,"*Vent Arr./Av.*",SAISIE!$E$210:$E$409,$H$335)&gt;0)),"",IFERROR(INDEX(SAISIE!$C$210:$C$409,MATCH(MAXIFS(SAISIE!$D$210:$D$409,SAISIE!$B$210:$B$409,"*Vent Arr./Av.*",SAISIE!$E$210:$E$409,$H$335),SAISIE!$D$210:$D$409,0)),"-"))</f>
        <v/>
      </c>
      <c r="C344" s="9">
        <f>IF(OR($H$335="",NOT(MAXIFS(SAISIE!$D$210:$D$409,SAISIE!$B$210:$B$409,"*Vent Arr./Av.*",SAISIE!$E$210:$E$409,$H$335)&gt;0)),"",IFERROR(MAXIFS(SAISIE!$D$210:$D$409,SAISIE!$B$210:$B$409,"*Vent Arr./Av.*",SAISIE!$E$210:$E$409,$H$335),"-"))</f>
        <v/>
      </c>
      <c r="D344" s="9">
        <f>IF($H$335="","",IF(OR(C344="",C344="-"),"",IF(C344&gt;0,"(soulevement)",IF(C344&lt;0,"(compression)","-"))))</f>
        <v/>
      </c>
    </row>
    <row r="345">
      <c r="A345" s="8">
        <f>IF(OR($H$335="",NOT(TRUE)),"","Neige normale")</f>
        <v/>
      </c>
      <c r="B345" s="9">
        <f>IF($H$335="","",IFERROR(INDEX(SAISIE!$C$210:$C$409,MATCH(MINIFS(SAISIE!$D$210:$D$409,SAISIE!$B$210:$B$409,"*Neige*",SAISIE!$B$210:$B$409,"&lt;&gt;*accidentel*",SAISIE!$E$210:$E$409,$H$335),SAISIE!$D$210:$D$409,0)),"-"))</f>
        <v/>
      </c>
      <c r="C345" s="9">
        <f>IF($H$335="","",IFERROR(INDEX(SAISIE!$D$210:$D$409,MATCH(MINIFS(SAISIE!$D$210:$D$409,SAISIE!$B$210:$B$409,"*Neige*",SAISIE!$B$210:$B$409,"&lt;&gt;*accidentel*",SAISIE!$E$210:$E$409,$H$335),SAISIE!$D$210:$D$409,0)),"-"))</f>
        <v/>
      </c>
      <c r="D345" s="9">
        <f>IF($H$335="","",IF(OR(C345="",C345="-"),"",IF(C345&gt;0,"(soulevement)",IF(C345&lt;0,"(compression)","-"))))</f>
        <v/>
      </c>
    </row>
    <row r="346">
      <c r="A346" s="8">
        <f>IF(OR($H$335="",NOT(TRUE)),"","Neige accidentelle")</f>
        <v/>
      </c>
      <c r="B346" s="9">
        <f>IF($H$335="","",IFERROR(LOOKUP(2,1/((SAISIE!$E$210:$E$409=$H$335)*(ISNUMBER(SEARCH("accidentel",SAISIE!$B$210:$B$409)))),SAISIE!$C$210:$C$409),"-"))</f>
        <v/>
      </c>
      <c r="C346" s="9">
        <f>IF($H$335="","",IFERROR(LOOKUP(2,1/((SAISIE!$E$210:$E$409=$H$335)*(ISNUMBER(SEARCH("accidentel",SAISIE!$B$210:$B$409)))),SAISIE!$D$210:$D$409),"-"))</f>
        <v/>
      </c>
      <c r="D346" s="9">
        <f>IF($H$335="","",IF(OR(C346="",C346="-"),"",IF(C346&gt;0,"(soulevement)",IF(C346&lt;0,"(compression)","-"))))</f>
        <v/>
      </c>
    </row>
    <row r="347">
      <c r="A347" s="6">
        <f>IF($H$347="","","Noeud "&amp;$H$347)</f>
        <v/>
      </c>
      <c r="B347" s="7" t="n"/>
      <c r="C347" s="7" t="n"/>
      <c r="D347" s="7" t="n"/>
      <c r="H347">
        <f>IFERROR(INDEX(SAISIE!$E$210:$E$409,AGGREGATE(15,6,ROW(SAISIE!$E$210:$E$409)-ROW(SAISIE!$E$210)+1/(SAISIE!$E$210:$E$409&lt;&gt;"")/(COUNTIF($H$4:H346,SAISIE!$E$210:$E$409)=0),1)),"")</f>
        <v/>
      </c>
    </row>
    <row r="348">
      <c r="A348" s="8">
        <f>IF(OR($H$347="",NOT(TRUE)),"","Couverture")</f>
        <v/>
      </c>
      <c r="B348" s="9">
        <f>IF($H$347="","",IFERROR(IFERROR(LOOKUP(2,1/((SAISIE!$E$210:$E$409=$H$347)*(LEFT(SAISIE!$B$210:$B$409,2)="G ")),SAISIE!$C$210:$C$409),LOOKUP(2,1/((SAISIE!$E$210:$E$409=$H$347)*(ISNUMBER(SEARCH("Couverture",SAISIE!$B$210:$B$409)))),SAISIE!$C$210:$C$409)),"-"))</f>
        <v/>
      </c>
      <c r="C348" s="9">
        <f>IF($H$347="","",IFERROR(IFERROR(LOOKUP(2,1/((SAISIE!$E$210:$E$409=$H$347)*(LEFT(SAISIE!$B$210:$B$409,2)="G ")),SAISIE!$D$210:$D$409),LOOKUP(2,1/((SAISIE!$E$210:$E$409=$H$347)*(ISNUMBER(SEARCH("Couverture",SAISIE!$B$210:$B$409)))),SAISIE!$D$210:$D$409)),"-"))</f>
        <v/>
      </c>
      <c r="D348" s="9">
        <f>IF($H$347="","",IF(OR(C348="",C348="-"),"",IF(C348&gt;0,"(soulevement)",IF(C348&lt;0,"(compression)","-"))))</f>
        <v/>
      </c>
    </row>
    <row r="349">
      <c r="A349" s="8">
        <f>IF(OR($H$347="",NOT(COUNTIFS(SAISIE!$B$210:$B$409,"*Vent G/D*",SAISIE!$E$210:$E$409,$H$347)&gt;0)),"","Vent G/D")</f>
        <v/>
      </c>
      <c r="B349" s="9">
        <f>IF(OR($H$347="",NOT(COUNTIFS(SAISIE!$B$210:$B$409,"*Vent G/D*",SAISIE!$E$210:$E$409,$H$347)&gt;0)),"",IFERROR(IF(MINIFS(SAISIE!$D$210:$D$409,SAISIE!$B$210:$B$409,"*Vent G/D*",SAISIE!$E$210:$E$409,$H$347)&gt;=0,MAXIFS(SAISIE!$C$210:$C$409,SAISIE!$B$210:$B$409,"*Vent G/D*",SAISIE!$E$210:$E$409,$H$347),INDEX(SAISIE!$C$210:$C$409,MATCH(MINIFS(SAISIE!$D$210:$D$409,SAISIE!$B$210:$B$409,"*Vent G/D*",SAISIE!$E$210:$E$409,$H$347),SAISIE!$D$210:$D$409,0))),"-"))</f>
        <v/>
      </c>
      <c r="C349" s="9">
        <f>IF(OR($H$347="",NOT(COUNTIFS(SAISIE!$B$210:$B$409,"*Vent G/D*",SAISIE!$E$210:$E$409,$H$347)&gt;0)),"",IFERROR(IF(MINIFS(SAISIE!$D$210:$D$409,SAISIE!$B$210:$B$409,"*Vent G/D*",SAISIE!$E$210:$E$409,$H$347)&gt;=0,0,MINIFS(SAISIE!$D$210:$D$409,SAISIE!$B$210:$B$409,"*Vent G/D*",SAISIE!$E$210:$E$409,$H$347)),"-"))</f>
        <v/>
      </c>
      <c r="D349" s="9">
        <f>IF($H$347="","",IF(OR(C349="",C349="-"),"",IF(C349&gt;0,"(soulevement)",IF(C349&lt;0,"(compression)","-"))))</f>
        <v/>
      </c>
    </row>
    <row r="350">
      <c r="A350" s="8">
        <f>IF(OR($H$347="",NOT(MAXIFS(SAISIE!$D$210:$D$409,SAISIE!$B$210:$B$409,"*Vent G/D*",SAISIE!$E$210:$E$409,$H$347)&gt;0)),"","Vent G/D")</f>
        <v/>
      </c>
      <c r="B350" s="9">
        <f>IF(OR($H$347="",NOT(MAXIFS(SAISIE!$D$210:$D$409,SAISIE!$B$210:$B$409,"*Vent G/D*",SAISIE!$E$210:$E$409,$H$347)&gt;0)),"",IFERROR(INDEX(SAISIE!$C$210:$C$409,MATCH(MAXIFS(SAISIE!$D$210:$D$409,SAISIE!$B$210:$B$409,"*Vent G/D*",SAISIE!$E$210:$E$409,$H$347),SAISIE!$D$210:$D$409,0)),"-"))</f>
        <v/>
      </c>
      <c r="C350" s="9">
        <f>IF(OR($H$347="",NOT(MAXIFS(SAISIE!$D$210:$D$409,SAISIE!$B$210:$B$409,"*Vent G/D*",SAISIE!$E$210:$E$409,$H$347)&gt;0)),"",IFERROR(MAXIFS(SAISIE!$D$210:$D$409,SAISIE!$B$210:$B$409,"*Vent G/D*",SAISIE!$E$210:$E$409,$H$347),"-"))</f>
        <v/>
      </c>
      <c r="D350" s="9">
        <f>IF($H$347="","",IF(OR(C350="",C350="-"),"",IF(C350&gt;0,"(soulevement)",IF(C350&lt;0,"(compression)","-"))))</f>
        <v/>
      </c>
    </row>
    <row r="351">
      <c r="A351" s="8">
        <f>IF(OR($H$347="",NOT(COUNTIFS(SAISIE!$B$210:$B$409,"*Vent D/G*",SAISIE!$E$210:$E$409,$H$347)&gt;0)),"","Vent D/G")</f>
        <v/>
      </c>
      <c r="B351" s="9">
        <f>IF(OR($H$347="",NOT(COUNTIFS(SAISIE!$B$210:$B$409,"*Vent D/G*",SAISIE!$E$210:$E$409,$H$347)&gt;0)),"",IFERROR(IF(MINIFS(SAISIE!$D$210:$D$409,SAISIE!$B$210:$B$409,"*Vent D/G*",SAISIE!$E$210:$E$409,$H$347)&gt;=0,MAXIFS(SAISIE!$C$210:$C$409,SAISIE!$B$210:$B$409,"*Vent D/G*",SAISIE!$E$210:$E$409,$H$347),INDEX(SAISIE!$C$210:$C$409,MATCH(MINIFS(SAISIE!$D$210:$D$409,SAISIE!$B$210:$B$409,"*Vent D/G*",SAISIE!$E$210:$E$409,$H$347),SAISIE!$D$210:$D$409,0))),"-"))</f>
        <v/>
      </c>
      <c r="C351" s="9">
        <f>IF(OR($H$347="",NOT(COUNTIFS(SAISIE!$B$210:$B$409,"*Vent D/G*",SAISIE!$E$210:$E$409,$H$347)&gt;0)),"",IFERROR(IF(MINIFS(SAISIE!$D$210:$D$409,SAISIE!$B$210:$B$409,"*Vent D/G*",SAISIE!$E$210:$E$409,$H$347)&gt;=0,0,MINIFS(SAISIE!$D$210:$D$409,SAISIE!$B$210:$B$409,"*Vent D/G*",SAISIE!$E$210:$E$409,$H$347)),"-"))</f>
        <v/>
      </c>
      <c r="D351" s="9">
        <f>IF($H$347="","",IF(OR(C351="",C351="-"),"",IF(C351&gt;0,"(soulevement)",IF(C351&lt;0,"(compression)","-"))))</f>
        <v/>
      </c>
    </row>
    <row r="352">
      <c r="A352" s="8">
        <f>IF(OR($H$347="",NOT(MAXIFS(SAISIE!$D$210:$D$409,SAISIE!$B$210:$B$409,"*Vent D/G*",SAISIE!$E$210:$E$409,$H$347)&gt;0)),"","Vent D/G")</f>
        <v/>
      </c>
      <c r="B352" s="9">
        <f>IF(OR($H$347="",NOT(MAXIFS(SAISIE!$D$210:$D$409,SAISIE!$B$210:$B$409,"*Vent D/G*",SAISIE!$E$210:$E$409,$H$347)&gt;0)),"",IFERROR(INDEX(SAISIE!$C$210:$C$409,MATCH(MAXIFS(SAISIE!$D$210:$D$409,SAISIE!$B$210:$B$409,"*Vent D/G*",SAISIE!$E$210:$E$409,$H$347),SAISIE!$D$210:$D$409,0)),"-"))</f>
        <v/>
      </c>
      <c r="C352" s="9">
        <f>IF(OR($H$347="",NOT(MAXIFS(SAISIE!$D$210:$D$409,SAISIE!$B$210:$B$409,"*Vent D/G*",SAISIE!$E$210:$E$409,$H$347)&gt;0)),"",IFERROR(MAXIFS(SAISIE!$D$210:$D$409,SAISIE!$B$210:$B$409,"*Vent D/G*",SAISIE!$E$210:$E$409,$H$347),"-"))</f>
        <v/>
      </c>
      <c r="D352" s="9">
        <f>IF($H$347="","",IF(OR(C352="",C352="-"),"",IF(C352&gt;0,"(soulevement)",IF(C352&lt;0,"(compression)","-"))))</f>
        <v/>
      </c>
    </row>
    <row r="353">
      <c r="A353" s="8">
        <f>IF(OR($H$347="",NOT(COUNTIFS(SAISIE!$B$210:$B$409,"*Vent Av./Arr.*",SAISIE!$E$210:$E$409,$H$347)&gt;0)),"","Vent Av./Arr.")</f>
        <v/>
      </c>
      <c r="B353" s="9">
        <f>IF(OR($H$347="",NOT(COUNTIFS(SAISIE!$B$210:$B$409,"*Vent Av./Arr.*",SAISIE!$E$210:$E$409,$H$347)&gt;0)),"",IFERROR(IF(MINIFS(SAISIE!$D$210:$D$409,SAISIE!$B$210:$B$409,"*Vent Av./Arr.*",SAISIE!$E$210:$E$409,$H$347)&gt;=0,MAXIFS(SAISIE!$C$210:$C$409,SAISIE!$B$210:$B$409,"*Vent Av./Arr.*",SAISIE!$E$210:$E$409,$H$347),INDEX(SAISIE!$C$210:$C$409,MATCH(MINIFS(SAISIE!$D$210:$D$409,SAISIE!$B$210:$B$409,"*Vent Av./Arr.*",SAISIE!$E$210:$E$409,$H$347),SAISIE!$D$210:$D$409,0))),"-"))</f>
        <v/>
      </c>
      <c r="C353" s="9">
        <f>IF(OR($H$347="",NOT(COUNTIFS(SAISIE!$B$210:$B$409,"*Vent Av./Arr.*",SAISIE!$E$210:$E$409,$H$347)&gt;0)),"",IFERROR(IF(MINIFS(SAISIE!$D$210:$D$409,SAISIE!$B$210:$B$409,"*Vent Av./Arr.*",SAISIE!$E$210:$E$409,$H$347)&gt;=0,0,MINIFS(SAISIE!$D$210:$D$409,SAISIE!$B$210:$B$409,"*Vent Av./Arr.*",SAISIE!$E$210:$E$409,$H$347)),"-"))</f>
        <v/>
      </c>
      <c r="D353" s="9">
        <f>IF($H$347="","",IF(OR(C353="",C353="-"),"",IF(C353&gt;0,"(soulevement)",IF(C353&lt;0,"(compression)","-"))))</f>
        <v/>
      </c>
    </row>
    <row r="354">
      <c r="A354" s="8">
        <f>IF(OR($H$347="",NOT(MAXIFS(SAISIE!$D$210:$D$409,SAISIE!$B$210:$B$409,"*Vent Av./Arr.*",SAISIE!$E$210:$E$409,$H$347)&gt;0)),"","Vent Av./Arr.")</f>
        <v/>
      </c>
      <c r="B354" s="9">
        <f>IF(OR($H$347="",NOT(MAXIFS(SAISIE!$D$210:$D$409,SAISIE!$B$210:$B$409,"*Vent Av./Arr.*",SAISIE!$E$210:$E$409,$H$347)&gt;0)),"",IFERROR(INDEX(SAISIE!$C$210:$C$409,MATCH(MAXIFS(SAISIE!$D$210:$D$409,SAISIE!$B$210:$B$409,"*Vent Av./Arr.*",SAISIE!$E$210:$E$409,$H$347),SAISIE!$D$210:$D$409,0)),"-"))</f>
        <v/>
      </c>
      <c r="C354" s="9">
        <f>IF(OR($H$347="",NOT(MAXIFS(SAISIE!$D$210:$D$409,SAISIE!$B$210:$B$409,"*Vent Av./Arr.*",SAISIE!$E$210:$E$409,$H$347)&gt;0)),"",IFERROR(MAXIFS(SAISIE!$D$210:$D$409,SAISIE!$B$210:$B$409,"*Vent Av./Arr.*",SAISIE!$E$210:$E$409,$H$347),"-"))</f>
        <v/>
      </c>
      <c r="D354" s="9">
        <f>IF($H$347="","",IF(OR(C354="",C354="-"),"",IF(C354&gt;0,"(soulevement)",IF(C354&lt;0,"(compression)","-"))))</f>
        <v/>
      </c>
    </row>
    <row r="355">
      <c r="A355" s="8">
        <f>IF(OR($H$347="",NOT(COUNTIFS(SAISIE!$B$210:$B$409,"*Vent Arr./Av.*",SAISIE!$E$210:$E$409,$H$347)&gt;0)),"","Vent Arr./Av.")</f>
        <v/>
      </c>
      <c r="B355" s="9">
        <f>IF(OR($H$347="",NOT(COUNTIFS(SAISIE!$B$210:$B$409,"*Vent Arr./Av.*",SAISIE!$E$210:$E$409,$H$347)&gt;0)),"",IFERROR(IF(MINIFS(SAISIE!$D$210:$D$409,SAISIE!$B$210:$B$409,"*Vent Arr./Av.*",SAISIE!$E$210:$E$409,$H$347)&gt;=0,MAXIFS(SAISIE!$C$210:$C$409,SAISIE!$B$210:$B$409,"*Vent Arr./Av.*",SAISIE!$E$210:$E$409,$H$347),INDEX(SAISIE!$C$210:$C$409,MATCH(MINIFS(SAISIE!$D$210:$D$409,SAISIE!$B$210:$B$409,"*Vent Arr./Av.*",SAISIE!$E$210:$E$409,$H$347),SAISIE!$D$210:$D$409,0))),"-"))</f>
        <v/>
      </c>
      <c r="C355" s="9">
        <f>IF(OR($H$347="",NOT(COUNTIFS(SAISIE!$B$210:$B$409,"*Vent Arr./Av.*",SAISIE!$E$210:$E$409,$H$347)&gt;0)),"",IFERROR(IF(MINIFS(SAISIE!$D$210:$D$409,SAISIE!$B$210:$B$409,"*Vent Arr./Av.*",SAISIE!$E$210:$E$409,$H$347)&gt;=0,0,MINIFS(SAISIE!$D$210:$D$409,SAISIE!$B$210:$B$409,"*Vent Arr./Av.*",SAISIE!$E$210:$E$409,$H$347)),"-"))</f>
        <v/>
      </c>
      <c r="D355" s="9">
        <f>IF($H$347="","",IF(OR(C355="",C355="-"),"",IF(C355&gt;0,"(soulevement)",IF(C355&lt;0,"(compression)","-"))))</f>
        <v/>
      </c>
    </row>
    <row r="356">
      <c r="A356" s="8">
        <f>IF(OR($H$347="",NOT(MAXIFS(SAISIE!$D$210:$D$409,SAISIE!$B$210:$B$409,"*Vent Arr./Av.*",SAISIE!$E$210:$E$409,$H$347)&gt;0)),"","Vent Arr./Av.")</f>
        <v/>
      </c>
      <c r="B356" s="9">
        <f>IF(OR($H$347="",NOT(MAXIFS(SAISIE!$D$210:$D$409,SAISIE!$B$210:$B$409,"*Vent Arr./Av.*",SAISIE!$E$210:$E$409,$H$347)&gt;0)),"",IFERROR(INDEX(SAISIE!$C$210:$C$409,MATCH(MAXIFS(SAISIE!$D$210:$D$409,SAISIE!$B$210:$B$409,"*Vent Arr./Av.*",SAISIE!$E$210:$E$409,$H$347),SAISIE!$D$210:$D$409,0)),"-"))</f>
        <v/>
      </c>
      <c r="C356" s="9">
        <f>IF(OR($H$347="",NOT(MAXIFS(SAISIE!$D$210:$D$409,SAISIE!$B$210:$B$409,"*Vent Arr./Av.*",SAISIE!$E$210:$E$409,$H$347)&gt;0)),"",IFERROR(MAXIFS(SAISIE!$D$210:$D$409,SAISIE!$B$210:$B$409,"*Vent Arr./Av.*",SAISIE!$E$210:$E$409,$H$347),"-"))</f>
        <v/>
      </c>
      <c r="D356" s="9">
        <f>IF($H$347="","",IF(OR(C356="",C356="-"),"",IF(C356&gt;0,"(soulevement)",IF(C356&lt;0,"(compression)","-"))))</f>
        <v/>
      </c>
    </row>
    <row r="357">
      <c r="A357" s="8">
        <f>IF(OR($H$347="",NOT(TRUE)),"","Neige normale")</f>
        <v/>
      </c>
      <c r="B357" s="9">
        <f>IF($H$347="","",IFERROR(INDEX(SAISIE!$C$210:$C$409,MATCH(MINIFS(SAISIE!$D$210:$D$409,SAISIE!$B$210:$B$409,"*Neige*",SAISIE!$B$210:$B$409,"&lt;&gt;*accidentel*",SAISIE!$E$210:$E$409,$H$347),SAISIE!$D$210:$D$409,0)),"-"))</f>
        <v/>
      </c>
      <c r="C357" s="9">
        <f>IF($H$347="","",IFERROR(INDEX(SAISIE!$D$210:$D$409,MATCH(MINIFS(SAISIE!$D$210:$D$409,SAISIE!$B$210:$B$409,"*Neige*",SAISIE!$B$210:$B$409,"&lt;&gt;*accidentel*",SAISIE!$E$210:$E$409,$H$347),SAISIE!$D$210:$D$409,0)),"-"))</f>
        <v/>
      </c>
      <c r="D357" s="9">
        <f>IF($H$347="","",IF(OR(C357="",C357="-"),"",IF(C357&gt;0,"(soulevement)",IF(C357&lt;0,"(compression)","-"))))</f>
        <v/>
      </c>
    </row>
    <row r="358">
      <c r="A358" s="8">
        <f>IF(OR($H$347="",NOT(TRUE)),"","Neige accidentelle")</f>
        <v/>
      </c>
      <c r="B358" s="9">
        <f>IF($H$347="","",IFERROR(LOOKUP(2,1/((SAISIE!$E$210:$E$409=$H$347)*(ISNUMBER(SEARCH("accidentel",SAISIE!$B$210:$B$409)))),SAISIE!$C$210:$C$409),"-"))</f>
        <v/>
      </c>
      <c r="C358" s="9">
        <f>IF($H$347="","",IFERROR(LOOKUP(2,1/((SAISIE!$E$210:$E$409=$H$347)*(ISNUMBER(SEARCH("accidentel",SAISIE!$B$210:$B$409)))),SAISIE!$D$210:$D$409),"-"))</f>
        <v/>
      </c>
      <c r="D358" s="9">
        <f>IF($H$347="","",IF(OR(C358="",C358="-"),"",IF(C358&gt;0,"(soulevement)",IF(C358&lt;0,"(compression)","-"))))</f>
        <v/>
      </c>
    </row>
    <row r="359">
      <c r="A359" s="6">
        <f>IF($H$359="","","Noeud "&amp;$H$359)</f>
        <v/>
      </c>
      <c r="B359" s="7" t="n"/>
      <c r="C359" s="7" t="n"/>
      <c r="D359" s="7" t="n"/>
      <c r="H359">
        <f>IFERROR(INDEX(SAISIE!$E$210:$E$409,AGGREGATE(15,6,ROW(SAISIE!$E$210:$E$409)-ROW(SAISIE!$E$210)+1/(SAISIE!$E$210:$E$409&lt;&gt;"")/(COUNTIF($H$4:H358,SAISIE!$E$210:$E$409)=0),1)),"")</f>
        <v/>
      </c>
    </row>
    <row r="360">
      <c r="A360" s="8">
        <f>IF(OR($H$359="",NOT(TRUE)),"","Couverture")</f>
        <v/>
      </c>
      <c r="B360" s="9">
        <f>IF($H$359="","",IFERROR(IFERROR(LOOKUP(2,1/((SAISIE!$E$210:$E$409=$H$359)*(LEFT(SAISIE!$B$210:$B$409,2)="G ")),SAISIE!$C$210:$C$409),LOOKUP(2,1/((SAISIE!$E$210:$E$409=$H$359)*(ISNUMBER(SEARCH("Couverture",SAISIE!$B$210:$B$409)))),SAISIE!$C$210:$C$409)),"-"))</f>
        <v/>
      </c>
      <c r="C360" s="9">
        <f>IF($H$359="","",IFERROR(IFERROR(LOOKUP(2,1/((SAISIE!$E$210:$E$409=$H$359)*(LEFT(SAISIE!$B$210:$B$409,2)="G ")),SAISIE!$D$210:$D$409),LOOKUP(2,1/((SAISIE!$E$210:$E$409=$H$359)*(ISNUMBER(SEARCH("Couverture",SAISIE!$B$210:$B$409)))),SAISIE!$D$210:$D$409)),"-"))</f>
        <v/>
      </c>
      <c r="D360" s="9">
        <f>IF($H$359="","",IF(OR(C360="",C360="-"),"",IF(C360&gt;0,"(soulevement)",IF(C360&lt;0,"(compression)","-"))))</f>
        <v/>
      </c>
    </row>
    <row r="361">
      <c r="A361" s="8">
        <f>IF(OR($H$359="",NOT(COUNTIFS(SAISIE!$B$210:$B$409,"*Vent G/D*",SAISIE!$E$210:$E$409,$H$359)&gt;0)),"","Vent G/D")</f>
        <v/>
      </c>
      <c r="B361" s="9">
        <f>IF(OR($H$359="",NOT(COUNTIFS(SAISIE!$B$210:$B$409,"*Vent G/D*",SAISIE!$E$210:$E$409,$H$359)&gt;0)),"",IFERROR(IF(MINIFS(SAISIE!$D$210:$D$409,SAISIE!$B$210:$B$409,"*Vent G/D*",SAISIE!$E$210:$E$409,$H$359)&gt;=0,MAXIFS(SAISIE!$C$210:$C$409,SAISIE!$B$210:$B$409,"*Vent G/D*",SAISIE!$E$210:$E$409,$H$359),INDEX(SAISIE!$C$210:$C$409,MATCH(MINIFS(SAISIE!$D$210:$D$409,SAISIE!$B$210:$B$409,"*Vent G/D*",SAISIE!$E$210:$E$409,$H$359),SAISIE!$D$210:$D$409,0))),"-"))</f>
        <v/>
      </c>
      <c r="C361" s="9">
        <f>IF(OR($H$359="",NOT(COUNTIFS(SAISIE!$B$210:$B$409,"*Vent G/D*",SAISIE!$E$210:$E$409,$H$359)&gt;0)),"",IFERROR(IF(MINIFS(SAISIE!$D$210:$D$409,SAISIE!$B$210:$B$409,"*Vent G/D*",SAISIE!$E$210:$E$409,$H$359)&gt;=0,0,MINIFS(SAISIE!$D$210:$D$409,SAISIE!$B$210:$B$409,"*Vent G/D*",SAISIE!$E$210:$E$409,$H$359)),"-"))</f>
        <v/>
      </c>
      <c r="D361" s="9">
        <f>IF($H$359="","",IF(OR(C361="",C361="-"),"",IF(C361&gt;0,"(soulevement)",IF(C361&lt;0,"(compression)","-"))))</f>
        <v/>
      </c>
    </row>
    <row r="362">
      <c r="A362" s="8">
        <f>IF(OR($H$359="",NOT(MAXIFS(SAISIE!$D$210:$D$409,SAISIE!$B$210:$B$409,"*Vent G/D*",SAISIE!$E$210:$E$409,$H$359)&gt;0)),"","Vent G/D")</f>
        <v/>
      </c>
      <c r="B362" s="9">
        <f>IF(OR($H$359="",NOT(MAXIFS(SAISIE!$D$210:$D$409,SAISIE!$B$210:$B$409,"*Vent G/D*",SAISIE!$E$210:$E$409,$H$359)&gt;0)),"",IFERROR(INDEX(SAISIE!$C$210:$C$409,MATCH(MAXIFS(SAISIE!$D$210:$D$409,SAISIE!$B$210:$B$409,"*Vent G/D*",SAISIE!$E$210:$E$409,$H$359),SAISIE!$D$210:$D$409,0)),"-"))</f>
        <v/>
      </c>
      <c r="C362" s="9">
        <f>IF(OR($H$359="",NOT(MAXIFS(SAISIE!$D$210:$D$409,SAISIE!$B$210:$B$409,"*Vent G/D*",SAISIE!$E$210:$E$409,$H$359)&gt;0)),"",IFERROR(MAXIFS(SAISIE!$D$210:$D$409,SAISIE!$B$210:$B$409,"*Vent G/D*",SAISIE!$E$210:$E$409,$H$359),"-"))</f>
        <v/>
      </c>
      <c r="D362" s="9">
        <f>IF($H$359="","",IF(OR(C362="",C362="-"),"",IF(C362&gt;0,"(soulevement)",IF(C362&lt;0,"(compression)","-"))))</f>
        <v/>
      </c>
    </row>
    <row r="363">
      <c r="A363" s="8">
        <f>IF(OR($H$359="",NOT(COUNTIFS(SAISIE!$B$210:$B$409,"*Vent D/G*",SAISIE!$E$210:$E$409,$H$359)&gt;0)),"","Vent D/G")</f>
        <v/>
      </c>
      <c r="B363" s="9">
        <f>IF(OR($H$359="",NOT(COUNTIFS(SAISIE!$B$210:$B$409,"*Vent D/G*",SAISIE!$E$210:$E$409,$H$359)&gt;0)),"",IFERROR(IF(MINIFS(SAISIE!$D$210:$D$409,SAISIE!$B$210:$B$409,"*Vent D/G*",SAISIE!$E$210:$E$409,$H$359)&gt;=0,MAXIFS(SAISIE!$C$210:$C$409,SAISIE!$B$210:$B$409,"*Vent D/G*",SAISIE!$E$210:$E$409,$H$359),INDEX(SAISIE!$C$210:$C$409,MATCH(MINIFS(SAISIE!$D$210:$D$409,SAISIE!$B$210:$B$409,"*Vent D/G*",SAISIE!$E$210:$E$409,$H$359),SAISIE!$D$210:$D$409,0))),"-"))</f>
        <v/>
      </c>
      <c r="C363" s="9">
        <f>IF(OR($H$359="",NOT(COUNTIFS(SAISIE!$B$210:$B$409,"*Vent D/G*",SAISIE!$E$210:$E$409,$H$359)&gt;0)),"",IFERROR(IF(MINIFS(SAISIE!$D$210:$D$409,SAISIE!$B$210:$B$409,"*Vent D/G*",SAISIE!$E$210:$E$409,$H$359)&gt;=0,0,MINIFS(SAISIE!$D$210:$D$409,SAISIE!$B$210:$B$409,"*Vent D/G*",SAISIE!$E$210:$E$409,$H$359)),"-"))</f>
        <v/>
      </c>
      <c r="D363" s="9">
        <f>IF($H$359="","",IF(OR(C363="",C363="-"),"",IF(C363&gt;0,"(soulevement)",IF(C363&lt;0,"(compression)","-"))))</f>
        <v/>
      </c>
    </row>
    <row r="364">
      <c r="A364" s="8">
        <f>IF(OR($H$359="",NOT(MAXIFS(SAISIE!$D$210:$D$409,SAISIE!$B$210:$B$409,"*Vent D/G*",SAISIE!$E$210:$E$409,$H$359)&gt;0)),"","Vent D/G")</f>
        <v/>
      </c>
      <c r="B364" s="9">
        <f>IF(OR($H$359="",NOT(MAXIFS(SAISIE!$D$210:$D$409,SAISIE!$B$210:$B$409,"*Vent D/G*",SAISIE!$E$210:$E$409,$H$359)&gt;0)),"",IFERROR(INDEX(SAISIE!$C$210:$C$409,MATCH(MAXIFS(SAISIE!$D$210:$D$409,SAISIE!$B$210:$B$409,"*Vent D/G*",SAISIE!$E$210:$E$409,$H$359),SAISIE!$D$210:$D$409,0)),"-"))</f>
        <v/>
      </c>
      <c r="C364" s="9">
        <f>IF(OR($H$359="",NOT(MAXIFS(SAISIE!$D$210:$D$409,SAISIE!$B$210:$B$409,"*Vent D/G*",SAISIE!$E$210:$E$409,$H$359)&gt;0)),"",IFERROR(MAXIFS(SAISIE!$D$210:$D$409,SAISIE!$B$210:$B$409,"*Vent D/G*",SAISIE!$E$210:$E$409,$H$359),"-"))</f>
        <v/>
      </c>
      <c r="D364" s="9">
        <f>IF($H$359="","",IF(OR(C364="",C364="-"),"",IF(C364&gt;0,"(soulevement)",IF(C364&lt;0,"(compression)","-"))))</f>
        <v/>
      </c>
    </row>
    <row r="365">
      <c r="A365" s="8">
        <f>IF(OR($H$359="",NOT(COUNTIFS(SAISIE!$B$210:$B$409,"*Vent Av./Arr.*",SAISIE!$E$210:$E$409,$H$359)&gt;0)),"","Vent Av./Arr.")</f>
        <v/>
      </c>
      <c r="B365" s="9">
        <f>IF(OR($H$359="",NOT(COUNTIFS(SAISIE!$B$210:$B$409,"*Vent Av./Arr.*",SAISIE!$E$210:$E$409,$H$359)&gt;0)),"",IFERROR(IF(MINIFS(SAISIE!$D$210:$D$409,SAISIE!$B$210:$B$409,"*Vent Av./Arr.*",SAISIE!$E$210:$E$409,$H$359)&gt;=0,MAXIFS(SAISIE!$C$210:$C$409,SAISIE!$B$210:$B$409,"*Vent Av./Arr.*",SAISIE!$E$210:$E$409,$H$359),INDEX(SAISIE!$C$210:$C$409,MATCH(MINIFS(SAISIE!$D$210:$D$409,SAISIE!$B$210:$B$409,"*Vent Av./Arr.*",SAISIE!$E$210:$E$409,$H$359),SAISIE!$D$210:$D$409,0))),"-"))</f>
        <v/>
      </c>
      <c r="C365" s="9">
        <f>IF(OR($H$359="",NOT(COUNTIFS(SAISIE!$B$210:$B$409,"*Vent Av./Arr.*",SAISIE!$E$210:$E$409,$H$359)&gt;0)),"",IFERROR(IF(MINIFS(SAISIE!$D$210:$D$409,SAISIE!$B$210:$B$409,"*Vent Av./Arr.*",SAISIE!$E$210:$E$409,$H$359)&gt;=0,0,MINIFS(SAISIE!$D$210:$D$409,SAISIE!$B$210:$B$409,"*Vent Av./Arr.*",SAISIE!$E$210:$E$409,$H$359)),"-"))</f>
        <v/>
      </c>
      <c r="D365" s="9">
        <f>IF($H$359="","",IF(OR(C365="",C365="-"),"",IF(C365&gt;0,"(soulevement)",IF(C365&lt;0,"(compression)","-"))))</f>
        <v/>
      </c>
    </row>
    <row r="366">
      <c r="A366" s="8">
        <f>IF(OR($H$359="",NOT(MAXIFS(SAISIE!$D$210:$D$409,SAISIE!$B$210:$B$409,"*Vent Av./Arr.*",SAISIE!$E$210:$E$409,$H$359)&gt;0)),"","Vent Av./Arr.")</f>
        <v/>
      </c>
      <c r="B366" s="9">
        <f>IF(OR($H$359="",NOT(MAXIFS(SAISIE!$D$210:$D$409,SAISIE!$B$210:$B$409,"*Vent Av./Arr.*",SAISIE!$E$210:$E$409,$H$359)&gt;0)),"",IFERROR(INDEX(SAISIE!$C$210:$C$409,MATCH(MAXIFS(SAISIE!$D$210:$D$409,SAISIE!$B$210:$B$409,"*Vent Av./Arr.*",SAISIE!$E$210:$E$409,$H$359),SAISIE!$D$210:$D$409,0)),"-"))</f>
        <v/>
      </c>
      <c r="C366" s="9">
        <f>IF(OR($H$359="",NOT(MAXIFS(SAISIE!$D$210:$D$409,SAISIE!$B$210:$B$409,"*Vent Av./Arr.*",SAISIE!$E$210:$E$409,$H$359)&gt;0)),"",IFERROR(MAXIFS(SAISIE!$D$210:$D$409,SAISIE!$B$210:$B$409,"*Vent Av./Arr.*",SAISIE!$E$210:$E$409,$H$359),"-"))</f>
        <v/>
      </c>
      <c r="D366" s="9">
        <f>IF($H$359="","",IF(OR(C366="",C366="-"),"",IF(C366&gt;0,"(soulevement)",IF(C366&lt;0,"(compression)","-"))))</f>
        <v/>
      </c>
    </row>
    <row r="367">
      <c r="A367" s="8">
        <f>IF(OR($H$359="",NOT(COUNTIFS(SAISIE!$B$210:$B$409,"*Vent Arr./Av.*",SAISIE!$E$210:$E$409,$H$359)&gt;0)),"","Vent Arr./Av.")</f>
        <v/>
      </c>
      <c r="B367" s="9">
        <f>IF(OR($H$359="",NOT(COUNTIFS(SAISIE!$B$210:$B$409,"*Vent Arr./Av.*",SAISIE!$E$210:$E$409,$H$359)&gt;0)),"",IFERROR(IF(MINIFS(SAISIE!$D$210:$D$409,SAISIE!$B$210:$B$409,"*Vent Arr./Av.*",SAISIE!$E$210:$E$409,$H$359)&gt;=0,MAXIFS(SAISIE!$C$210:$C$409,SAISIE!$B$210:$B$409,"*Vent Arr./Av.*",SAISIE!$E$210:$E$409,$H$359),INDEX(SAISIE!$C$210:$C$409,MATCH(MINIFS(SAISIE!$D$210:$D$409,SAISIE!$B$210:$B$409,"*Vent Arr./Av.*",SAISIE!$E$210:$E$409,$H$359),SAISIE!$D$210:$D$409,0))),"-"))</f>
        <v/>
      </c>
      <c r="C367" s="9">
        <f>IF(OR($H$359="",NOT(COUNTIFS(SAISIE!$B$210:$B$409,"*Vent Arr./Av.*",SAISIE!$E$210:$E$409,$H$359)&gt;0)),"",IFERROR(IF(MINIFS(SAISIE!$D$210:$D$409,SAISIE!$B$210:$B$409,"*Vent Arr./Av.*",SAISIE!$E$210:$E$409,$H$359)&gt;=0,0,MINIFS(SAISIE!$D$210:$D$409,SAISIE!$B$210:$B$409,"*Vent Arr./Av.*",SAISIE!$E$210:$E$409,$H$359)),"-"))</f>
        <v/>
      </c>
      <c r="D367" s="9">
        <f>IF($H$359="","",IF(OR(C367="",C367="-"),"",IF(C367&gt;0,"(soulevement)",IF(C367&lt;0,"(compression)","-"))))</f>
        <v/>
      </c>
    </row>
    <row r="368">
      <c r="A368" s="8">
        <f>IF(OR($H$359="",NOT(MAXIFS(SAISIE!$D$210:$D$409,SAISIE!$B$210:$B$409,"*Vent Arr./Av.*",SAISIE!$E$210:$E$409,$H$359)&gt;0)),"","Vent Arr./Av.")</f>
        <v/>
      </c>
      <c r="B368" s="9">
        <f>IF(OR($H$359="",NOT(MAXIFS(SAISIE!$D$210:$D$409,SAISIE!$B$210:$B$409,"*Vent Arr./Av.*",SAISIE!$E$210:$E$409,$H$359)&gt;0)),"",IFERROR(INDEX(SAISIE!$C$210:$C$409,MATCH(MAXIFS(SAISIE!$D$210:$D$409,SAISIE!$B$210:$B$409,"*Vent Arr./Av.*",SAISIE!$E$210:$E$409,$H$359),SAISIE!$D$210:$D$409,0)),"-"))</f>
        <v/>
      </c>
      <c r="C368" s="9">
        <f>IF(OR($H$359="",NOT(MAXIFS(SAISIE!$D$210:$D$409,SAISIE!$B$210:$B$409,"*Vent Arr./Av.*",SAISIE!$E$210:$E$409,$H$359)&gt;0)),"",IFERROR(MAXIFS(SAISIE!$D$210:$D$409,SAISIE!$B$210:$B$409,"*Vent Arr./Av.*",SAISIE!$E$210:$E$409,$H$359),"-"))</f>
        <v/>
      </c>
      <c r="D368" s="9">
        <f>IF($H$359="","",IF(OR(C368="",C368="-"),"",IF(C368&gt;0,"(soulevement)",IF(C368&lt;0,"(compression)","-"))))</f>
        <v/>
      </c>
    </row>
    <row r="369">
      <c r="A369" s="8">
        <f>IF(OR($H$359="",NOT(TRUE)),"","Neige normale")</f>
        <v/>
      </c>
      <c r="B369" s="9">
        <f>IF($H$359="","",IFERROR(INDEX(SAISIE!$C$210:$C$409,MATCH(MINIFS(SAISIE!$D$210:$D$409,SAISIE!$B$210:$B$409,"*Neige*",SAISIE!$B$210:$B$409,"&lt;&gt;*accidentel*",SAISIE!$E$210:$E$409,$H$359),SAISIE!$D$210:$D$409,0)),"-"))</f>
        <v/>
      </c>
      <c r="C369" s="9">
        <f>IF($H$359="","",IFERROR(INDEX(SAISIE!$D$210:$D$409,MATCH(MINIFS(SAISIE!$D$210:$D$409,SAISIE!$B$210:$B$409,"*Neige*",SAISIE!$B$210:$B$409,"&lt;&gt;*accidentel*",SAISIE!$E$210:$E$409,$H$359),SAISIE!$D$210:$D$409,0)),"-"))</f>
        <v/>
      </c>
      <c r="D369" s="9">
        <f>IF($H$359="","",IF(OR(C369="",C369="-"),"",IF(C369&gt;0,"(soulevement)",IF(C369&lt;0,"(compression)","-"))))</f>
        <v/>
      </c>
    </row>
    <row r="370">
      <c r="A370" s="8">
        <f>IF(OR($H$359="",NOT(TRUE)),"","Neige accidentelle")</f>
        <v/>
      </c>
      <c r="B370" s="9">
        <f>IF($H$359="","",IFERROR(LOOKUP(2,1/((SAISIE!$E$210:$E$409=$H$359)*(ISNUMBER(SEARCH("accidentel",SAISIE!$B$210:$B$409)))),SAISIE!$C$210:$C$409),"-"))</f>
        <v/>
      </c>
      <c r="C370" s="9">
        <f>IF($H$359="","",IFERROR(LOOKUP(2,1/((SAISIE!$E$210:$E$409=$H$359)*(ISNUMBER(SEARCH("accidentel",SAISIE!$B$210:$B$409)))),SAISIE!$D$210:$D$409),"-"))</f>
        <v/>
      </c>
      <c r="D370" s="9">
        <f>IF($H$359="","",IF(OR(C370="",C370="-"),"",IF(C370&gt;0,"(soulevement)",IF(C370&lt;0,"(compression)","-"))))</f>
        <v/>
      </c>
    </row>
    <row r="371">
      <c r="A371" s="6">
        <f>IF($H$371="","","Noeud "&amp;$H$371)</f>
        <v/>
      </c>
      <c r="B371" s="7" t="n"/>
      <c r="C371" s="7" t="n"/>
      <c r="D371" s="7" t="n"/>
      <c r="H371">
        <f>IFERROR(INDEX(SAISIE!$E$210:$E$409,AGGREGATE(15,6,ROW(SAISIE!$E$210:$E$409)-ROW(SAISIE!$E$210)+1/(SAISIE!$E$210:$E$409&lt;&gt;"")/(COUNTIF($H$4:H370,SAISIE!$E$210:$E$409)=0),1)),"")</f>
        <v/>
      </c>
    </row>
    <row r="372">
      <c r="A372" s="8">
        <f>IF(OR($H$371="",NOT(TRUE)),"","Couverture")</f>
        <v/>
      </c>
      <c r="B372" s="9">
        <f>IF($H$371="","",IFERROR(IFERROR(LOOKUP(2,1/((SAISIE!$E$210:$E$409=$H$371)*(LEFT(SAISIE!$B$210:$B$409,2)="G ")),SAISIE!$C$210:$C$409),LOOKUP(2,1/((SAISIE!$E$210:$E$409=$H$371)*(ISNUMBER(SEARCH("Couverture",SAISIE!$B$210:$B$409)))),SAISIE!$C$210:$C$409)),"-"))</f>
        <v/>
      </c>
      <c r="C372" s="9">
        <f>IF($H$371="","",IFERROR(IFERROR(LOOKUP(2,1/((SAISIE!$E$210:$E$409=$H$371)*(LEFT(SAISIE!$B$210:$B$409,2)="G ")),SAISIE!$D$210:$D$409),LOOKUP(2,1/((SAISIE!$E$210:$E$409=$H$371)*(ISNUMBER(SEARCH("Couverture",SAISIE!$B$210:$B$409)))),SAISIE!$D$210:$D$409)),"-"))</f>
        <v/>
      </c>
      <c r="D372" s="9">
        <f>IF($H$371="","",IF(OR(C372="",C372="-"),"",IF(C372&gt;0,"(soulevement)",IF(C372&lt;0,"(compression)","-"))))</f>
        <v/>
      </c>
    </row>
    <row r="373">
      <c r="A373" s="8">
        <f>IF(OR($H$371="",NOT(COUNTIFS(SAISIE!$B$210:$B$409,"*Vent G/D*",SAISIE!$E$210:$E$409,$H$371)&gt;0)),"","Vent G/D")</f>
        <v/>
      </c>
      <c r="B373" s="9">
        <f>IF(OR($H$371="",NOT(COUNTIFS(SAISIE!$B$210:$B$409,"*Vent G/D*",SAISIE!$E$210:$E$409,$H$371)&gt;0)),"",IFERROR(IF(MINIFS(SAISIE!$D$210:$D$409,SAISIE!$B$210:$B$409,"*Vent G/D*",SAISIE!$E$210:$E$409,$H$371)&gt;=0,MAXIFS(SAISIE!$C$210:$C$409,SAISIE!$B$210:$B$409,"*Vent G/D*",SAISIE!$E$210:$E$409,$H$371),INDEX(SAISIE!$C$210:$C$409,MATCH(MINIFS(SAISIE!$D$210:$D$409,SAISIE!$B$210:$B$409,"*Vent G/D*",SAISIE!$E$210:$E$409,$H$371),SAISIE!$D$210:$D$409,0))),"-"))</f>
        <v/>
      </c>
      <c r="C373" s="9">
        <f>IF(OR($H$371="",NOT(COUNTIFS(SAISIE!$B$210:$B$409,"*Vent G/D*",SAISIE!$E$210:$E$409,$H$371)&gt;0)),"",IFERROR(IF(MINIFS(SAISIE!$D$210:$D$409,SAISIE!$B$210:$B$409,"*Vent G/D*",SAISIE!$E$210:$E$409,$H$371)&gt;=0,0,MINIFS(SAISIE!$D$210:$D$409,SAISIE!$B$210:$B$409,"*Vent G/D*",SAISIE!$E$210:$E$409,$H$371)),"-"))</f>
        <v/>
      </c>
      <c r="D373" s="9">
        <f>IF($H$371="","",IF(OR(C373="",C373="-"),"",IF(C373&gt;0,"(soulevement)",IF(C373&lt;0,"(compression)","-"))))</f>
        <v/>
      </c>
    </row>
    <row r="374">
      <c r="A374" s="8">
        <f>IF(OR($H$371="",NOT(MAXIFS(SAISIE!$D$210:$D$409,SAISIE!$B$210:$B$409,"*Vent G/D*",SAISIE!$E$210:$E$409,$H$371)&gt;0)),"","Vent G/D")</f>
        <v/>
      </c>
      <c r="B374" s="9">
        <f>IF(OR($H$371="",NOT(MAXIFS(SAISIE!$D$210:$D$409,SAISIE!$B$210:$B$409,"*Vent G/D*",SAISIE!$E$210:$E$409,$H$371)&gt;0)),"",IFERROR(INDEX(SAISIE!$C$210:$C$409,MATCH(MAXIFS(SAISIE!$D$210:$D$409,SAISIE!$B$210:$B$409,"*Vent G/D*",SAISIE!$E$210:$E$409,$H$371),SAISIE!$D$210:$D$409,0)),"-"))</f>
        <v/>
      </c>
      <c r="C374" s="9">
        <f>IF(OR($H$371="",NOT(MAXIFS(SAISIE!$D$210:$D$409,SAISIE!$B$210:$B$409,"*Vent G/D*",SAISIE!$E$210:$E$409,$H$371)&gt;0)),"",IFERROR(MAXIFS(SAISIE!$D$210:$D$409,SAISIE!$B$210:$B$409,"*Vent G/D*",SAISIE!$E$210:$E$409,$H$371),"-"))</f>
        <v/>
      </c>
      <c r="D374" s="9">
        <f>IF($H$371="","",IF(OR(C374="",C374="-"),"",IF(C374&gt;0,"(soulevement)",IF(C374&lt;0,"(compression)","-"))))</f>
        <v/>
      </c>
    </row>
    <row r="375">
      <c r="A375" s="8">
        <f>IF(OR($H$371="",NOT(COUNTIFS(SAISIE!$B$210:$B$409,"*Vent D/G*",SAISIE!$E$210:$E$409,$H$371)&gt;0)),"","Vent D/G")</f>
        <v/>
      </c>
      <c r="B375" s="9">
        <f>IF(OR($H$371="",NOT(COUNTIFS(SAISIE!$B$210:$B$409,"*Vent D/G*",SAISIE!$E$210:$E$409,$H$371)&gt;0)),"",IFERROR(IF(MINIFS(SAISIE!$D$210:$D$409,SAISIE!$B$210:$B$409,"*Vent D/G*",SAISIE!$E$210:$E$409,$H$371)&gt;=0,MAXIFS(SAISIE!$C$210:$C$409,SAISIE!$B$210:$B$409,"*Vent D/G*",SAISIE!$E$210:$E$409,$H$371),INDEX(SAISIE!$C$210:$C$409,MATCH(MINIFS(SAISIE!$D$210:$D$409,SAISIE!$B$210:$B$409,"*Vent D/G*",SAISIE!$E$210:$E$409,$H$371),SAISIE!$D$210:$D$409,0))),"-"))</f>
        <v/>
      </c>
      <c r="C375" s="9">
        <f>IF(OR($H$371="",NOT(COUNTIFS(SAISIE!$B$210:$B$409,"*Vent D/G*",SAISIE!$E$210:$E$409,$H$371)&gt;0)),"",IFERROR(IF(MINIFS(SAISIE!$D$210:$D$409,SAISIE!$B$210:$B$409,"*Vent D/G*",SAISIE!$E$210:$E$409,$H$371)&gt;=0,0,MINIFS(SAISIE!$D$210:$D$409,SAISIE!$B$210:$B$409,"*Vent D/G*",SAISIE!$E$210:$E$409,$H$371)),"-"))</f>
        <v/>
      </c>
      <c r="D375" s="9">
        <f>IF($H$371="","",IF(OR(C375="",C375="-"),"",IF(C375&gt;0,"(soulevement)",IF(C375&lt;0,"(compression)","-"))))</f>
        <v/>
      </c>
    </row>
    <row r="376">
      <c r="A376" s="8">
        <f>IF(OR($H$371="",NOT(MAXIFS(SAISIE!$D$210:$D$409,SAISIE!$B$210:$B$409,"*Vent D/G*",SAISIE!$E$210:$E$409,$H$371)&gt;0)),"","Vent D/G")</f>
        <v/>
      </c>
      <c r="B376" s="9">
        <f>IF(OR($H$371="",NOT(MAXIFS(SAISIE!$D$210:$D$409,SAISIE!$B$210:$B$409,"*Vent D/G*",SAISIE!$E$210:$E$409,$H$371)&gt;0)),"",IFERROR(INDEX(SAISIE!$C$210:$C$409,MATCH(MAXIFS(SAISIE!$D$210:$D$409,SAISIE!$B$210:$B$409,"*Vent D/G*",SAISIE!$E$210:$E$409,$H$371),SAISIE!$D$210:$D$409,0)),"-"))</f>
        <v/>
      </c>
      <c r="C376" s="9">
        <f>IF(OR($H$371="",NOT(MAXIFS(SAISIE!$D$210:$D$409,SAISIE!$B$210:$B$409,"*Vent D/G*",SAISIE!$E$210:$E$409,$H$371)&gt;0)),"",IFERROR(MAXIFS(SAISIE!$D$210:$D$409,SAISIE!$B$210:$B$409,"*Vent D/G*",SAISIE!$E$210:$E$409,$H$371),"-"))</f>
        <v/>
      </c>
      <c r="D376" s="9">
        <f>IF($H$371="","",IF(OR(C376="",C376="-"),"",IF(C376&gt;0,"(soulevement)",IF(C376&lt;0,"(compression)","-"))))</f>
        <v/>
      </c>
    </row>
    <row r="377">
      <c r="A377" s="8">
        <f>IF(OR($H$371="",NOT(COUNTIFS(SAISIE!$B$210:$B$409,"*Vent Av./Arr.*",SAISIE!$E$210:$E$409,$H$371)&gt;0)),"","Vent Av./Arr.")</f>
        <v/>
      </c>
      <c r="B377" s="9">
        <f>IF(OR($H$371="",NOT(COUNTIFS(SAISIE!$B$210:$B$409,"*Vent Av./Arr.*",SAISIE!$E$210:$E$409,$H$371)&gt;0)),"",IFERROR(IF(MINIFS(SAISIE!$D$210:$D$409,SAISIE!$B$210:$B$409,"*Vent Av./Arr.*",SAISIE!$E$210:$E$409,$H$371)&gt;=0,MAXIFS(SAISIE!$C$210:$C$409,SAISIE!$B$210:$B$409,"*Vent Av./Arr.*",SAISIE!$E$210:$E$409,$H$371),INDEX(SAISIE!$C$210:$C$409,MATCH(MINIFS(SAISIE!$D$210:$D$409,SAISIE!$B$210:$B$409,"*Vent Av./Arr.*",SAISIE!$E$210:$E$409,$H$371),SAISIE!$D$210:$D$409,0))),"-"))</f>
        <v/>
      </c>
      <c r="C377" s="9">
        <f>IF(OR($H$371="",NOT(COUNTIFS(SAISIE!$B$210:$B$409,"*Vent Av./Arr.*",SAISIE!$E$210:$E$409,$H$371)&gt;0)),"",IFERROR(IF(MINIFS(SAISIE!$D$210:$D$409,SAISIE!$B$210:$B$409,"*Vent Av./Arr.*",SAISIE!$E$210:$E$409,$H$371)&gt;=0,0,MINIFS(SAISIE!$D$210:$D$409,SAISIE!$B$210:$B$409,"*Vent Av./Arr.*",SAISIE!$E$210:$E$409,$H$371)),"-"))</f>
        <v/>
      </c>
      <c r="D377" s="9">
        <f>IF($H$371="","",IF(OR(C377="",C377="-"),"",IF(C377&gt;0,"(soulevement)",IF(C377&lt;0,"(compression)","-"))))</f>
        <v/>
      </c>
    </row>
    <row r="378">
      <c r="A378" s="8">
        <f>IF(OR($H$371="",NOT(MAXIFS(SAISIE!$D$210:$D$409,SAISIE!$B$210:$B$409,"*Vent Av./Arr.*",SAISIE!$E$210:$E$409,$H$371)&gt;0)),"","Vent Av./Arr.")</f>
        <v/>
      </c>
      <c r="B378" s="9">
        <f>IF(OR($H$371="",NOT(MAXIFS(SAISIE!$D$210:$D$409,SAISIE!$B$210:$B$409,"*Vent Av./Arr.*",SAISIE!$E$210:$E$409,$H$371)&gt;0)),"",IFERROR(INDEX(SAISIE!$C$210:$C$409,MATCH(MAXIFS(SAISIE!$D$210:$D$409,SAISIE!$B$210:$B$409,"*Vent Av./Arr.*",SAISIE!$E$210:$E$409,$H$371),SAISIE!$D$210:$D$409,0)),"-"))</f>
        <v/>
      </c>
      <c r="C378" s="9">
        <f>IF(OR($H$371="",NOT(MAXIFS(SAISIE!$D$210:$D$409,SAISIE!$B$210:$B$409,"*Vent Av./Arr.*",SAISIE!$E$210:$E$409,$H$371)&gt;0)),"",IFERROR(MAXIFS(SAISIE!$D$210:$D$409,SAISIE!$B$210:$B$409,"*Vent Av./Arr.*",SAISIE!$E$210:$E$409,$H$371),"-"))</f>
        <v/>
      </c>
      <c r="D378" s="9">
        <f>IF($H$371="","",IF(OR(C378="",C378="-"),"",IF(C378&gt;0,"(soulevement)",IF(C378&lt;0,"(compression)","-"))))</f>
        <v/>
      </c>
    </row>
    <row r="379">
      <c r="A379" s="8">
        <f>IF(OR($H$371="",NOT(COUNTIFS(SAISIE!$B$210:$B$409,"*Vent Arr./Av.*",SAISIE!$E$210:$E$409,$H$371)&gt;0)),"","Vent Arr./Av.")</f>
        <v/>
      </c>
      <c r="B379" s="9">
        <f>IF(OR($H$371="",NOT(COUNTIFS(SAISIE!$B$210:$B$409,"*Vent Arr./Av.*",SAISIE!$E$210:$E$409,$H$371)&gt;0)),"",IFERROR(IF(MINIFS(SAISIE!$D$210:$D$409,SAISIE!$B$210:$B$409,"*Vent Arr./Av.*",SAISIE!$E$210:$E$409,$H$371)&gt;=0,MAXIFS(SAISIE!$C$210:$C$409,SAISIE!$B$210:$B$409,"*Vent Arr./Av.*",SAISIE!$E$210:$E$409,$H$371),INDEX(SAISIE!$C$210:$C$409,MATCH(MINIFS(SAISIE!$D$210:$D$409,SAISIE!$B$210:$B$409,"*Vent Arr./Av.*",SAISIE!$E$210:$E$409,$H$371),SAISIE!$D$210:$D$409,0))),"-"))</f>
        <v/>
      </c>
      <c r="C379" s="9">
        <f>IF(OR($H$371="",NOT(COUNTIFS(SAISIE!$B$210:$B$409,"*Vent Arr./Av.*",SAISIE!$E$210:$E$409,$H$371)&gt;0)),"",IFERROR(IF(MINIFS(SAISIE!$D$210:$D$409,SAISIE!$B$210:$B$409,"*Vent Arr./Av.*",SAISIE!$E$210:$E$409,$H$371)&gt;=0,0,MINIFS(SAISIE!$D$210:$D$409,SAISIE!$B$210:$B$409,"*Vent Arr./Av.*",SAISIE!$E$210:$E$409,$H$371)),"-"))</f>
        <v/>
      </c>
      <c r="D379" s="9">
        <f>IF($H$371="","",IF(OR(C379="",C379="-"),"",IF(C379&gt;0,"(soulevement)",IF(C379&lt;0,"(compression)","-"))))</f>
        <v/>
      </c>
    </row>
    <row r="380">
      <c r="A380" s="8">
        <f>IF(OR($H$371="",NOT(MAXIFS(SAISIE!$D$210:$D$409,SAISIE!$B$210:$B$409,"*Vent Arr./Av.*",SAISIE!$E$210:$E$409,$H$371)&gt;0)),"","Vent Arr./Av.")</f>
        <v/>
      </c>
      <c r="B380" s="9">
        <f>IF(OR($H$371="",NOT(MAXIFS(SAISIE!$D$210:$D$409,SAISIE!$B$210:$B$409,"*Vent Arr./Av.*",SAISIE!$E$210:$E$409,$H$371)&gt;0)),"",IFERROR(INDEX(SAISIE!$C$210:$C$409,MATCH(MAXIFS(SAISIE!$D$210:$D$409,SAISIE!$B$210:$B$409,"*Vent Arr./Av.*",SAISIE!$E$210:$E$409,$H$371),SAISIE!$D$210:$D$409,0)),"-"))</f>
        <v/>
      </c>
      <c r="C380" s="9">
        <f>IF(OR($H$371="",NOT(MAXIFS(SAISIE!$D$210:$D$409,SAISIE!$B$210:$B$409,"*Vent Arr./Av.*",SAISIE!$E$210:$E$409,$H$371)&gt;0)),"",IFERROR(MAXIFS(SAISIE!$D$210:$D$409,SAISIE!$B$210:$B$409,"*Vent Arr./Av.*",SAISIE!$E$210:$E$409,$H$371),"-"))</f>
        <v/>
      </c>
      <c r="D380" s="9">
        <f>IF($H$371="","",IF(OR(C380="",C380="-"),"",IF(C380&gt;0,"(soulevement)",IF(C380&lt;0,"(compression)","-"))))</f>
        <v/>
      </c>
    </row>
    <row r="381">
      <c r="A381" s="8">
        <f>IF(OR($H$371="",NOT(TRUE)),"","Neige normale")</f>
        <v/>
      </c>
      <c r="B381" s="9">
        <f>IF($H$371="","",IFERROR(INDEX(SAISIE!$C$210:$C$409,MATCH(MINIFS(SAISIE!$D$210:$D$409,SAISIE!$B$210:$B$409,"*Neige*",SAISIE!$B$210:$B$409,"&lt;&gt;*accidentel*",SAISIE!$E$210:$E$409,$H$371),SAISIE!$D$210:$D$409,0)),"-"))</f>
        <v/>
      </c>
      <c r="C381" s="9">
        <f>IF($H$371="","",IFERROR(INDEX(SAISIE!$D$210:$D$409,MATCH(MINIFS(SAISIE!$D$210:$D$409,SAISIE!$B$210:$B$409,"*Neige*",SAISIE!$B$210:$B$409,"&lt;&gt;*accidentel*",SAISIE!$E$210:$E$409,$H$371),SAISIE!$D$210:$D$409,0)),"-"))</f>
        <v/>
      </c>
      <c r="D381" s="9">
        <f>IF($H$371="","",IF(OR(C381="",C381="-"),"",IF(C381&gt;0,"(soulevement)",IF(C381&lt;0,"(compression)","-"))))</f>
        <v/>
      </c>
    </row>
    <row r="382">
      <c r="A382" s="8">
        <f>IF(OR($H$371="",NOT(TRUE)),"","Neige accidentelle")</f>
        <v/>
      </c>
      <c r="B382" s="9">
        <f>IF($H$371="","",IFERROR(LOOKUP(2,1/((SAISIE!$E$210:$E$409=$H$371)*(ISNUMBER(SEARCH("accidentel",SAISIE!$B$210:$B$409)))),SAISIE!$C$210:$C$409),"-"))</f>
        <v/>
      </c>
      <c r="C382" s="9">
        <f>IF($H$371="","",IFERROR(LOOKUP(2,1/((SAISIE!$E$210:$E$409=$H$371)*(ISNUMBER(SEARCH("accidentel",SAISIE!$B$210:$B$409)))),SAISIE!$D$210:$D$409),"-"))</f>
        <v/>
      </c>
      <c r="D382" s="9">
        <f>IF($H$371="","",IF(OR(C382="",C382="-"),"",IF(C382&gt;0,"(soulevement)",IF(C382&lt;0,"(compression)","-"))))</f>
        <v/>
      </c>
    </row>
    <row r="383">
      <c r="A383" s="6">
        <f>IF($H$383="","","Noeud "&amp;$H$383)</f>
        <v/>
      </c>
      <c r="B383" s="7" t="n"/>
      <c r="C383" s="7" t="n"/>
      <c r="D383" s="7" t="n"/>
      <c r="H383">
        <f>IFERROR(INDEX(SAISIE!$E$210:$E$409,AGGREGATE(15,6,ROW(SAISIE!$E$210:$E$409)-ROW(SAISIE!$E$210)+1/(SAISIE!$E$210:$E$409&lt;&gt;"")/(COUNTIF($H$4:H382,SAISIE!$E$210:$E$409)=0),1)),"")</f>
        <v/>
      </c>
    </row>
    <row r="384">
      <c r="A384" s="8">
        <f>IF(OR($H$383="",NOT(TRUE)),"","Couverture")</f>
        <v/>
      </c>
      <c r="B384" s="9">
        <f>IF($H$383="","",IFERROR(IFERROR(LOOKUP(2,1/((SAISIE!$E$210:$E$409=$H$383)*(LEFT(SAISIE!$B$210:$B$409,2)="G ")),SAISIE!$C$210:$C$409),LOOKUP(2,1/((SAISIE!$E$210:$E$409=$H$383)*(ISNUMBER(SEARCH("Couverture",SAISIE!$B$210:$B$409)))),SAISIE!$C$210:$C$409)),"-"))</f>
        <v/>
      </c>
      <c r="C384" s="9">
        <f>IF($H$383="","",IFERROR(IFERROR(LOOKUP(2,1/((SAISIE!$E$210:$E$409=$H$383)*(LEFT(SAISIE!$B$210:$B$409,2)="G ")),SAISIE!$D$210:$D$409),LOOKUP(2,1/((SAISIE!$E$210:$E$409=$H$383)*(ISNUMBER(SEARCH("Couverture",SAISIE!$B$210:$B$409)))),SAISIE!$D$210:$D$409)),"-"))</f>
        <v/>
      </c>
      <c r="D384" s="9">
        <f>IF($H$383="","",IF(OR(C384="",C384="-"),"",IF(C384&gt;0,"(soulevement)",IF(C384&lt;0,"(compression)","-"))))</f>
        <v/>
      </c>
    </row>
    <row r="385">
      <c r="A385" s="8">
        <f>IF(OR($H$383="",NOT(COUNTIFS(SAISIE!$B$210:$B$409,"*Vent G/D*",SAISIE!$E$210:$E$409,$H$383)&gt;0)),"","Vent G/D")</f>
        <v/>
      </c>
      <c r="B385" s="9">
        <f>IF(OR($H$383="",NOT(COUNTIFS(SAISIE!$B$210:$B$409,"*Vent G/D*",SAISIE!$E$210:$E$409,$H$383)&gt;0)),"",IFERROR(IF(MINIFS(SAISIE!$D$210:$D$409,SAISIE!$B$210:$B$409,"*Vent G/D*",SAISIE!$E$210:$E$409,$H$383)&gt;=0,MAXIFS(SAISIE!$C$210:$C$409,SAISIE!$B$210:$B$409,"*Vent G/D*",SAISIE!$E$210:$E$409,$H$383),INDEX(SAISIE!$C$210:$C$409,MATCH(MINIFS(SAISIE!$D$210:$D$409,SAISIE!$B$210:$B$409,"*Vent G/D*",SAISIE!$E$210:$E$409,$H$383),SAISIE!$D$210:$D$409,0))),"-"))</f>
        <v/>
      </c>
      <c r="C385" s="9">
        <f>IF(OR($H$383="",NOT(COUNTIFS(SAISIE!$B$210:$B$409,"*Vent G/D*",SAISIE!$E$210:$E$409,$H$383)&gt;0)),"",IFERROR(IF(MINIFS(SAISIE!$D$210:$D$409,SAISIE!$B$210:$B$409,"*Vent G/D*",SAISIE!$E$210:$E$409,$H$383)&gt;=0,0,MINIFS(SAISIE!$D$210:$D$409,SAISIE!$B$210:$B$409,"*Vent G/D*",SAISIE!$E$210:$E$409,$H$383)),"-"))</f>
        <v/>
      </c>
      <c r="D385" s="9">
        <f>IF($H$383="","",IF(OR(C385="",C385="-"),"",IF(C385&gt;0,"(soulevement)",IF(C385&lt;0,"(compression)","-"))))</f>
        <v/>
      </c>
    </row>
    <row r="386">
      <c r="A386" s="8">
        <f>IF(OR($H$383="",NOT(MAXIFS(SAISIE!$D$210:$D$409,SAISIE!$B$210:$B$409,"*Vent G/D*",SAISIE!$E$210:$E$409,$H$383)&gt;0)),"","Vent G/D")</f>
        <v/>
      </c>
      <c r="B386" s="9">
        <f>IF(OR($H$383="",NOT(MAXIFS(SAISIE!$D$210:$D$409,SAISIE!$B$210:$B$409,"*Vent G/D*",SAISIE!$E$210:$E$409,$H$383)&gt;0)),"",IFERROR(INDEX(SAISIE!$C$210:$C$409,MATCH(MAXIFS(SAISIE!$D$210:$D$409,SAISIE!$B$210:$B$409,"*Vent G/D*",SAISIE!$E$210:$E$409,$H$383),SAISIE!$D$210:$D$409,0)),"-"))</f>
        <v/>
      </c>
      <c r="C386" s="9">
        <f>IF(OR($H$383="",NOT(MAXIFS(SAISIE!$D$210:$D$409,SAISIE!$B$210:$B$409,"*Vent G/D*",SAISIE!$E$210:$E$409,$H$383)&gt;0)),"",IFERROR(MAXIFS(SAISIE!$D$210:$D$409,SAISIE!$B$210:$B$409,"*Vent G/D*",SAISIE!$E$210:$E$409,$H$383),"-"))</f>
        <v/>
      </c>
      <c r="D386" s="9">
        <f>IF($H$383="","",IF(OR(C386="",C386="-"),"",IF(C386&gt;0,"(soulevement)",IF(C386&lt;0,"(compression)","-"))))</f>
        <v/>
      </c>
    </row>
    <row r="387">
      <c r="A387" s="8">
        <f>IF(OR($H$383="",NOT(COUNTIFS(SAISIE!$B$210:$B$409,"*Vent D/G*",SAISIE!$E$210:$E$409,$H$383)&gt;0)),"","Vent D/G")</f>
        <v/>
      </c>
      <c r="B387" s="9">
        <f>IF(OR($H$383="",NOT(COUNTIFS(SAISIE!$B$210:$B$409,"*Vent D/G*",SAISIE!$E$210:$E$409,$H$383)&gt;0)),"",IFERROR(IF(MINIFS(SAISIE!$D$210:$D$409,SAISIE!$B$210:$B$409,"*Vent D/G*",SAISIE!$E$210:$E$409,$H$383)&gt;=0,MAXIFS(SAISIE!$C$210:$C$409,SAISIE!$B$210:$B$409,"*Vent D/G*",SAISIE!$E$210:$E$409,$H$383),INDEX(SAISIE!$C$210:$C$409,MATCH(MINIFS(SAISIE!$D$210:$D$409,SAISIE!$B$210:$B$409,"*Vent D/G*",SAISIE!$E$210:$E$409,$H$383),SAISIE!$D$210:$D$409,0))),"-"))</f>
        <v/>
      </c>
      <c r="C387" s="9">
        <f>IF(OR($H$383="",NOT(COUNTIFS(SAISIE!$B$210:$B$409,"*Vent D/G*",SAISIE!$E$210:$E$409,$H$383)&gt;0)),"",IFERROR(IF(MINIFS(SAISIE!$D$210:$D$409,SAISIE!$B$210:$B$409,"*Vent D/G*",SAISIE!$E$210:$E$409,$H$383)&gt;=0,0,MINIFS(SAISIE!$D$210:$D$409,SAISIE!$B$210:$B$409,"*Vent D/G*",SAISIE!$E$210:$E$409,$H$383)),"-"))</f>
        <v/>
      </c>
      <c r="D387" s="9">
        <f>IF($H$383="","",IF(OR(C387="",C387="-"),"",IF(C387&gt;0,"(soulevement)",IF(C387&lt;0,"(compression)","-"))))</f>
        <v/>
      </c>
    </row>
    <row r="388">
      <c r="A388" s="8">
        <f>IF(OR($H$383="",NOT(MAXIFS(SAISIE!$D$210:$D$409,SAISIE!$B$210:$B$409,"*Vent D/G*",SAISIE!$E$210:$E$409,$H$383)&gt;0)),"","Vent D/G")</f>
        <v/>
      </c>
      <c r="B388" s="9">
        <f>IF(OR($H$383="",NOT(MAXIFS(SAISIE!$D$210:$D$409,SAISIE!$B$210:$B$409,"*Vent D/G*",SAISIE!$E$210:$E$409,$H$383)&gt;0)),"",IFERROR(INDEX(SAISIE!$C$210:$C$409,MATCH(MAXIFS(SAISIE!$D$210:$D$409,SAISIE!$B$210:$B$409,"*Vent D/G*",SAISIE!$E$210:$E$409,$H$383),SAISIE!$D$210:$D$409,0)),"-"))</f>
        <v/>
      </c>
      <c r="C388" s="9">
        <f>IF(OR($H$383="",NOT(MAXIFS(SAISIE!$D$210:$D$409,SAISIE!$B$210:$B$409,"*Vent D/G*",SAISIE!$E$210:$E$409,$H$383)&gt;0)),"",IFERROR(MAXIFS(SAISIE!$D$210:$D$409,SAISIE!$B$210:$B$409,"*Vent D/G*",SAISIE!$E$210:$E$409,$H$383),"-"))</f>
        <v/>
      </c>
      <c r="D388" s="9">
        <f>IF($H$383="","",IF(OR(C388="",C388="-"),"",IF(C388&gt;0,"(soulevement)",IF(C388&lt;0,"(compression)","-"))))</f>
        <v/>
      </c>
    </row>
    <row r="389">
      <c r="A389" s="8">
        <f>IF(OR($H$383="",NOT(COUNTIFS(SAISIE!$B$210:$B$409,"*Vent Av./Arr.*",SAISIE!$E$210:$E$409,$H$383)&gt;0)),"","Vent Av./Arr.")</f>
        <v/>
      </c>
      <c r="B389" s="9">
        <f>IF(OR($H$383="",NOT(COUNTIFS(SAISIE!$B$210:$B$409,"*Vent Av./Arr.*",SAISIE!$E$210:$E$409,$H$383)&gt;0)),"",IFERROR(IF(MINIFS(SAISIE!$D$210:$D$409,SAISIE!$B$210:$B$409,"*Vent Av./Arr.*",SAISIE!$E$210:$E$409,$H$383)&gt;=0,MAXIFS(SAISIE!$C$210:$C$409,SAISIE!$B$210:$B$409,"*Vent Av./Arr.*",SAISIE!$E$210:$E$409,$H$383),INDEX(SAISIE!$C$210:$C$409,MATCH(MINIFS(SAISIE!$D$210:$D$409,SAISIE!$B$210:$B$409,"*Vent Av./Arr.*",SAISIE!$E$210:$E$409,$H$383),SAISIE!$D$210:$D$409,0))),"-"))</f>
        <v/>
      </c>
      <c r="C389" s="9">
        <f>IF(OR($H$383="",NOT(COUNTIFS(SAISIE!$B$210:$B$409,"*Vent Av./Arr.*",SAISIE!$E$210:$E$409,$H$383)&gt;0)),"",IFERROR(IF(MINIFS(SAISIE!$D$210:$D$409,SAISIE!$B$210:$B$409,"*Vent Av./Arr.*",SAISIE!$E$210:$E$409,$H$383)&gt;=0,0,MINIFS(SAISIE!$D$210:$D$409,SAISIE!$B$210:$B$409,"*Vent Av./Arr.*",SAISIE!$E$210:$E$409,$H$383)),"-"))</f>
        <v/>
      </c>
      <c r="D389" s="9">
        <f>IF($H$383="","",IF(OR(C389="",C389="-"),"",IF(C389&gt;0,"(soulevement)",IF(C389&lt;0,"(compression)","-"))))</f>
        <v/>
      </c>
    </row>
    <row r="390">
      <c r="A390" s="8">
        <f>IF(OR($H$383="",NOT(MAXIFS(SAISIE!$D$210:$D$409,SAISIE!$B$210:$B$409,"*Vent Av./Arr.*",SAISIE!$E$210:$E$409,$H$383)&gt;0)),"","Vent Av./Arr.")</f>
        <v/>
      </c>
      <c r="B390" s="9">
        <f>IF(OR($H$383="",NOT(MAXIFS(SAISIE!$D$210:$D$409,SAISIE!$B$210:$B$409,"*Vent Av./Arr.*",SAISIE!$E$210:$E$409,$H$383)&gt;0)),"",IFERROR(INDEX(SAISIE!$C$210:$C$409,MATCH(MAXIFS(SAISIE!$D$210:$D$409,SAISIE!$B$210:$B$409,"*Vent Av./Arr.*",SAISIE!$E$210:$E$409,$H$383),SAISIE!$D$210:$D$409,0)),"-"))</f>
        <v/>
      </c>
      <c r="C390" s="9">
        <f>IF(OR($H$383="",NOT(MAXIFS(SAISIE!$D$210:$D$409,SAISIE!$B$210:$B$409,"*Vent Av./Arr.*",SAISIE!$E$210:$E$409,$H$383)&gt;0)),"",IFERROR(MAXIFS(SAISIE!$D$210:$D$409,SAISIE!$B$210:$B$409,"*Vent Av./Arr.*",SAISIE!$E$210:$E$409,$H$383),"-"))</f>
        <v/>
      </c>
      <c r="D390" s="9">
        <f>IF($H$383="","",IF(OR(C390="",C390="-"),"",IF(C390&gt;0,"(soulevement)",IF(C390&lt;0,"(compression)","-"))))</f>
        <v/>
      </c>
    </row>
    <row r="391">
      <c r="A391" s="8">
        <f>IF(OR($H$383="",NOT(COUNTIFS(SAISIE!$B$210:$B$409,"*Vent Arr./Av.*",SAISIE!$E$210:$E$409,$H$383)&gt;0)),"","Vent Arr./Av.")</f>
        <v/>
      </c>
      <c r="B391" s="9">
        <f>IF(OR($H$383="",NOT(COUNTIFS(SAISIE!$B$210:$B$409,"*Vent Arr./Av.*",SAISIE!$E$210:$E$409,$H$383)&gt;0)),"",IFERROR(IF(MINIFS(SAISIE!$D$210:$D$409,SAISIE!$B$210:$B$409,"*Vent Arr./Av.*",SAISIE!$E$210:$E$409,$H$383)&gt;=0,MAXIFS(SAISIE!$C$210:$C$409,SAISIE!$B$210:$B$409,"*Vent Arr./Av.*",SAISIE!$E$210:$E$409,$H$383),INDEX(SAISIE!$C$210:$C$409,MATCH(MINIFS(SAISIE!$D$210:$D$409,SAISIE!$B$210:$B$409,"*Vent Arr./Av.*",SAISIE!$E$210:$E$409,$H$383),SAISIE!$D$210:$D$409,0))),"-"))</f>
        <v/>
      </c>
      <c r="C391" s="9">
        <f>IF(OR($H$383="",NOT(COUNTIFS(SAISIE!$B$210:$B$409,"*Vent Arr./Av.*",SAISIE!$E$210:$E$409,$H$383)&gt;0)),"",IFERROR(IF(MINIFS(SAISIE!$D$210:$D$409,SAISIE!$B$210:$B$409,"*Vent Arr./Av.*",SAISIE!$E$210:$E$409,$H$383)&gt;=0,0,MINIFS(SAISIE!$D$210:$D$409,SAISIE!$B$210:$B$409,"*Vent Arr./Av.*",SAISIE!$E$210:$E$409,$H$383)),"-"))</f>
        <v/>
      </c>
      <c r="D391" s="9">
        <f>IF($H$383="","",IF(OR(C391="",C391="-"),"",IF(C391&gt;0,"(soulevement)",IF(C391&lt;0,"(compression)","-"))))</f>
        <v/>
      </c>
    </row>
    <row r="392">
      <c r="A392" s="8">
        <f>IF(OR($H$383="",NOT(MAXIFS(SAISIE!$D$210:$D$409,SAISIE!$B$210:$B$409,"*Vent Arr./Av.*",SAISIE!$E$210:$E$409,$H$383)&gt;0)),"","Vent Arr./Av.")</f>
        <v/>
      </c>
      <c r="B392" s="9">
        <f>IF(OR($H$383="",NOT(MAXIFS(SAISIE!$D$210:$D$409,SAISIE!$B$210:$B$409,"*Vent Arr./Av.*",SAISIE!$E$210:$E$409,$H$383)&gt;0)),"",IFERROR(INDEX(SAISIE!$C$210:$C$409,MATCH(MAXIFS(SAISIE!$D$210:$D$409,SAISIE!$B$210:$B$409,"*Vent Arr./Av.*",SAISIE!$E$210:$E$409,$H$383),SAISIE!$D$210:$D$409,0)),"-"))</f>
        <v/>
      </c>
      <c r="C392" s="9">
        <f>IF(OR($H$383="",NOT(MAXIFS(SAISIE!$D$210:$D$409,SAISIE!$B$210:$B$409,"*Vent Arr./Av.*",SAISIE!$E$210:$E$409,$H$383)&gt;0)),"",IFERROR(MAXIFS(SAISIE!$D$210:$D$409,SAISIE!$B$210:$B$409,"*Vent Arr./Av.*",SAISIE!$E$210:$E$409,$H$383),"-"))</f>
        <v/>
      </c>
      <c r="D392" s="9">
        <f>IF($H$383="","",IF(OR(C392="",C392="-"),"",IF(C392&gt;0,"(soulevement)",IF(C392&lt;0,"(compression)","-"))))</f>
        <v/>
      </c>
    </row>
    <row r="393">
      <c r="A393" s="8">
        <f>IF(OR($H$383="",NOT(TRUE)),"","Neige normale")</f>
        <v/>
      </c>
      <c r="B393" s="9">
        <f>IF($H$383="","",IFERROR(INDEX(SAISIE!$C$210:$C$409,MATCH(MINIFS(SAISIE!$D$210:$D$409,SAISIE!$B$210:$B$409,"*Neige*",SAISIE!$B$210:$B$409,"&lt;&gt;*accidentel*",SAISIE!$E$210:$E$409,$H$383),SAISIE!$D$210:$D$409,0)),"-"))</f>
        <v/>
      </c>
      <c r="C393" s="9">
        <f>IF($H$383="","",IFERROR(INDEX(SAISIE!$D$210:$D$409,MATCH(MINIFS(SAISIE!$D$210:$D$409,SAISIE!$B$210:$B$409,"*Neige*",SAISIE!$B$210:$B$409,"&lt;&gt;*accidentel*",SAISIE!$E$210:$E$409,$H$383),SAISIE!$D$210:$D$409,0)),"-"))</f>
        <v/>
      </c>
      <c r="D393" s="9">
        <f>IF($H$383="","",IF(OR(C393="",C393="-"),"",IF(C393&gt;0,"(soulevement)",IF(C393&lt;0,"(compression)","-"))))</f>
        <v/>
      </c>
    </row>
    <row r="394">
      <c r="A394" s="8">
        <f>IF(OR($H$383="",NOT(TRUE)),"","Neige accidentelle")</f>
        <v/>
      </c>
      <c r="B394" s="9">
        <f>IF($H$383="","",IFERROR(LOOKUP(2,1/((SAISIE!$E$210:$E$409=$H$383)*(ISNUMBER(SEARCH("accidentel",SAISIE!$B$210:$B$409)))),SAISIE!$C$210:$C$409),"-"))</f>
        <v/>
      </c>
      <c r="C394" s="9">
        <f>IF($H$383="","",IFERROR(LOOKUP(2,1/((SAISIE!$E$210:$E$409=$H$383)*(ISNUMBER(SEARCH("accidentel",SAISIE!$B$210:$B$409)))),SAISIE!$D$210:$D$409),"-"))</f>
        <v/>
      </c>
      <c r="D394" s="9">
        <f>IF($H$383="","",IF(OR(C394="",C394="-"),"",IF(C394&gt;0,"(soulevement)",IF(C394&lt;0,"(compression)","-"))))</f>
        <v/>
      </c>
    </row>
    <row r="395">
      <c r="A395" s="6">
        <f>IF($H$395="","","Noeud "&amp;$H$395)</f>
        <v/>
      </c>
      <c r="B395" s="7" t="n"/>
      <c r="C395" s="7" t="n"/>
      <c r="D395" s="7" t="n"/>
      <c r="H395">
        <f>IFERROR(INDEX(SAISIE!$E$210:$E$409,AGGREGATE(15,6,ROW(SAISIE!$E$210:$E$409)-ROW(SAISIE!$E$210)+1/(SAISIE!$E$210:$E$409&lt;&gt;"")/(COUNTIF($H$4:H394,SAISIE!$E$210:$E$409)=0),1)),"")</f>
        <v/>
      </c>
    </row>
    <row r="396">
      <c r="A396" s="8">
        <f>IF(OR($H$395="",NOT(TRUE)),"","Couverture")</f>
        <v/>
      </c>
      <c r="B396" s="9">
        <f>IF($H$395="","",IFERROR(IFERROR(LOOKUP(2,1/((SAISIE!$E$210:$E$409=$H$395)*(LEFT(SAISIE!$B$210:$B$409,2)="G ")),SAISIE!$C$210:$C$409),LOOKUP(2,1/((SAISIE!$E$210:$E$409=$H$395)*(ISNUMBER(SEARCH("Couverture",SAISIE!$B$210:$B$409)))),SAISIE!$C$210:$C$409)),"-"))</f>
        <v/>
      </c>
      <c r="C396" s="9">
        <f>IF($H$395="","",IFERROR(IFERROR(LOOKUP(2,1/((SAISIE!$E$210:$E$409=$H$395)*(LEFT(SAISIE!$B$210:$B$409,2)="G ")),SAISIE!$D$210:$D$409),LOOKUP(2,1/((SAISIE!$E$210:$E$409=$H$395)*(ISNUMBER(SEARCH("Couverture",SAISIE!$B$210:$B$409)))),SAISIE!$D$210:$D$409)),"-"))</f>
        <v/>
      </c>
      <c r="D396" s="9">
        <f>IF($H$395="","",IF(OR(C396="",C396="-"),"",IF(C396&gt;0,"(soulevement)",IF(C396&lt;0,"(compression)","-"))))</f>
        <v/>
      </c>
    </row>
    <row r="397">
      <c r="A397" s="8">
        <f>IF(OR($H$395="",NOT(COUNTIFS(SAISIE!$B$210:$B$409,"*Vent G/D*",SAISIE!$E$210:$E$409,$H$395)&gt;0)),"","Vent G/D")</f>
        <v/>
      </c>
      <c r="B397" s="9">
        <f>IF(OR($H$395="",NOT(COUNTIFS(SAISIE!$B$210:$B$409,"*Vent G/D*",SAISIE!$E$210:$E$409,$H$395)&gt;0)),"",IFERROR(IF(MINIFS(SAISIE!$D$210:$D$409,SAISIE!$B$210:$B$409,"*Vent G/D*",SAISIE!$E$210:$E$409,$H$395)&gt;=0,MAXIFS(SAISIE!$C$210:$C$409,SAISIE!$B$210:$B$409,"*Vent G/D*",SAISIE!$E$210:$E$409,$H$395),INDEX(SAISIE!$C$210:$C$409,MATCH(MINIFS(SAISIE!$D$210:$D$409,SAISIE!$B$210:$B$409,"*Vent G/D*",SAISIE!$E$210:$E$409,$H$395),SAISIE!$D$210:$D$409,0))),"-"))</f>
        <v/>
      </c>
      <c r="C397" s="9">
        <f>IF(OR($H$395="",NOT(COUNTIFS(SAISIE!$B$210:$B$409,"*Vent G/D*",SAISIE!$E$210:$E$409,$H$395)&gt;0)),"",IFERROR(IF(MINIFS(SAISIE!$D$210:$D$409,SAISIE!$B$210:$B$409,"*Vent G/D*",SAISIE!$E$210:$E$409,$H$395)&gt;=0,0,MINIFS(SAISIE!$D$210:$D$409,SAISIE!$B$210:$B$409,"*Vent G/D*",SAISIE!$E$210:$E$409,$H$395)),"-"))</f>
        <v/>
      </c>
      <c r="D397" s="9">
        <f>IF($H$395="","",IF(OR(C397="",C397="-"),"",IF(C397&gt;0,"(soulevement)",IF(C397&lt;0,"(compression)","-"))))</f>
        <v/>
      </c>
    </row>
    <row r="398">
      <c r="A398" s="8">
        <f>IF(OR($H$395="",NOT(MAXIFS(SAISIE!$D$210:$D$409,SAISIE!$B$210:$B$409,"*Vent G/D*",SAISIE!$E$210:$E$409,$H$395)&gt;0)),"","Vent G/D")</f>
        <v/>
      </c>
      <c r="B398" s="9">
        <f>IF(OR($H$395="",NOT(MAXIFS(SAISIE!$D$210:$D$409,SAISIE!$B$210:$B$409,"*Vent G/D*",SAISIE!$E$210:$E$409,$H$395)&gt;0)),"",IFERROR(INDEX(SAISIE!$C$210:$C$409,MATCH(MAXIFS(SAISIE!$D$210:$D$409,SAISIE!$B$210:$B$409,"*Vent G/D*",SAISIE!$E$210:$E$409,$H$395),SAISIE!$D$210:$D$409,0)),"-"))</f>
        <v/>
      </c>
      <c r="C398" s="9">
        <f>IF(OR($H$395="",NOT(MAXIFS(SAISIE!$D$210:$D$409,SAISIE!$B$210:$B$409,"*Vent G/D*",SAISIE!$E$210:$E$409,$H$395)&gt;0)),"",IFERROR(MAXIFS(SAISIE!$D$210:$D$409,SAISIE!$B$210:$B$409,"*Vent G/D*",SAISIE!$E$210:$E$409,$H$395),"-"))</f>
        <v/>
      </c>
      <c r="D398" s="9">
        <f>IF($H$395="","",IF(OR(C398="",C398="-"),"",IF(C398&gt;0,"(soulevement)",IF(C398&lt;0,"(compression)","-"))))</f>
        <v/>
      </c>
    </row>
    <row r="399">
      <c r="A399" s="8">
        <f>IF(OR($H$395="",NOT(COUNTIFS(SAISIE!$B$210:$B$409,"*Vent D/G*",SAISIE!$E$210:$E$409,$H$395)&gt;0)),"","Vent D/G")</f>
        <v/>
      </c>
      <c r="B399" s="9">
        <f>IF(OR($H$395="",NOT(COUNTIFS(SAISIE!$B$210:$B$409,"*Vent D/G*",SAISIE!$E$210:$E$409,$H$395)&gt;0)),"",IFERROR(IF(MINIFS(SAISIE!$D$210:$D$409,SAISIE!$B$210:$B$409,"*Vent D/G*",SAISIE!$E$210:$E$409,$H$395)&gt;=0,MAXIFS(SAISIE!$C$210:$C$409,SAISIE!$B$210:$B$409,"*Vent D/G*",SAISIE!$E$210:$E$409,$H$395),INDEX(SAISIE!$C$210:$C$409,MATCH(MINIFS(SAISIE!$D$210:$D$409,SAISIE!$B$210:$B$409,"*Vent D/G*",SAISIE!$E$210:$E$409,$H$395),SAISIE!$D$210:$D$409,0))),"-"))</f>
        <v/>
      </c>
      <c r="C399" s="9">
        <f>IF(OR($H$395="",NOT(COUNTIFS(SAISIE!$B$210:$B$409,"*Vent D/G*",SAISIE!$E$210:$E$409,$H$395)&gt;0)),"",IFERROR(IF(MINIFS(SAISIE!$D$210:$D$409,SAISIE!$B$210:$B$409,"*Vent D/G*",SAISIE!$E$210:$E$409,$H$395)&gt;=0,0,MINIFS(SAISIE!$D$210:$D$409,SAISIE!$B$210:$B$409,"*Vent D/G*",SAISIE!$E$210:$E$409,$H$395)),"-"))</f>
        <v/>
      </c>
      <c r="D399" s="9">
        <f>IF($H$395="","",IF(OR(C399="",C399="-"),"",IF(C399&gt;0,"(soulevement)",IF(C399&lt;0,"(compression)","-"))))</f>
        <v/>
      </c>
    </row>
    <row r="400">
      <c r="A400" s="8">
        <f>IF(OR($H$395="",NOT(MAXIFS(SAISIE!$D$210:$D$409,SAISIE!$B$210:$B$409,"*Vent D/G*",SAISIE!$E$210:$E$409,$H$395)&gt;0)),"","Vent D/G")</f>
        <v/>
      </c>
      <c r="B400" s="9">
        <f>IF(OR($H$395="",NOT(MAXIFS(SAISIE!$D$210:$D$409,SAISIE!$B$210:$B$409,"*Vent D/G*",SAISIE!$E$210:$E$409,$H$395)&gt;0)),"",IFERROR(INDEX(SAISIE!$C$210:$C$409,MATCH(MAXIFS(SAISIE!$D$210:$D$409,SAISIE!$B$210:$B$409,"*Vent D/G*",SAISIE!$E$210:$E$409,$H$395),SAISIE!$D$210:$D$409,0)),"-"))</f>
        <v/>
      </c>
      <c r="C400" s="9">
        <f>IF(OR($H$395="",NOT(MAXIFS(SAISIE!$D$210:$D$409,SAISIE!$B$210:$B$409,"*Vent D/G*",SAISIE!$E$210:$E$409,$H$395)&gt;0)),"",IFERROR(MAXIFS(SAISIE!$D$210:$D$409,SAISIE!$B$210:$B$409,"*Vent D/G*",SAISIE!$E$210:$E$409,$H$395),"-"))</f>
        <v/>
      </c>
      <c r="D400" s="9">
        <f>IF($H$395="","",IF(OR(C400="",C400="-"),"",IF(C400&gt;0,"(soulevement)",IF(C400&lt;0,"(compression)","-"))))</f>
        <v/>
      </c>
    </row>
    <row r="401">
      <c r="A401" s="8">
        <f>IF(OR($H$395="",NOT(COUNTIFS(SAISIE!$B$210:$B$409,"*Vent Av./Arr.*",SAISIE!$E$210:$E$409,$H$395)&gt;0)),"","Vent Av./Arr.")</f>
        <v/>
      </c>
      <c r="B401" s="9">
        <f>IF(OR($H$395="",NOT(COUNTIFS(SAISIE!$B$210:$B$409,"*Vent Av./Arr.*",SAISIE!$E$210:$E$409,$H$395)&gt;0)),"",IFERROR(IF(MINIFS(SAISIE!$D$210:$D$409,SAISIE!$B$210:$B$409,"*Vent Av./Arr.*",SAISIE!$E$210:$E$409,$H$395)&gt;=0,MAXIFS(SAISIE!$C$210:$C$409,SAISIE!$B$210:$B$409,"*Vent Av./Arr.*",SAISIE!$E$210:$E$409,$H$395),INDEX(SAISIE!$C$210:$C$409,MATCH(MINIFS(SAISIE!$D$210:$D$409,SAISIE!$B$210:$B$409,"*Vent Av./Arr.*",SAISIE!$E$210:$E$409,$H$395),SAISIE!$D$210:$D$409,0))),"-"))</f>
        <v/>
      </c>
      <c r="C401" s="9">
        <f>IF(OR($H$395="",NOT(COUNTIFS(SAISIE!$B$210:$B$409,"*Vent Av./Arr.*",SAISIE!$E$210:$E$409,$H$395)&gt;0)),"",IFERROR(IF(MINIFS(SAISIE!$D$210:$D$409,SAISIE!$B$210:$B$409,"*Vent Av./Arr.*",SAISIE!$E$210:$E$409,$H$395)&gt;=0,0,MINIFS(SAISIE!$D$210:$D$409,SAISIE!$B$210:$B$409,"*Vent Av./Arr.*",SAISIE!$E$210:$E$409,$H$395)),"-"))</f>
        <v/>
      </c>
      <c r="D401" s="9">
        <f>IF($H$395="","",IF(OR(C401="",C401="-"),"",IF(C401&gt;0,"(soulevement)",IF(C401&lt;0,"(compression)","-"))))</f>
        <v/>
      </c>
    </row>
    <row r="402">
      <c r="A402" s="8">
        <f>IF(OR($H$395="",NOT(MAXIFS(SAISIE!$D$210:$D$409,SAISIE!$B$210:$B$409,"*Vent Av./Arr.*",SAISIE!$E$210:$E$409,$H$395)&gt;0)),"","Vent Av./Arr.")</f>
        <v/>
      </c>
      <c r="B402" s="9">
        <f>IF(OR($H$395="",NOT(MAXIFS(SAISIE!$D$210:$D$409,SAISIE!$B$210:$B$409,"*Vent Av./Arr.*",SAISIE!$E$210:$E$409,$H$395)&gt;0)),"",IFERROR(INDEX(SAISIE!$C$210:$C$409,MATCH(MAXIFS(SAISIE!$D$210:$D$409,SAISIE!$B$210:$B$409,"*Vent Av./Arr.*",SAISIE!$E$210:$E$409,$H$395),SAISIE!$D$210:$D$409,0)),"-"))</f>
        <v/>
      </c>
      <c r="C402" s="9">
        <f>IF(OR($H$395="",NOT(MAXIFS(SAISIE!$D$210:$D$409,SAISIE!$B$210:$B$409,"*Vent Av./Arr.*",SAISIE!$E$210:$E$409,$H$395)&gt;0)),"",IFERROR(MAXIFS(SAISIE!$D$210:$D$409,SAISIE!$B$210:$B$409,"*Vent Av./Arr.*",SAISIE!$E$210:$E$409,$H$395),"-"))</f>
        <v/>
      </c>
      <c r="D402" s="9">
        <f>IF($H$395="","",IF(OR(C402="",C402="-"),"",IF(C402&gt;0,"(soulevement)",IF(C402&lt;0,"(compression)","-"))))</f>
        <v/>
      </c>
    </row>
    <row r="403">
      <c r="A403" s="8">
        <f>IF(OR($H$395="",NOT(COUNTIFS(SAISIE!$B$210:$B$409,"*Vent Arr./Av.*",SAISIE!$E$210:$E$409,$H$395)&gt;0)),"","Vent Arr./Av.")</f>
        <v/>
      </c>
      <c r="B403" s="9">
        <f>IF(OR($H$395="",NOT(COUNTIFS(SAISIE!$B$210:$B$409,"*Vent Arr./Av.*",SAISIE!$E$210:$E$409,$H$395)&gt;0)),"",IFERROR(IF(MINIFS(SAISIE!$D$210:$D$409,SAISIE!$B$210:$B$409,"*Vent Arr./Av.*",SAISIE!$E$210:$E$409,$H$395)&gt;=0,MAXIFS(SAISIE!$C$210:$C$409,SAISIE!$B$210:$B$409,"*Vent Arr./Av.*",SAISIE!$E$210:$E$409,$H$395),INDEX(SAISIE!$C$210:$C$409,MATCH(MINIFS(SAISIE!$D$210:$D$409,SAISIE!$B$210:$B$409,"*Vent Arr./Av.*",SAISIE!$E$210:$E$409,$H$395),SAISIE!$D$210:$D$409,0))),"-"))</f>
        <v/>
      </c>
      <c r="C403" s="9">
        <f>IF(OR($H$395="",NOT(COUNTIFS(SAISIE!$B$210:$B$409,"*Vent Arr./Av.*",SAISIE!$E$210:$E$409,$H$395)&gt;0)),"",IFERROR(IF(MINIFS(SAISIE!$D$210:$D$409,SAISIE!$B$210:$B$409,"*Vent Arr./Av.*",SAISIE!$E$210:$E$409,$H$395)&gt;=0,0,MINIFS(SAISIE!$D$210:$D$409,SAISIE!$B$210:$B$409,"*Vent Arr./Av.*",SAISIE!$E$210:$E$409,$H$395)),"-"))</f>
        <v/>
      </c>
      <c r="D403" s="9">
        <f>IF($H$395="","",IF(OR(C403="",C403="-"),"",IF(C403&gt;0,"(soulevement)",IF(C403&lt;0,"(compression)","-"))))</f>
        <v/>
      </c>
    </row>
    <row r="404">
      <c r="A404" s="8">
        <f>IF(OR($H$395="",NOT(MAXIFS(SAISIE!$D$210:$D$409,SAISIE!$B$210:$B$409,"*Vent Arr./Av.*",SAISIE!$E$210:$E$409,$H$395)&gt;0)),"","Vent Arr./Av.")</f>
        <v/>
      </c>
      <c r="B404" s="9">
        <f>IF(OR($H$395="",NOT(MAXIFS(SAISIE!$D$210:$D$409,SAISIE!$B$210:$B$409,"*Vent Arr./Av.*",SAISIE!$E$210:$E$409,$H$395)&gt;0)),"",IFERROR(INDEX(SAISIE!$C$210:$C$409,MATCH(MAXIFS(SAISIE!$D$210:$D$409,SAISIE!$B$210:$B$409,"*Vent Arr./Av.*",SAISIE!$E$210:$E$409,$H$395),SAISIE!$D$210:$D$409,0)),"-"))</f>
        <v/>
      </c>
      <c r="C404" s="9">
        <f>IF(OR($H$395="",NOT(MAXIFS(SAISIE!$D$210:$D$409,SAISIE!$B$210:$B$409,"*Vent Arr./Av.*",SAISIE!$E$210:$E$409,$H$395)&gt;0)),"",IFERROR(MAXIFS(SAISIE!$D$210:$D$409,SAISIE!$B$210:$B$409,"*Vent Arr./Av.*",SAISIE!$E$210:$E$409,$H$395),"-"))</f>
        <v/>
      </c>
      <c r="D404" s="9">
        <f>IF($H$395="","",IF(OR(C404="",C404="-"),"",IF(C404&gt;0,"(soulevement)",IF(C404&lt;0,"(compression)","-"))))</f>
        <v/>
      </c>
    </row>
    <row r="405">
      <c r="A405" s="8">
        <f>IF(OR($H$395="",NOT(TRUE)),"","Neige normale")</f>
        <v/>
      </c>
      <c r="B405" s="9">
        <f>IF($H$395="","",IFERROR(INDEX(SAISIE!$C$210:$C$409,MATCH(MINIFS(SAISIE!$D$210:$D$409,SAISIE!$B$210:$B$409,"*Neige*",SAISIE!$B$210:$B$409,"&lt;&gt;*accidentel*",SAISIE!$E$210:$E$409,$H$395),SAISIE!$D$210:$D$409,0)),"-"))</f>
        <v/>
      </c>
      <c r="C405" s="9">
        <f>IF($H$395="","",IFERROR(INDEX(SAISIE!$D$210:$D$409,MATCH(MINIFS(SAISIE!$D$210:$D$409,SAISIE!$B$210:$B$409,"*Neige*",SAISIE!$B$210:$B$409,"&lt;&gt;*accidentel*",SAISIE!$E$210:$E$409,$H$395),SAISIE!$D$210:$D$409,0)),"-"))</f>
        <v/>
      </c>
      <c r="D405" s="9">
        <f>IF($H$395="","",IF(OR(C405="",C405="-"),"",IF(C405&gt;0,"(soulevement)",IF(C405&lt;0,"(compression)","-"))))</f>
        <v/>
      </c>
    </row>
    <row r="406">
      <c r="A406" s="8">
        <f>IF(OR($H$395="",NOT(TRUE)),"","Neige accidentelle")</f>
        <v/>
      </c>
      <c r="B406" s="9">
        <f>IF($H$395="","",IFERROR(LOOKUP(2,1/((SAISIE!$E$210:$E$409=$H$395)*(ISNUMBER(SEARCH("accidentel",SAISIE!$B$210:$B$409)))),SAISIE!$C$210:$C$409),"-"))</f>
        <v/>
      </c>
      <c r="C406" s="9">
        <f>IF($H$395="","",IFERROR(LOOKUP(2,1/((SAISIE!$E$210:$E$409=$H$395)*(ISNUMBER(SEARCH("accidentel",SAISIE!$B$210:$B$409)))),SAISIE!$D$210:$D$409),"-"))</f>
        <v/>
      </c>
      <c r="D406" s="9">
        <f>IF($H$395="","",IF(OR(C406="",C406="-"),"",IF(C406&gt;0,"(soulevement)",IF(C406&lt;0,"(compression)","-"))))</f>
        <v/>
      </c>
    </row>
    <row r="407">
      <c r="A407" s="6">
        <f>IF($H$407="","","Noeud "&amp;$H$407)</f>
        <v/>
      </c>
      <c r="B407" s="7" t="n"/>
      <c r="C407" s="7" t="n"/>
      <c r="D407" s="7" t="n"/>
      <c r="H407">
        <f>IFERROR(INDEX(SAISIE!$E$210:$E$409,AGGREGATE(15,6,ROW(SAISIE!$E$210:$E$409)-ROW(SAISIE!$E$210)+1/(SAISIE!$E$210:$E$409&lt;&gt;"")/(COUNTIF($H$4:H406,SAISIE!$E$210:$E$409)=0),1)),"")</f>
        <v/>
      </c>
    </row>
    <row r="408">
      <c r="A408" s="8">
        <f>IF(OR($H$407="",NOT(TRUE)),"","Couverture")</f>
        <v/>
      </c>
      <c r="B408" s="9">
        <f>IF($H$407="","",IFERROR(IFERROR(LOOKUP(2,1/((SAISIE!$E$210:$E$409=$H$407)*(LEFT(SAISIE!$B$210:$B$409,2)="G ")),SAISIE!$C$210:$C$409),LOOKUP(2,1/((SAISIE!$E$210:$E$409=$H$407)*(ISNUMBER(SEARCH("Couverture",SAISIE!$B$210:$B$409)))),SAISIE!$C$210:$C$409)),"-"))</f>
        <v/>
      </c>
      <c r="C408" s="9">
        <f>IF($H$407="","",IFERROR(IFERROR(LOOKUP(2,1/((SAISIE!$E$210:$E$409=$H$407)*(LEFT(SAISIE!$B$210:$B$409,2)="G ")),SAISIE!$D$210:$D$409),LOOKUP(2,1/((SAISIE!$E$210:$E$409=$H$407)*(ISNUMBER(SEARCH("Couverture",SAISIE!$B$210:$B$409)))),SAISIE!$D$210:$D$409)),"-"))</f>
        <v/>
      </c>
      <c r="D408" s="9">
        <f>IF($H$407="","",IF(OR(C408="",C408="-"),"",IF(C408&gt;0,"(soulevement)",IF(C408&lt;0,"(compression)","-"))))</f>
        <v/>
      </c>
    </row>
    <row r="409">
      <c r="A409" s="8">
        <f>IF(OR($H$407="",NOT(COUNTIFS(SAISIE!$B$210:$B$409,"*Vent G/D*",SAISIE!$E$210:$E$409,$H$407)&gt;0)),"","Vent G/D")</f>
        <v/>
      </c>
      <c r="B409" s="9">
        <f>IF(OR($H$407="",NOT(COUNTIFS(SAISIE!$B$210:$B$409,"*Vent G/D*",SAISIE!$E$210:$E$409,$H$407)&gt;0)),"",IFERROR(IF(MINIFS(SAISIE!$D$210:$D$409,SAISIE!$B$210:$B$409,"*Vent G/D*",SAISIE!$E$210:$E$409,$H$407)&gt;=0,MAXIFS(SAISIE!$C$210:$C$409,SAISIE!$B$210:$B$409,"*Vent G/D*",SAISIE!$E$210:$E$409,$H$407),INDEX(SAISIE!$C$210:$C$409,MATCH(MINIFS(SAISIE!$D$210:$D$409,SAISIE!$B$210:$B$409,"*Vent G/D*",SAISIE!$E$210:$E$409,$H$407),SAISIE!$D$210:$D$409,0))),"-"))</f>
        <v/>
      </c>
      <c r="C409" s="9">
        <f>IF(OR($H$407="",NOT(COUNTIFS(SAISIE!$B$210:$B$409,"*Vent G/D*",SAISIE!$E$210:$E$409,$H$407)&gt;0)),"",IFERROR(IF(MINIFS(SAISIE!$D$210:$D$409,SAISIE!$B$210:$B$409,"*Vent G/D*",SAISIE!$E$210:$E$409,$H$407)&gt;=0,0,MINIFS(SAISIE!$D$210:$D$409,SAISIE!$B$210:$B$409,"*Vent G/D*",SAISIE!$E$210:$E$409,$H$407)),"-"))</f>
        <v/>
      </c>
      <c r="D409" s="9">
        <f>IF($H$407="","",IF(OR(C409="",C409="-"),"",IF(C409&gt;0,"(soulevement)",IF(C409&lt;0,"(compression)","-"))))</f>
        <v/>
      </c>
    </row>
    <row r="410">
      <c r="A410" s="8">
        <f>IF(OR($H$407="",NOT(MAXIFS(SAISIE!$D$210:$D$409,SAISIE!$B$210:$B$409,"*Vent G/D*",SAISIE!$E$210:$E$409,$H$407)&gt;0)),"","Vent G/D")</f>
        <v/>
      </c>
      <c r="B410" s="9">
        <f>IF(OR($H$407="",NOT(MAXIFS(SAISIE!$D$210:$D$409,SAISIE!$B$210:$B$409,"*Vent G/D*",SAISIE!$E$210:$E$409,$H$407)&gt;0)),"",IFERROR(INDEX(SAISIE!$C$210:$C$409,MATCH(MAXIFS(SAISIE!$D$210:$D$409,SAISIE!$B$210:$B$409,"*Vent G/D*",SAISIE!$E$210:$E$409,$H$407),SAISIE!$D$210:$D$409,0)),"-"))</f>
        <v/>
      </c>
      <c r="C410" s="9">
        <f>IF(OR($H$407="",NOT(MAXIFS(SAISIE!$D$210:$D$409,SAISIE!$B$210:$B$409,"*Vent G/D*",SAISIE!$E$210:$E$409,$H$407)&gt;0)),"",IFERROR(MAXIFS(SAISIE!$D$210:$D$409,SAISIE!$B$210:$B$409,"*Vent G/D*",SAISIE!$E$210:$E$409,$H$407),"-"))</f>
        <v/>
      </c>
      <c r="D410" s="9">
        <f>IF($H$407="","",IF(OR(C410="",C410="-"),"",IF(C410&gt;0,"(soulevement)",IF(C410&lt;0,"(compression)","-"))))</f>
        <v/>
      </c>
    </row>
    <row r="411">
      <c r="A411" s="8">
        <f>IF(OR($H$407="",NOT(COUNTIFS(SAISIE!$B$210:$B$409,"*Vent D/G*",SAISIE!$E$210:$E$409,$H$407)&gt;0)),"","Vent D/G")</f>
        <v/>
      </c>
      <c r="B411" s="9">
        <f>IF(OR($H$407="",NOT(COUNTIFS(SAISIE!$B$210:$B$409,"*Vent D/G*",SAISIE!$E$210:$E$409,$H$407)&gt;0)),"",IFERROR(IF(MINIFS(SAISIE!$D$210:$D$409,SAISIE!$B$210:$B$409,"*Vent D/G*",SAISIE!$E$210:$E$409,$H$407)&gt;=0,MAXIFS(SAISIE!$C$210:$C$409,SAISIE!$B$210:$B$409,"*Vent D/G*",SAISIE!$E$210:$E$409,$H$407),INDEX(SAISIE!$C$210:$C$409,MATCH(MINIFS(SAISIE!$D$210:$D$409,SAISIE!$B$210:$B$409,"*Vent D/G*",SAISIE!$E$210:$E$409,$H$407),SAISIE!$D$210:$D$409,0))),"-"))</f>
        <v/>
      </c>
      <c r="C411" s="9">
        <f>IF(OR($H$407="",NOT(COUNTIFS(SAISIE!$B$210:$B$409,"*Vent D/G*",SAISIE!$E$210:$E$409,$H$407)&gt;0)),"",IFERROR(IF(MINIFS(SAISIE!$D$210:$D$409,SAISIE!$B$210:$B$409,"*Vent D/G*",SAISIE!$E$210:$E$409,$H$407)&gt;=0,0,MINIFS(SAISIE!$D$210:$D$409,SAISIE!$B$210:$B$409,"*Vent D/G*",SAISIE!$E$210:$E$409,$H$407)),"-"))</f>
        <v/>
      </c>
      <c r="D411" s="9">
        <f>IF($H$407="","",IF(OR(C411="",C411="-"),"",IF(C411&gt;0,"(soulevement)",IF(C411&lt;0,"(compression)","-"))))</f>
        <v/>
      </c>
    </row>
    <row r="412">
      <c r="A412" s="8">
        <f>IF(OR($H$407="",NOT(MAXIFS(SAISIE!$D$210:$D$409,SAISIE!$B$210:$B$409,"*Vent D/G*",SAISIE!$E$210:$E$409,$H$407)&gt;0)),"","Vent D/G")</f>
        <v/>
      </c>
      <c r="B412" s="9">
        <f>IF(OR($H$407="",NOT(MAXIFS(SAISIE!$D$210:$D$409,SAISIE!$B$210:$B$409,"*Vent D/G*",SAISIE!$E$210:$E$409,$H$407)&gt;0)),"",IFERROR(INDEX(SAISIE!$C$210:$C$409,MATCH(MAXIFS(SAISIE!$D$210:$D$409,SAISIE!$B$210:$B$409,"*Vent D/G*",SAISIE!$E$210:$E$409,$H$407),SAISIE!$D$210:$D$409,0)),"-"))</f>
        <v/>
      </c>
      <c r="C412" s="9">
        <f>IF(OR($H$407="",NOT(MAXIFS(SAISIE!$D$210:$D$409,SAISIE!$B$210:$B$409,"*Vent D/G*",SAISIE!$E$210:$E$409,$H$407)&gt;0)),"",IFERROR(MAXIFS(SAISIE!$D$210:$D$409,SAISIE!$B$210:$B$409,"*Vent D/G*",SAISIE!$E$210:$E$409,$H$407),"-"))</f>
        <v/>
      </c>
      <c r="D412" s="9">
        <f>IF($H$407="","",IF(OR(C412="",C412="-"),"",IF(C412&gt;0,"(soulevement)",IF(C412&lt;0,"(compression)","-"))))</f>
        <v/>
      </c>
    </row>
    <row r="413">
      <c r="A413" s="8">
        <f>IF(OR($H$407="",NOT(COUNTIFS(SAISIE!$B$210:$B$409,"*Vent Av./Arr.*",SAISIE!$E$210:$E$409,$H$407)&gt;0)),"","Vent Av./Arr.")</f>
        <v/>
      </c>
      <c r="B413" s="9">
        <f>IF(OR($H$407="",NOT(COUNTIFS(SAISIE!$B$210:$B$409,"*Vent Av./Arr.*",SAISIE!$E$210:$E$409,$H$407)&gt;0)),"",IFERROR(IF(MINIFS(SAISIE!$D$210:$D$409,SAISIE!$B$210:$B$409,"*Vent Av./Arr.*",SAISIE!$E$210:$E$409,$H$407)&gt;=0,MAXIFS(SAISIE!$C$210:$C$409,SAISIE!$B$210:$B$409,"*Vent Av./Arr.*",SAISIE!$E$210:$E$409,$H$407),INDEX(SAISIE!$C$210:$C$409,MATCH(MINIFS(SAISIE!$D$210:$D$409,SAISIE!$B$210:$B$409,"*Vent Av./Arr.*",SAISIE!$E$210:$E$409,$H$407),SAISIE!$D$210:$D$409,0))),"-"))</f>
        <v/>
      </c>
      <c r="C413" s="9">
        <f>IF(OR($H$407="",NOT(COUNTIFS(SAISIE!$B$210:$B$409,"*Vent Av./Arr.*",SAISIE!$E$210:$E$409,$H$407)&gt;0)),"",IFERROR(IF(MINIFS(SAISIE!$D$210:$D$409,SAISIE!$B$210:$B$409,"*Vent Av./Arr.*",SAISIE!$E$210:$E$409,$H$407)&gt;=0,0,MINIFS(SAISIE!$D$210:$D$409,SAISIE!$B$210:$B$409,"*Vent Av./Arr.*",SAISIE!$E$210:$E$409,$H$407)),"-"))</f>
        <v/>
      </c>
      <c r="D413" s="9">
        <f>IF($H$407="","",IF(OR(C413="",C413="-"),"",IF(C413&gt;0,"(soulevement)",IF(C413&lt;0,"(compression)","-"))))</f>
        <v/>
      </c>
    </row>
    <row r="414">
      <c r="A414" s="8">
        <f>IF(OR($H$407="",NOT(MAXIFS(SAISIE!$D$210:$D$409,SAISIE!$B$210:$B$409,"*Vent Av./Arr.*",SAISIE!$E$210:$E$409,$H$407)&gt;0)),"","Vent Av./Arr.")</f>
        <v/>
      </c>
      <c r="B414" s="9">
        <f>IF(OR($H$407="",NOT(MAXIFS(SAISIE!$D$210:$D$409,SAISIE!$B$210:$B$409,"*Vent Av./Arr.*",SAISIE!$E$210:$E$409,$H$407)&gt;0)),"",IFERROR(INDEX(SAISIE!$C$210:$C$409,MATCH(MAXIFS(SAISIE!$D$210:$D$409,SAISIE!$B$210:$B$409,"*Vent Av./Arr.*",SAISIE!$E$210:$E$409,$H$407),SAISIE!$D$210:$D$409,0)),"-"))</f>
        <v/>
      </c>
      <c r="C414" s="9">
        <f>IF(OR($H$407="",NOT(MAXIFS(SAISIE!$D$210:$D$409,SAISIE!$B$210:$B$409,"*Vent Av./Arr.*",SAISIE!$E$210:$E$409,$H$407)&gt;0)),"",IFERROR(MAXIFS(SAISIE!$D$210:$D$409,SAISIE!$B$210:$B$409,"*Vent Av./Arr.*",SAISIE!$E$210:$E$409,$H$407),"-"))</f>
        <v/>
      </c>
      <c r="D414" s="9">
        <f>IF($H$407="","",IF(OR(C414="",C414="-"),"",IF(C414&gt;0,"(soulevement)",IF(C414&lt;0,"(compression)","-"))))</f>
        <v/>
      </c>
    </row>
    <row r="415">
      <c r="A415" s="8">
        <f>IF(OR($H$407="",NOT(COUNTIFS(SAISIE!$B$210:$B$409,"*Vent Arr./Av.*",SAISIE!$E$210:$E$409,$H$407)&gt;0)),"","Vent Arr./Av.")</f>
        <v/>
      </c>
      <c r="B415" s="9">
        <f>IF(OR($H$407="",NOT(COUNTIFS(SAISIE!$B$210:$B$409,"*Vent Arr./Av.*",SAISIE!$E$210:$E$409,$H$407)&gt;0)),"",IFERROR(IF(MINIFS(SAISIE!$D$210:$D$409,SAISIE!$B$210:$B$409,"*Vent Arr./Av.*",SAISIE!$E$210:$E$409,$H$407)&gt;=0,MAXIFS(SAISIE!$C$210:$C$409,SAISIE!$B$210:$B$409,"*Vent Arr./Av.*",SAISIE!$E$210:$E$409,$H$407),INDEX(SAISIE!$C$210:$C$409,MATCH(MINIFS(SAISIE!$D$210:$D$409,SAISIE!$B$210:$B$409,"*Vent Arr./Av.*",SAISIE!$E$210:$E$409,$H$407),SAISIE!$D$210:$D$409,0))),"-"))</f>
        <v/>
      </c>
      <c r="C415" s="9">
        <f>IF(OR($H$407="",NOT(COUNTIFS(SAISIE!$B$210:$B$409,"*Vent Arr./Av.*",SAISIE!$E$210:$E$409,$H$407)&gt;0)),"",IFERROR(IF(MINIFS(SAISIE!$D$210:$D$409,SAISIE!$B$210:$B$409,"*Vent Arr./Av.*",SAISIE!$E$210:$E$409,$H$407)&gt;=0,0,MINIFS(SAISIE!$D$210:$D$409,SAISIE!$B$210:$B$409,"*Vent Arr./Av.*",SAISIE!$E$210:$E$409,$H$407)),"-"))</f>
        <v/>
      </c>
      <c r="D415" s="9">
        <f>IF($H$407="","",IF(OR(C415="",C415="-"),"",IF(C415&gt;0,"(soulevement)",IF(C415&lt;0,"(compression)","-"))))</f>
        <v/>
      </c>
    </row>
    <row r="416">
      <c r="A416" s="8">
        <f>IF(OR($H$407="",NOT(MAXIFS(SAISIE!$D$210:$D$409,SAISIE!$B$210:$B$409,"*Vent Arr./Av.*",SAISIE!$E$210:$E$409,$H$407)&gt;0)),"","Vent Arr./Av.")</f>
        <v/>
      </c>
      <c r="B416" s="9">
        <f>IF(OR($H$407="",NOT(MAXIFS(SAISIE!$D$210:$D$409,SAISIE!$B$210:$B$409,"*Vent Arr./Av.*",SAISIE!$E$210:$E$409,$H$407)&gt;0)),"",IFERROR(INDEX(SAISIE!$C$210:$C$409,MATCH(MAXIFS(SAISIE!$D$210:$D$409,SAISIE!$B$210:$B$409,"*Vent Arr./Av.*",SAISIE!$E$210:$E$409,$H$407),SAISIE!$D$210:$D$409,0)),"-"))</f>
        <v/>
      </c>
      <c r="C416" s="9">
        <f>IF(OR($H$407="",NOT(MAXIFS(SAISIE!$D$210:$D$409,SAISIE!$B$210:$B$409,"*Vent Arr./Av.*",SAISIE!$E$210:$E$409,$H$407)&gt;0)),"",IFERROR(MAXIFS(SAISIE!$D$210:$D$409,SAISIE!$B$210:$B$409,"*Vent Arr./Av.*",SAISIE!$E$210:$E$409,$H$407),"-"))</f>
        <v/>
      </c>
      <c r="D416" s="9">
        <f>IF($H$407="","",IF(OR(C416="",C416="-"),"",IF(C416&gt;0,"(soulevement)",IF(C416&lt;0,"(compression)","-"))))</f>
        <v/>
      </c>
    </row>
    <row r="417">
      <c r="A417" s="8">
        <f>IF(OR($H$407="",NOT(TRUE)),"","Neige normale")</f>
        <v/>
      </c>
      <c r="B417" s="9">
        <f>IF($H$407="","",IFERROR(INDEX(SAISIE!$C$210:$C$409,MATCH(MINIFS(SAISIE!$D$210:$D$409,SAISIE!$B$210:$B$409,"*Neige*",SAISIE!$B$210:$B$409,"&lt;&gt;*accidentel*",SAISIE!$E$210:$E$409,$H$407),SAISIE!$D$210:$D$409,0)),"-"))</f>
        <v/>
      </c>
      <c r="C417" s="9">
        <f>IF($H$407="","",IFERROR(INDEX(SAISIE!$D$210:$D$409,MATCH(MINIFS(SAISIE!$D$210:$D$409,SAISIE!$B$210:$B$409,"*Neige*",SAISIE!$B$210:$B$409,"&lt;&gt;*accidentel*",SAISIE!$E$210:$E$409,$H$407),SAISIE!$D$210:$D$409,0)),"-"))</f>
        <v/>
      </c>
      <c r="D417" s="9">
        <f>IF($H$407="","",IF(OR(C417="",C417="-"),"",IF(C417&gt;0,"(soulevement)",IF(C417&lt;0,"(compression)","-"))))</f>
        <v/>
      </c>
    </row>
    <row r="418">
      <c r="A418" s="8">
        <f>IF(OR($H$407="",NOT(TRUE)),"","Neige accidentelle")</f>
        <v/>
      </c>
      <c r="B418" s="9">
        <f>IF($H$407="","",IFERROR(LOOKUP(2,1/((SAISIE!$E$210:$E$409=$H$407)*(ISNUMBER(SEARCH("accidentel",SAISIE!$B$210:$B$409)))),SAISIE!$C$210:$C$409),"-"))</f>
        <v/>
      </c>
      <c r="C418" s="9">
        <f>IF($H$407="","",IFERROR(LOOKUP(2,1/((SAISIE!$E$210:$E$409=$H$407)*(ISNUMBER(SEARCH("accidentel",SAISIE!$B$210:$B$409)))),SAISIE!$D$210:$D$409),"-"))</f>
        <v/>
      </c>
      <c r="D418" s="9">
        <f>IF($H$407="","",IF(OR(C418="",C418="-"),"",IF(C418&gt;0,"(soulevement)",IF(C418&lt;0,"(compression)","-"))))</f>
        <v/>
      </c>
    </row>
    <row r="419">
      <c r="A419" s="6">
        <f>IF($H$419="","","Noeud "&amp;$H$419)</f>
        <v/>
      </c>
      <c r="B419" s="7" t="n"/>
      <c r="C419" s="7" t="n"/>
      <c r="D419" s="7" t="n"/>
      <c r="H419">
        <f>IFERROR(INDEX(SAISIE!$E$210:$E$409,AGGREGATE(15,6,ROW(SAISIE!$E$210:$E$409)-ROW(SAISIE!$E$210)+1/(SAISIE!$E$210:$E$409&lt;&gt;"")/(COUNTIF($H$4:H418,SAISIE!$E$210:$E$409)=0),1)),"")</f>
        <v/>
      </c>
    </row>
    <row r="420">
      <c r="A420" s="8">
        <f>IF(OR($H$419="",NOT(TRUE)),"","Couverture")</f>
        <v/>
      </c>
      <c r="B420" s="9">
        <f>IF($H$419="","",IFERROR(IFERROR(LOOKUP(2,1/((SAISIE!$E$210:$E$409=$H$419)*(LEFT(SAISIE!$B$210:$B$409,2)="G ")),SAISIE!$C$210:$C$409),LOOKUP(2,1/((SAISIE!$E$210:$E$409=$H$419)*(ISNUMBER(SEARCH("Couverture",SAISIE!$B$210:$B$409)))),SAISIE!$C$210:$C$409)),"-"))</f>
        <v/>
      </c>
      <c r="C420" s="9">
        <f>IF($H$419="","",IFERROR(IFERROR(LOOKUP(2,1/((SAISIE!$E$210:$E$409=$H$419)*(LEFT(SAISIE!$B$210:$B$409,2)="G ")),SAISIE!$D$210:$D$409),LOOKUP(2,1/((SAISIE!$E$210:$E$409=$H$419)*(ISNUMBER(SEARCH("Couverture",SAISIE!$B$210:$B$409)))),SAISIE!$D$210:$D$409)),"-"))</f>
        <v/>
      </c>
      <c r="D420" s="9">
        <f>IF($H$419="","",IF(OR(C420="",C420="-"),"",IF(C420&gt;0,"(soulevement)",IF(C420&lt;0,"(compression)","-"))))</f>
        <v/>
      </c>
    </row>
    <row r="421">
      <c r="A421" s="8">
        <f>IF(OR($H$419="",NOT(COUNTIFS(SAISIE!$B$210:$B$409,"*Vent G/D*",SAISIE!$E$210:$E$409,$H$419)&gt;0)),"","Vent G/D")</f>
        <v/>
      </c>
      <c r="B421" s="9">
        <f>IF(OR($H$419="",NOT(COUNTIFS(SAISIE!$B$210:$B$409,"*Vent G/D*",SAISIE!$E$210:$E$409,$H$419)&gt;0)),"",IFERROR(IF(MINIFS(SAISIE!$D$210:$D$409,SAISIE!$B$210:$B$409,"*Vent G/D*",SAISIE!$E$210:$E$409,$H$419)&gt;=0,MAXIFS(SAISIE!$C$210:$C$409,SAISIE!$B$210:$B$409,"*Vent G/D*",SAISIE!$E$210:$E$409,$H$419),INDEX(SAISIE!$C$210:$C$409,MATCH(MINIFS(SAISIE!$D$210:$D$409,SAISIE!$B$210:$B$409,"*Vent G/D*",SAISIE!$E$210:$E$409,$H$419),SAISIE!$D$210:$D$409,0))),"-"))</f>
        <v/>
      </c>
      <c r="C421" s="9">
        <f>IF(OR($H$419="",NOT(COUNTIFS(SAISIE!$B$210:$B$409,"*Vent G/D*",SAISIE!$E$210:$E$409,$H$419)&gt;0)),"",IFERROR(IF(MINIFS(SAISIE!$D$210:$D$409,SAISIE!$B$210:$B$409,"*Vent G/D*",SAISIE!$E$210:$E$409,$H$419)&gt;=0,0,MINIFS(SAISIE!$D$210:$D$409,SAISIE!$B$210:$B$409,"*Vent G/D*",SAISIE!$E$210:$E$409,$H$419)),"-"))</f>
        <v/>
      </c>
      <c r="D421" s="9">
        <f>IF($H$419="","",IF(OR(C421="",C421="-"),"",IF(C421&gt;0,"(soulevement)",IF(C421&lt;0,"(compression)","-"))))</f>
        <v/>
      </c>
    </row>
    <row r="422">
      <c r="A422" s="8">
        <f>IF(OR($H$419="",NOT(MAXIFS(SAISIE!$D$210:$D$409,SAISIE!$B$210:$B$409,"*Vent G/D*",SAISIE!$E$210:$E$409,$H$419)&gt;0)),"","Vent G/D")</f>
        <v/>
      </c>
      <c r="B422" s="9">
        <f>IF(OR($H$419="",NOT(MAXIFS(SAISIE!$D$210:$D$409,SAISIE!$B$210:$B$409,"*Vent G/D*",SAISIE!$E$210:$E$409,$H$419)&gt;0)),"",IFERROR(INDEX(SAISIE!$C$210:$C$409,MATCH(MAXIFS(SAISIE!$D$210:$D$409,SAISIE!$B$210:$B$409,"*Vent G/D*",SAISIE!$E$210:$E$409,$H$419),SAISIE!$D$210:$D$409,0)),"-"))</f>
        <v/>
      </c>
      <c r="C422" s="9">
        <f>IF(OR($H$419="",NOT(MAXIFS(SAISIE!$D$210:$D$409,SAISIE!$B$210:$B$409,"*Vent G/D*",SAISIE!$E$210:$E$409,$H$419)&gt;0)),"",IFERROR(MAXIFS(SAISIE!$D$210:$D$409,SAISIE!$B$210:$B$409,"*Vent G/D*",SAISIE!$E$210:$E$409,$H$419),"-"))</f>
        <v/>
      </c>
      <c r="D422" s="9">
        <f>IF($H$419="","",IF(OR(C422="",C422="-"),"",IF(C422&gt;0,"(soulevement)",IF(C422&lt;0,"(compression)","-"))))</f>
        <v/>
      </c>
    </row>
    <row r="423">
      <c r="A423" s="8">
        <f>IF(OR($H$419="",NOT(COUNTIFS(SAISIE!$B$210:$B$409,"*Vent D/G*",SAISIE!$E$210:$E$409,$H$419)&gt;0)),"","Vent D/G")</f>
        <v/>
      </c>
      <c r="B423" s="9">
        <f>IF(OR($H$419="",NOT(COUNTIFS(SAISIE!$B$210:$B$409,"*Vent D/G*",SAISIE!$E$210:$E$409,$H$419)&gt;0)),"",IFERROR(IF(MINIFS(SAISIE!$D$210:$D$409,SAISIE!$B$210:$B$409,"*Vent D/G*",SAISIE!$E$210:$E$409,$H$419)&gt;=0,MAXIFS(SAISIE!$C$210:$C$409,SAISIE!$B$210:$B$409,"*Vent D/G*",SAISIE!$E$210:$E$409,$H$419),INDEX(SAISIE!$C$210:$C$409,MATCH(MINIFS(SAISIE!$D$210:$D$409,SAISIE!$B$210:$B$409,"*Vent D/G*",SAISIE!$E$210:$E$409,$H$419),SAISIE!$D$210:$D$409,0))),"-"))</f>
        <v/>
      </c>
      <c r="C423" s="9">
        <f>IF(OR($H$419="",NOT(COUNTIFS(SAISIE!$B$210:$B$409,"*Vent D/G*",SAISIE!$E$210:$E$409,$H$419)&gt;0)),"",IFERROR(IF(MINIFS(SAISIE!$D$210:$D$409,SAISIE!$B$210:$B$409,"*Vent D/G*",SAISIE!$E$210:$E$409,$H$419)&gt;=0,0,MINIFS(SAISIE!$D$210:$D$409,SAISIE!$B$210:$B$409,"*Vent D/G*",SAISIE!$E$210:$E$409,$H$419)),"-"))</f>
        <v/>
      </c>
      <c r="D423" s="9">
        <f>IF($H$419="","",IF(OR(C423="",C423="-"),"",IF(C423&gt;0,"(soulevement)",IF(C423&lt;0,"(compression)","-"))))</f>
        <v/>
      </c>
    </row>
    <row r="424">
      <c r="A424" s="8">
        <f>IF(OR($H$419="",NOT(MAXIFS(SAISIE!$D$210:$D$409,SAISIE!$B$210:$B$409,"*Vent D/G*",SAISIE!$E$210:$E$409,$H$419)&gt;0)),"","Vent D/G")</f>
        <v/>
      </c>
      <c r="B424" s="9">
        <f>IF(OR($H$419="",NOT(MAXIFS(SAISIE!$D$210:$D$409,SAISIE!$B$210:$B$409,"*Vent D/G*",SAISIE!$E$210:$E$409,$H$419)&gt;0)),"",IFERROR(INDEX(SAISIE!$C$210:$C$409,MATCH(MAXIFS(SAISIE!$D$210:$D$409,SAISIE!$B$210:$B$409,"*Vent D/G*",SAISIE!$E$210:$E$409,$H$419),SAISIE!$D$210:$D$409,0)),"-"))</f>
        <v/>
      </c>
      <c r="C424" s="9">
        <f>IF(OR($H$419="",NOT(MAXIFS(SAISIE!$D$210:$D$409,SAISIE!$B$210:$B$409,"*Vent D/G*",SAISIE!$E$210:$E$409,$H$419)&gt;0)),"",IFERROR(MAXIFS(SAISIE!$D$210:$D$409,SAISIE!$B$210:$B$409,"*Vent D/G*",SAISIE!$E$210:$E$409,$H$419),"-"))</f>
        <v/>
      </c>
      <c r="D424" s="9">
        <f>IF($H$419="","",IF(OR(C424="",C424="-"),"",IF(C424&gt;0,"(soulevement)",IF(C424&lt;0,"(compression)","-"))))</f>
        <v/>
      </c>
    </row>
    <row r="425">
      <c r="A425" s="8">
        <f>IF(OR($H$419="",NOT(COUNTIFS(SAISIE!$B$210:$B$409,"*Vent Av./Arr.*",SAISIE!$E$210:$E$409,$H$419)&gt;0)),"","Vent Av./Arr.")</f>
        <v/>
      </c>
      <c r="B425" s="9">
        <f>IF(OR($H$419="",NOT(COUNTIFS(SAISIE!$B$210:$B$409,"*Vent Av./Arr.*",SAISIE!$E$210:$E$409,$H$419)&gt;0)),"",IFERROR(IF(MINIFS(SAISIE!$D$210:$D$409,SAISIE!$B$210:$B$409,"*Vent Av./Arr.*",SAISIE!$E$210:$E$409,$H$419)&gt;=0,MAXIFS(SAISIE!$C$210:$C$409,SAISIE!$B$210:$B$409,"*Vent Av./Arr.*",SAISIE!$E$210:$E$409,$H$419),INDEX(SAISIE!$C$210:$C$409,MATCH(MINIFS(SAISIE!$D$210:$D$409,SAISIE!$B$210:$B$409,"*Vent Av./Arr.*",SAISIE!$E$210:$E$409,$H$419),SAISIE!$D$210:$D$409,0))),"-"))</f>
        <v/>
      </c>
      <c r="C425" s="9">
        <f>IF(OR($H$419="",NOT(COUNTIFS(SAISIE!$B$210:$B$409,"*Vent Av./Arr.*",SAISIE!$E$210:$E$409,$H$419)&gt;0)),"",IFERROR(IF(MINIFS(SAISIE!$D$210:$D$409,SAISIE!$B$210:$B$409,"*Vent Av./Arr.*",SAISIE!$E$210:$E$409,$H$419)&gt;=0,0,MINIFS(SAISIE!$D$210:$D$409,SAISIE!$B$210:$B$409,"*Vent Av./Arr.*",SAISIE!$E$210:$E$409,$H$419)),"-"))</f>
        <v/>
      </c>
      <c r="D425" s="9">
        <f>IF($H$419="","",IF(OR(C425="",C425="-"),"",IF(C425&gt;0,"(soulevement)",IF(C425&lt;0,"(compression)","-"))))</f>
        <v/>
      </c>
    </row>
    <row r="426">
      <c r="A426" s="8">
        <f>IF(OR($H$419="",NOT(MAXIFS(SAISIE!$D$210:$D$409,SAISIE!$B$210:$B$409,"*Vent Av./Arr.*",SAISIE!$E$210:$E$409,$H$419)&gt;0)),"","Vent Av./Arr.")</f>
        <v/>
      </c>
      <c r="B426" s="9">
        <f>IF(OR($H$419="",NOT(MAXIFS(SAISIE!$D$210:$D$409,SAISIE!$B$210:$B$409,"*Vent Av./Arr.*",SAISIE!$E$210:$E$409,$H$419)&gt;0)),"",IFERROR(INDEX(SAISIE!$C$210:$C$409,MATCH(MAXIFS(SAISIE!$D$210:$D$409,SAISIE!$B$210:$B$409,"*Vent Av./Arr.*",SAISIE!$E$210:$E$409,$H$419),SAISIE!$D$210:$D$409,0)),"-"))</f>
        <v/>
      </c>
      <c r="C426" s="9">
        <f>IF(OR($H$419="",NOT(MAXIFS(SAISIE!$D$210:$D$409,SAISIE!$B$210:$B$409,"*Vent Av./Arr.*",SAISIE!$E$210:$E$409,$H$419)&gt;0)),"",IFERROR(MAXIFS(SAISIE!$D$210:$D$409,SAISIE!$B$210:$B$409,"*Vent Av./Arr.*",SAISIE!$E$210:$E$409,$H$419),"-"))</f>
        <v/>
      </c>
      <c r="D426" s="9">
        <f>IF($H$419="","",IF(OR(C426="",C426="-"),"",IF(C426&gt;0,"(soulevement)",IF(C426&lt;0,"(compression)","-"))))</f>
        <v/>
      </c>
    </row>
    <row r="427">
      <c r="A427" s="8">
        <f>IF(OR($H$419="",NOT(COUNTIFS(SAISIE!$B$210:$B$409,"*Vent Arr./Av.*",SAISIE!$E$210:$E$409,$H$419)&gt;0)),"","Vent Arr./Av.")</f>
        <v/>
      </c>
      <c r="B427" s="9">
        <f>IF(OR($H$419="",NOT(COUNTIFS(SAISIE!$B$210:$B$409,"*Vent Arr./Av.*",SAISIE!$E$210:$E$409,$H$419)&gt;0)),"",IFERROR(IF(MINIFS(SAISIE!$D$210:$D$409,SAISIE!$B$210:$B$409,"*Vent Arr./Av.*",SAISIE!$E$210:$E$409,$H$419)&gt;=0,MAXIFS(SAISIE!$C$210:$C$409,SAISIE!$B$210:$B$409,"*Vent Arr./Av.*",SAISIE!$E$210:$E$409,$H$419),INDEX(SAISIE!$C$210:$C$409,MATCH(MINIFS(SAISIE!$D$210:$D$409,SAISIE!$B$210:$B$409,"*Vent Arr./Av.*",SAISIE!$E$210:$E$409,$H$419),SAISIE!$D$210:$D$409,0))),"-"))</f>
        <v/>
      </c>
      <c r="C427" s="9">
        <f>IF(OR($H$419="",NOT(COUNTIFS(SAISIE!$B$210:$B$409,"*Vent Arr./Av.*",SAISIE!$E$210:$E$409,$H$419)&gt;0)),"",IFERROR(IF(MINIFS(SAISIE!$D$210:$D$409,SAISIE!$B$210:$B$409,"*Vent Arr./Av.*",SAISIE!$E$210:$E$409,$H$419)&gt;=0,0,MINIFS(SAISIE!$D$210:$D$409,SAISIE!$B$210:$B$409,"*Vent Arr./Av.*",SAISIE!$E$210:$E$409,$H$419)),"-"))</f>
        <v/>
      </c>
      <c r="D427" s="9">
        <f>IF($H$419="","",IF(OR(C427="",C427="-"),"",IF(C427&gt;0,"(soulevement)",IF(C427&lt;0,"(compression)","-"))))</f>
        <v/>
      </c>
    </row>
    <row r="428">
      <c r="A428" s="8">
        <f>IF(OR($H$419="",NOT(MAXIFS(SAISIE!$D$210:$D$409,SAISIE!$B$210:$B$409,"*Vent Arr./Av.*",SAISIE!$E$210:$E$409,$H$419)&gt;0)),"","Vent Arr./Av.")</f>
        <v/>
      </c>
      <c r="B428" s="9">
        <f>IF(OR($H$419="",NOT(MAXIFS(SAISIE!$D$210:$D$409,SAISIE!$B$210:$B$409,"*Vent Arr./Av.*",SAISIE!$E$210:$E$409,$H$419)&gt;0)),"",IFERROR(INDEX(SAISIE!$C$210:$C$409,MATCH(MAXIFS(SAISIE!$D$210:$D$409,SAISIE!$B$210:$B$409,"*Vent Arr./Av.*",SAISIE!$E$210:$E$409,$H$419),SAISIE!$D$210:$D$409,0)),"-"))</f>
        <v/>
      </c>
      <c r="C428" s="9">
        <f>IF(OR($H$419="",NOT(MAXIFS(SAISIE!$D$210:$D$409,SAISIE!$B$210:$B$409,"*Vent Arr./Av.*",SAISIE!$E$210:$E$409,$H$419)&gt;0)),"",IFERROR(MAXIFS(SAISIE!$D$210:$D$409,SAISIE!$B$210:$B$409,"*Vent Arr./Av.*",SAISIE!$E$210:$E$409,$H$419),"-"))</f>
        <v/>
      </c>
      <c r="D428" s="9">
        <f>IF($H$419="","",IF(OR(C428="",C428="-"),"",IF(C428&gt;0,"(soulevement)",IF(C428&lt;0,"(compression)","-"))))</f>
        <v/>
      </c>
    </row>
    <row r="429">
      <c r="A429" s="8">
        <f>IF(OR($H$419="",NOT(TRUE)),"","Neige normale")</f>
        <v/>
      </c>
      <c r="B429" s="9">
        <f>IF($H$419="","",IFERROR(INDEX(SAISIE!$C$210:$C$409,MATCH(MINIFS(SAISIE!$D$210:$D$409,SAISIE!$B$210:$B$409,"*Neige*",SAISIE!$B$210:$B$409,"&lt;&gt;*accidentel*",SAISIE!$E$210:$E$409,$H$419),SAISIE!$D$210:$D$409,0)),"-"))</f>
        <v/>
      </c>
      <c r="C429" s="9">
        <f>IF($H$419="","",IFERROR(INDEX(SAISIE!$D$210:$D$409,MATCH(MINIFS(SAISIE!$D$210:$D$409,SAISIE!$B$210:$B$409,"*Neige*",SAISIE!$B$210:$B$409,"&lt;&gt;*accidentel*",SAISIE!$E$210:$E$409,$H$419),SAISIE!$D$210:$D$409,0)),"-"))</f>
        <v/>
      </c>
      <c r="D429" s="9">
        <f>IF($H$419="","",IF(OR(C429="",C429="-"),"",IF(C429&gt;0,"(soulevement)",IF(C429&lt;0,"(compression)","-"))))</f>
        <v/>
      </c>
    </row>
    <row r="430">
      <c r="A430" s="8">
        <f>IF(OR($H$419="",NOT(TRUE)),"","Neige accidentelle")</f>
        <v/>
      </c>
      <c r="B430" s="9">
        <f>IF($H$419="","",IFERROR(LOOKUP(2,1/((SAISIE!$E$210:$E$409=$H$419)*(ISNUMBER(SEARCH("accidentel",SAISIE!$B$210:$B$409)))),SAISIE!$C$210:$C$409),"-"))</f>
        <v/>
      </c>
      <c r="C430" s="9">
        <f>IF($H$419="","",IFERROR(LOOKUP(2,1/((SAISIE!$E$210:$E$409=$H$419)*(ISNUMBER(SEARCH("accidentel",SAISIE!$B$210:$B$409)))),SAISIE!$D$210:$D$409),"-"))</f>
        <v/>
      </c>
      <c r="D430" s="9">
        <f>IF($H$419="","",IF(OR(C430="",C430="-"),"",IF(C430&gt;0,"(soulevement)",IF(C430&lt;0,"(compression)","-"))))</f>
        <v/>
      </c>
    </row>
    <row r="431">
      <c r="A431" s="6">
        <f>IF($H$431="","","Noeud "&amp;$H$431)</f>
        <v/>
      </c>
      <c r="B431" s="7" t="n"/>
      <c r="C431" s="7" t="n"/>
      <c r="D431" s="7" t="n"/>
      <c r="H431">
        <f>IFERROR(INDEX(SAISIE!$E$210:$E$409,AGGREGATE(15,6,ROW(SAISIE!$E$210:$E$409)-ROW(SAISIE!$E$210)+1/(SAISIE!$E$210:$E$409&lt;&gt;"")/(COUNTIF($H$4:H430,SAISIE!$E$210:$E$409)=0),1)),"")</f>
        <v/>
      </c>
    </row>
    <row r="432">
      <c r="A432" s="8">
        <f>IF(OR($H$431="",NOT(TRUE)),"","Couverture")</f>
        <v/>
      </c>
      <c r="B432" s="9">
        <f>IF($H$431="","",IFERROR(IFERROR(LOOKUP(2,1/((SAISIE!$E$210:$E$409=$H$431)*(LEFT(SAISIE!$B$210:$B$409,2)="G ")),SAISIE!$C$210:$C$409),LOOKUP(2,1/((SAISIE!$E$210:$E$409=$H$431)*(ISNUMBER(SEARCH("Couverture",SAISIE!$B$210:$B$409)))),SAISIE!$C$210:$C$409)),"-"))</f>
        <v/>
      </c>
      <c r="C432" s="9">
        <f>IF($H$431="","",IFERROR(IFERROR(LOOKUP(2,1/((SAISIE!$E$210:$E$409=$H$431)*(LEFT(SAISIE!$B$210:$B$409,2)="G ")),SAISIE!$D$210:$D$409),LOOKUP(2,1/((SAISIE!$E$210:$E$409=$H$431)*(ISNUMBER(SEARCH("Couverture",SAISIE!$B$210:$B$409)))),SAISIE!$D$210:$D$409)),"-"))</f>
        <v/>
      </c>
      <c r="D432" s="9">
        <f>IF($H$431="","",IF(OR(C432="",C432="-"),"",IF(C432&gt;0,"(soulevement)",IF(C432&lt;0,"(compression)","-"))))</f>
        <v/>
      </c>
    </row>
    <row r="433">
      <c r="A433" s="8">
        <f>IF(OR($H$431="",NOT(COUNTIFS(SAISIE!$B$210:$B$409,"*Vent G/D*",SAISIE!$E$210:$E$409,$H$431)&gt;0)),"","Vent G/D")</f>
        <v/>
      </c>
      <c r="B433" s="9">
        <f>IF(OR($H$431="",NOT(COUNTIFS(SAISIE!$B$210:$B$409,"*Vent G/D*",SAISIE!$E$210:$E$409,$H$431)&gt;0)),"",IFERROR(IF(MINIFS(SAISIE!$D$210:$D$409,SAISIE!$B$210:$B$409,"*Vent G/D*",SAISIE!$E$210:$E$409,$H$431)&gt;=0,MAXIFS(SAISIE!$C$210:$C$409,SAISIE!$B$210:$B$409,"*Vent G/D*",SAISIE!$E$210:$E$409,$H$431),INDEX(SAISIE!$C$210:$C$409,MATCH(MINIFS(SAISIE!$D$210:$D$409,SAISIE!$B$210:$B$409,"*Vent G/D*",SAISIE!$E$210:$E$409,$H$431),SAISIE!$D$210:$D$409,0))),"-"))</f>
        <v/>
      </c>
      <c r="C433" s="9">
        <f>IF(OR($H$431="",NOT(COUNTIFS(SAISIE!$B$210:$B$409,"*Vent G/D*",SAISIE!$E$210:$E$409,$H$431)&gt;0)),"",IFERROR(IF(MINIFS(SAISIE!$D$210:$D$409,SAISIE!$B$210:$B$409,"*Vent G/D*",SAISIE!$E$210:$E$409,$H$431)&gt;=0,0,MINIFS(SAISIE!$D$210:$D$409,SAISIE!$B$210:$B$409,"*Vent G/D*",SAISIE!$E$210:$E$409,$H$431)),"-"))</f>
        <v/>
      </c>
      <c r="D433" s="9">
        <f>IF($H$431="","",IF(OR(C433="",C433="-"),"",IF(C433&gt;0,"(soulevement)",IF(C433&lt;0,"(compression)","-"))))</f>
        <v/>
      </c>
    </row>
    <row r="434">
      <c r="A434" s="8">
        <f>IF(OR($H$431="",NOT(MAXIFS(SAISIE!$D$210:$D$409,SAISIE!$B$210:$B$409,"*Vent G/D*",SAISIE!$E$210:$E$409,$H$431)&gt;0)),"","Vent G/D")</f>
        <v/>
      </c>
      <c r="B434" s="9">
        <f>IF(OR($H$431="",NOT(MAXIFS(SAISIE!$D$210:$D$409,SAISIE!$B$210:$B$409,"*Vent G/D*",SAISIE!$E$210:$E$409,$H$431)&gt;0)),"",IFERROR(INDEX(SAISIE!$C$210:$C$409,MATCH(MAXIFS(SAISIE!$D$210:$D$409,SAISIE!$B$210:$B$409,"*Vent G/D*",SAISIE!$E$210:$E$409,$H$431),SAISIE!$D$210:$D$409,0)),"-"))</f>
        <v/>
      </c>
      <c r="C434" s="9">
        <f>IF(OR($H$431="",NOT(MAXIFS(SAISIE!$D$210:$D$409,SAISIE!$B$210:$B$409,"*Vent G/D*",SAISIE!$E$210:$E$409,$H$431)&gt;0)),"",IFERROR(MAXIFS(SAISIE!$D$210:$D$409,SAISIE!$B$210:$B$409,"*Vent G/D*",SAISIE!$E$210:$E$409,$H$431),"-"))</f>
        <v/>
      </c>
      <c r="D434" s="9">
        <f>IF($H$431="","",IF(OR(C434="",C434="-"),"",IF(C434&gt;0,"(soulevement)",IF(C434&lt;0,"(compression)","-"))))</f>
        <v/>
      </c>
    </row>
    <row r="435">
      <c r="A435" s="8">
        <f>IF(OR($H$431="",NOT(COUNTIFS(SAISIE!$B$210:$B$409,"*Vent D/G*",SAISIE!$E$210:$E$409,$H$431)&gt;0)),"","Vent D/G")</f>
        <v/>
      </c>
      <c r="B435" s="9">
        <f>IF(OR($H$431="",NOT(COUNTIFS(SAISIE!$B$210:$B$409,"*Vent D/G*",SAISIE!$E$210:$E$409,$H$431)&gt;0)),"",IFERROR(IF(MINIFS(SAISIE!$D$210:$D$409,SAISIE!$B$210:$B$409,"*Vent D/G*",SAISIE!$E$210:$E$409,$H$431)&gt;=0,MAXIFS(SAISIE!$C$210:$C$409,SAISIE!$B$210:$B$409,"*Vent D/G*",SAISIE!$E$210:$E$409,$H$431),INDEX(SAISIE!$C$210:$C$409,MATCH(MINIFS(SAISIE!$D$210:$D$409,SAISIE!$B$210:$B$409,"*Vent D/G*",SAISIE!$E$210:$E$409,$H$431),SAISIE!$D$210:$D$409,0))),"-"))</f>
        <v/>
      </c>
      <c r="C435" s="9">
        <f>IF(OR($H$431="",NOT(COUNTIFS(SAISIE!$B$210:$B$409,"*Vent D/G*",SAISIE!$E$210:$E$409,$H$431)&gt;0)),"",IFERROR(IF(MINIFS(SAISIE!$D$210:$D$409,SAISIE!$B$210:$B$409,"*Vent D/G*",SAISIE!$E$210:$E$409,$H$431)&gt;=0,0,MINIFS(SAISIE!$D$210:$D$409,SAISIE!$B$210:$B$409,"*Vent D/G*",SAISIE!$E$210:$E$409,$H$431)),"-"))</f>
        <v/>
      </c>
      <c r="D435" s="9">
        <f>IF($H$431="","",IF(OR(C435="",C435="-"),"",IF(C435&gt;0,"(soulevement)",IF(C435&lt;0,"(compression)","-"))))</f>
        <v/>
      </c>
    </row>
    <row r="436">
      <c r="A436" s="8">
        <f>IF(OR($H$431="",NOT(MAXIFS(SAISIE!$D$210:$D$409,SAISIE!$B$210:$B$409,"*Vent D/G*",SAISIE!$E$210:$E$409,$H$431)&gt;0)),"","Vent D/G")</f>
        <v/>
      </c>
      <c r="B436" s="9">
        <f>IF(OR($H$431="",NOT(MAXIFS(SAISIE!$D$210:$D$409,SAISIE!$B$210:$B$409,"*Vent D/G*",SAISIE!$E$210:$E$409,$H$431)&gt;0)),"",IFERROR(INDEX(SAISIE!$C$210:$C$409,MATCH(MAXIFS(SAISIE!$D$210:$D$409,SAISIE!$B$210:$B$409,"*Vent D/G*",SAISIE!$E$210:$E$409,$H$431),SAISIE!$D$210:$D$409,0)),"-"))</f>
        <v/>
      </c>
      <c r="C436" s="9">
        <f>IF(OR($H$431="",NOT(MAXIFS(SAISIE!$D$210:$D$409,SAISIE!$B$210:$B$409,"*Vent D/G*",SAISIE!$E$210:$E$409,$H$431)&gt;0)),"",IFERROR(MAXIFS(SAISIE!$D$210:$D$409,SAISIE!$B$210:$B$409,"*Vent D/G*",SAISIE!$E$210:$E$409,$H$431),"-"))</f>
        <v/>
      </c>
      <c r="D436" s="9">
        <f>IF($H$431="","",IF(OR(C436="",C436="-"),"",IF(C436&gt;0,"(soulevement)",IF(C436&lt;0,"(compression)","-"))))</f>
        <v/>
      </c>
    </row>
    <row r="437">
      <c r="A437" s="8">
        <f>IF(OR($H$431="",NOT(COUNTIFS(SAISIE!$B$210:$B$409,"*Vent Av./Arr.*",SAISIE!$E$210:$E$409,$H$431)&gt;0)),"","Vent Av./Arr.")</f>
        <v/>
      </c>
      <c r="B437" s="9">
        <f>IF(OR($H$431="",NOT(COUNTIFS(SAISIE!$B$210:$B$409,"*Vent Av./Arr.*",SAISIE!$E$210:$E$409,$H$431)&gt;0)),"",IFERROR(IF(MINIFS(SAISIE!$D$210:$D$409,SAISIE!$B$210:$B$409,"*Vent Av./Arr.*",SAISIE!$E$210:$E$409,$H$431)&gt;=0,MAXIFS(SAISIE!$C$210:$C$409,SAISIE!$B$210:$B$409,"*Vent Av./Arr.*",SAISIE!$E$210:$E$409,$H$431),INDEX(SAISIE!$C$210:$C$409,MATCH(MINIFS(SAISIE!$D$210:$D$409,SAISIE!$B$210:$B$409,"*Vent Av./Arr.*",SAISIE!$E$210:$E$409,$H$431),SAISIE!$D$210:$D$409,0))),"-"))</f>
        <v/>
      </c>
      <c r="C437" s="9">
        <f>IF(OR($H$431="",NOT(COUNTIFS(SAISIE!$B$210:$B$409,"*Vent Av./Arr.*",SAISIE!$E$210:$E$409,$H$431)&gt;0)),"",IFERROR(IF(MINIFS(SAISIE!$D$210:$D$409,SAISIE!$B$210:$B$409,"*Vent Av./Arr.*",SAISIE!$E$210:$E$409,$H$431)&gt;=0,0,MINIFS(SAISIE!$D$210:$D$409,SAISIE!$B$210:$B$409,"*Vent Av./Arr.*",SAISIE!$E$210:$E$409,$H$431)),"-"))</f>
        <v/>
      </c>
      <c r="D437" s="9">
        <f>IF($H$431="","",IF(OR(C437="",C437="-"),"",IF(C437&gt;0,"(soulevement)",IF(C437&lt;0,"(compression)","-"))))</f>
        <v/>
      </c>
    </row>
    <row r="438">
      <c r="A438" s="8">
        <f>IF(OR($H$431="",NOT(MAXIFS(SAISIE!$D$210:$D$409,SAISIE!$B$210:$B$409,"*Vent Av./Arr.*",SAISIE!$E$210:$E$409,$H$431)&gt;0)),"","Vent Av./Arr.")</f>
        <v/>
      </c>
      <c r="B438" s="9">
        <f>IF(OR($H$431="",NOT(MAXIFS(SAISIE!$D$210:$D$409,SAISIE!$B$210:$B$409,"*Vent Av./Arr.*",SAISIE!$E$210:$E$409,$H$431)&gt;0)),"",IFERROR(INDEX(SAISIE!$C$210:$C$409,MATCH(MAXIFS(SAISIE!$D$210:$D$409,SAISIE!$B$210:$B$409,"*Vent Av./Arr.*",SAISIE!$E$210:$E$409,$H$431),SAISIE!$D$210:$D$409,0)),"-"))</f>
        <v/>
      </c>
      <c r="C438" s="9">
        <f>IF(OR($H$431="",NOT(MAXIFS(SAISIE!$D$210:$D$409,SAISIE!$B$210:$B$409,"*Vent Av./Arr.*",SAISIE!$E$210:$E$409,$H$431)&gt;0)),"",IFERROR(MAXIFS(SAISIE!$D$210:$D$409,SAISIE!$B$210:$B$409,"*Vent Av./Arr.*",SAISIE!$E$210:$E$409,$H$431),"-"))</f>
        <v/>
      </c>
      <c r="D438" s="9">
        <f>IF($H$431="","",IF(OR(C438="",C438="-"),"",IF(C438&gt;0,"(soulevement)",IF(C438&lt;0,"(compression)","-"))))</f>
        <v/>
      </c>
    </row>
    <row r="439">
      <c r="A439" s="8">
        <f>IF(OR($H$431="",NOT(COUNTIFS(SAISIE!$B$210:$B$409,"*Vent Arr./Av.*",SAISIE!$E$210:$E$409,$H$431)&gt;0)),"","Vent Arr./Av.")</f>
        <v/>
      </c>
      <c r="B439" s="9">
        <f>IF(OR($H$431="",NOT(COUNTIFS(SAISIE!$B$210:$B$409,"*Vent Arr./Av.*",SAISIE!$E$210:$E$409,$H$431)&gt;0)),"",IFERROR(IF(MINIFS(SAISIE!$D$210:$D$409,SAISIE!$B$210:$B$409,"*Vent Arr./Av.*",SAISIE!$E$210:$E$409,$H$431)&gt;=0,MAXIFS(SAISIE!$C$210:$C$409,SAISIE!$B$210:$B$409,"*Vent Arr./Av.*",SAISIE!$E$210:$E$409,$H$431),INDEX(SAISIE!$C$210:$C$409,MATCH(MINIFS(SAISIE!$D$210:$D$409,SAISIE!$B$210:$B$409,"*Vent Arr./Av.*",SAISIE!$E$210:$E$409,$H$431),SAISIE!$D$210:$D$409,0))),"-"))</f>
        <v/>
      </c>
      <c r="C439" s="9">
        <f>IF(OR($H$431="",NOT(COUNTIFS(SAISIE!$B$210:$B$409,"*Vent Arr./Av.*",SAISIE!$E$210:$E$409,$H$431)&gt;0)),"",IFERROR(IF(MINIFS(SAISIE!$D$210:$D$409,SAISIE!$B$210:$B$409,"*Vent Arr./Av.*",SAISIE!$E$210:$E$409,$H$431)&gt;=0,0,MINIFS(SAISIE!$D$210:$D$409,SAISIE!$B$210:$B$409,"*Vent Arr./Av.*",SAISIE!$E$210:$E$409,$H$431)),"-"))</f>
        <v/>
      </c>
      <c r="D439" s="9">
        <f>IF($H$431="","",IF(OR(C439="",C439="-"),"",IF(C439&gt;0,"(soulevement)",IF(C439&lt;0,"(compression)","-"))))</f>
        <v/>
      </c>
    </row>
    <row r="440">
      <c r="A440" s="8">
        <f>IF(OR($H$431="",NOT(MAXIFS(SAISIE!$D$210:$D$409,SAISIE!$B$210:$B$409,"*Vent Arr./Av.*",SAISIE!$E$210:$E$409,$H$431)&gt;0)),"","Vent Arr./Av.")</f>
        <v/>
      </c>
      <c r="B440" s="9">
        <f>IF(OR($H$431="",NOT(MAXIFS(SAISIE!$D$210:$D$409,SAISIE!$B$210:$B$409,"*Vent Arr./Av.*",SAISIE!$E$210:$E$409,$H$431)&gt;0)),"",IFERROR(INDEX(SAISIE!$C$210:$C$409,MATCH(MAXIFS(SAISIE!$D$210:$D$409,SAISIE!$B$210:$B$409,"*Vent Arr./Av.*",SAISIE!$E$210:$E$409,$H$431),SAISIE!$D$210:$D$409,0)),"-"))</f>
        <v/>
      </c>
      <c r="C440" s="9">
        <f>IF(OR($H$431="",NOT(MAXIFS(SAISIE!$D$210:$D$409,SAISIE!$B$210:$B$409,"*Vent Arr./Av.*",SAISIE!$E$210:$E$409,$H$431)&gt;0)),"",IFERROR(MAXIFS(SAISIE!$D$210:$D$409,SAISIE!$B$210:$B$409,"*Vent Arr./Av.*",SAISIE!$E$210:$E$409,$H$431),"-"))</f>
        <v/>
      </c>
      <c r="D440" s="9">
        <f>IF($H$431="","",IF(OR(C440="",C440="-"),"",IF(C440&gt;0,"(soulevement)",IF(C440&lt;0,"(compression)","-"))))</f>
        <v/>
      </c>
    </row>
    <row r="441">
      <c r="A441" s="8">
        <f>IF(OR($H$431="",NOT(TRUE)),"","Neige normale")</f>
        <v/>
      </c>
      <c r="B441" s="9">
        <f>IF($H$431="","",IFERROR(INDEX(SAISIE!$C$210:$C$409,MATCH(MINIFS(SAISIE!$D$210:$D$409,SAISIE!$B$210:$B$409,"*Neige*",SAISIE!$B$210:$B$409,"&lt;&gt;*accidentel*",SAISIE!$E$210:$E$409,$H$431),SAISIE!$D$210:$D$409,0)),"-"))</f>
        <v/>
      </c>
      <c r="C441" s="9">
        <f>IF($H$431="","",IFERROR(INDEX(SAISIE!$D$210:$D$409,MATCH(MINIFS(SAISIE!$D$210:$D$409,SAISIE!$B$210:$B$409,"*Neige*",SAISIE!$B$210:$B$409,"&lt;&gt;*accidentel*",SAISIE!$E$210:$E$409,$H$431),SAISIE!$D$210:$D$409,0)),"-"))</f>
        <v/>
      </c>
      <c r="D441" s="9">
        <f>IF($H$431="","",IF(OR(C441="",C441="-"),"",IF(C441&gt;0,"(soulevement)",IF(C441&lt;0,"(compression)","-"))))</f>
        <v/>
      </c>
    </row>
    <row r="442">
      <c r="A442" s="8">
        <f>IF(OR($H$431="",NOT(TRUE)),"","Neige accidentelle")</f>
        <v/>
      </c>
      <c r="B442" s="9">
        <f>IF($H$431="","",IFERROR(LOOKUP(2,1/((SAISIE!$E$210:$E$409=$H$431)*(ISNUMBER(SEARCH("accidentel",SAISIE!$B$210:$B$409)))),SAISIE!$C$210:$C$409),"-"))</f>
        <v/>
      </c>
      <c r="C442" s="9">
        <f>IF($H$431="","",IFERROR(LOOKUP(2,1/((SAISIE!$E$210:$E$409=$H$431)*(ISNUMBER(SEARCH("accidentel",SAISIE!$B$210:$B$409)))),SAISIE!$D$210:$D$409),"-"))</f>
        <v/>
      </c>
      <c r="D442" s="9">
        <f>IF($H$431="","",IF(OR(C442="",C442="-"),"",IF(C442&gt;0,"(soulevement)",IF(C442&lt;0,"(compression)","-"))))</f>
        <v/>
      </c>
    </row>
    <row r="443">
      <c r="A443" s="6">
        <f>IF($H$443="","","Noeud "&amp;$H$443)</f>
        <v/>
      </c>
      <c r="B443" s="7" t="n"/>
      <c r="C443" s="7" t="n"/>
      <c r="D443" s="7" t="n"/>
      <c r="H443">
        <f>IFERROR(INDEX(SAISIE!$E$210:$E$409,AGGREGATE(15,6,ROW(SAISIE!$E$210:$E$409)-ROW(SAISIE!$E$210)+1/(SAISIE!$E$210:$E$409&lt;&gt;"")/(COUNTIF($H$4:H442,SAISIE!$E$210:$E$409)=0),1)),"")</f>
        <v/>
      </c>
    </row>
    <row r="444">
      <c r="A444" s="8">
        <f>IF(OR($H$443="",NOT(TRUE)),"","Couverture")</f>
        <v/>
      </c>
      <c r="B444" s="9">
        <f>IF($H$443="","",IFERROR(IFERROR(LOOKUP(2,1/((SAISIE!$E$210:$E$409=$H$443)*(LEFT(SAISIE!$B$210:$B$409,2)="G ")),SAISIE!$C$210:$C$409),LOOKUP(2,1/((SAISIE!$E$210:$E$409=$H$443)*(ISNUMBER(SEARCH("Couverture",SAISIE!$B$210:$B$409)))),SAISIE!$C$210:$C$409)),"-"))</f>
        <v/>
      </c>
      <c r="C444" s="9">
        <f>IF($H$443="","",IFERROR(IFERROR(LOOKUP(2,1/((SAISIE!$E$210:$E$409=$H$443)*(LEFT(SAISIE!$B$210:$B$409,2)="G ")),SAISIE!$D$210:$D$409),LOOKUP(2,1/((SAISIE!$E$210:$E$409=$H$443)*(ISNUMBER(SEARCH("Couverture",SAISIE!$B$210:$B$409)))),SAISIE!$D$210:$D$409)),"-"))</f>
        <v/>
      </c>
      <c r="D444" s="9">
        <f>IF($H$443="","",IF(OR(C444="",C444="-"),"",IF(C444&gt;0,"(soulevement)",IF(C444&lt;0,"(compression)","-"))))</f>
        <v/>
      </c>
    </row>
    <row r="445">
      <c r="A445" s="8">
        <f>IF(OR($H$443="",NOT(COUNTIFS(SAISIE!$B$210:$B$409,"*Vent G/D*",SAISIE!$E$210:$E$409,$H$443)&gt;0)),"","Vent G/D")</f>
        <v/>
      </c>
      <c r="B445" s="9">
        <f>IF(OR($H$443="",NOT(COUNTIFS(SAISIE!$B$210:$B$409,"*Vent G/D*",SAISIE!$E$210:$E$409,$H$443)&gt;0)),"",IFERROR(IF(MINIFS(SAISIE!$D$210:$D$409,SAISIE!$B$210:$B$409,"*Vent G/D*",SAISIE!$E$210:$E$409,$H$443)&gt;=0,MAXIFS(SAISIE!$C$210:$C$409,SAISIE!$B$210:$B$409,"*Vent G/D*",SAISIE!$E$210:$E$409,$H$443),INDEX(SAISIE!$C$210:$C$409,MATCH(MINIFS(SAISIE!$D$210:$D$409,SAISIE!$B$210:$B$409,"*Vent G/D*",SAISIE!$E$210:$E$409,$H$443),SAISIE!$D$210:$D$409,0))),"-"))</f>
        <v/>
      </c>
      <c r="C445" s="9">
        <f>IF(OR($H$443="",NOT(COUNTIFS(SAISIE!$B$210:$B$409,"*Vent G/D*",SAISIE!$E$210:$E$409,$H$443)&gt;0)),"",IFERROR(IF(MINIFS(SAISIE!$D$210:$D$409,SAISIE!$B$210:$B$409,"*Vent G/D*",SAISIE!$E$210:$E$409,$H$443)&gt;=0,0,MINIFS(SAISIE!$D$210:$D$409,SAISIE!$B$210:$B$409,"*Vent G/D*",SAISIE!$E$210:$E$409,$H$443)),"-"))</f>
        <v/>
      </c>
      <c r="D445" s="9">
        <f>IF($H$443="","",IF(OR(C445="",C445="-"),"",IF(C445&gt;0,"(soulevement)",IF(C445&lt;0,"(compression)","-"))))</f>
        <v/>
      </c>
    </row>
    <row r="446">
      <c r="A446" s="8">
        <f>IF(OR($H$443="",NOT(MAXIFS(SAISIE!$D$210:$D$409,SAISIE!$B$210:$B$409,"*Vent G/D*",SAISIE!$E$210:$E$409,$H$443)&gt;0)),"","Vent G/D")</f>
        <v/>
      </c>
      <c r="B446" s="9">
        <f>IF(OR($H$443="",NOT(MAXIFS(SAISIE!$D$210:$D$409,SAISIE!$B$210:$B$409,"*Vent G/D*",SAISIE!$E$210:$E$409,$H$443)&gt;0)),"",IFERROR(INDEX(SAISIE!$C$210:$C$409,MATCH(MAXIFS(SAISIE!$D$210:$D$409,SAISIE!$B$210:$B$409,"*Vent G/D*",SAISIE!$E$210:$E$409,$H$443),SAISIE!$D$210:$D$409,0)),"-"))</f>
        <v/>
      </c>
      <c r="C446" s="9">
        <f>IF(OR($H$443="",NOT(MAXIFS(SAISIE!$D$210:$D$409,SAISIE!$B$210:$B$409,"*Vent G/D*",SAISIE!$E$210:$E$409,$H$443)&gt;0)),"",IFERROR(MAXIFS(SAISIE!$D$210:$D$409,SAISIE!$B$210:$B$409,"*Vent G/D*",SAISIE!$E$210:$E$409,$H$443),"-"))</f>
        <v/>
      </c>
      <c r="D446" s="9">
        <f>IF($H$443="","",IF(OR(C446="",C446="-"),"",IF(C446&gt;0,"(soulevement)",IF(C446&lt;0,"(compression)","-"))))</f>
        <v/>
      </c>
    </row>
    <row r="447">
      <c r="A447" s="8">
        <f>IF(OR($H$443="",NOT(COUNTIFS(SAISIE!$B$210:$B$409,"*Vent D/G*",SAISIE!$E$210:$E$409,$H$443)&gt;0)),"","Vent D/G")</f>
        <v/>
      </c>
      <c r="B447" s="9">
        <f>IF(OR($H$443="",NOT(COUNTIFS(SAISIE!$B$210:$B$409,"*Vent D/G*",SAISIE!$E$210:$E$409,$H$443)&gt;0)),"",IFERROR(IF(MINIFS(SAISIE!$D$210:$D$409,SAISIE!$B$210:$B$409,"*Vent D/G*",SAISIE!$E$210:$E$409,$H$443)&gt;=0,MAXIFS(SAISIE!$C$210:$C$409,SAISIE!$B$210:$B$409,"*Vent D/G*",SAISIE!$E$210:$E$409,$H$443),INDEX(SAISIE!$C$210:$C$409,MATCH(MINIFS(SAISIE!$D$210:$D$409,SAISIE!$B$210:$B$409,"*Vent D/G*",SAISIE!$E$210:$E$409,$H$443),SAISIE!$D$210:$D$409,0))),"-"))</f>
        <v/>
      </c>
      <c r="C447" s="9">
        <f>IF(OR($H$443="",NOT(COUNTIFS(SAISIE!$B$210:$B$409,"*Vent D/G*",SAISIE!$E$210:$E$409,$H$443)&gt;0)),"",IFERROR(IF(MINIFS(SAISIE!$D$210:$D$409,SAISIE!$B$210:$B$409,"*Vent D/G*",SAISIE!$E$210:$E$409,$H$443)&gt;=0,0,MINIFS(SAISIE!$D$210:$D$409,SAISIE!$B$210:$B$409,"*Vent D/G*",SAISIE!$E$210:$E$409,$H$443)),"-"))</f>
        <v/>
      </c>
      <c r="D447" s="9">
        <f>IF($H$443="","",IF(OR(C447="",C447="-"),"",IF(C447&gt;0,"(soulevement)",IF(C447&lt;0,"(compression)","-"))))</f>
        <v/>
      </c>
    </row>
    <row r="448">
      <c r="A448" s="8">
        <f>IF(OR($H$443="",NOT(MAXIFS(SAISIE!$D$210:$D$409,SAISIE!$B$210:$B$409,"*Vent D/G*",SAISIE!$E$210:$E$409,$H$443)&gt;0)),"","Vent D/G")</f>
        <v/>
      </c>
      <c r="B448" s="9">
        <f>IF(OR($H$443="",NOT(MAXIFS(SAISIE!$D$210:$D$409,SAISIE!$B$210:$B$409,"*Vent D/G*",SAISIE!$E$210:$E$409,$H$443)&gt;0)),"",IFERROR(INDEX(SAISIE!$C$210:$C$409,MATCH(MAXIFS(SAISIE!$D$210:$D$409,SAISIE!$B$210:$B$409,"*Vent D/G*",SAISIE!$E$210:$E$409,$H$443),SAISIE!$D$210:$D$409,0)),"-"))</f>
        <v/>
      </c>
      <c r="C448" s="9">
        <f>IF(OR($H$443="",NOT(MAXIFS(SAISIE!$D$210:$D$409,SAISIE!$B$210:$B$409,"*Vent D/G*",SAISIE!$E$210:$E$409,$H$443)&gt;0)),"",IFERROR(MAXIFS(SAISIE!$D$210:$D$409,SAISIE!$B$210:$B$409,"*Vent D/G*",SAISIE!$E$210:$E$409,$H$443),"-"))</f>
        <v/>
      </c>
      <c r="D448" s="9">
        <f>IF($H$443="","",IF(OR(C448="",C448="-"),"",IF(C448&gt;0,"(soulevement)",IF(C448&lt;0,"(compression)","-"))))</f>
        <v/>
      </c>
    </row>
    <row r="449">
      <c r="A449" s="8">
        <f>IF(OR($H$443="",NOT(COUNTIFS(SAISIE!$B$210:$B$409,"*Vent Av./Arr.*",SAISIE!$E$210:$E$409,$H$443)&gt;0)),"","Vent Av./Arr.")</f>
        <v/>
      </c>
      <c r="B449" s="9">
        <f>IF(OR($H$443="",NOT(COUNTIFS(SAISIE!$B$210:$B$409,"*Vent Av./Arr.*",SAISIE!$E$210:$E$409,$H$443)&gt;0)),"",IFERROR(IF(MINIFS(SAISIE!$D$210:$D$409,SAISIE!$B$210:$B$409,"*Vent Av./Arr.*",SAISIE!$E$210:$E$409,$H$443)&gt;=0,MAXIFS(SAISIE!$C$210:$C$409,SAISIE!$B$210:$B$409,"*Vent Av./Arr.*",SAISIE!$E$210:$E$409,$H$443),INDEX(SAISIE!$C$210:$C$409,MATCH(MINIFS(SAISIE!$D$210:$D$409,SAISIE!$B$210:$B$409,"*Vent Av./Arr.*",SAISIE!$E$210:$E$409,$H$443),SAISIE!$D$210:$D$409,0))),"-"))</f>
        <v/>
      </c>
      <c r="C449" s="9">
        <f>IF(OR($H$443="",NOT(COUNTIFS(SAISIE!$B$210:$B$409,"*Vent Av./Arr.*",SAISIE!$E$210:$E$409,$H$443)&gt;0)),"",IFERROR(IF(MINIFS(SAISIE!$D$210:$D$409,SAISIE!$B$210:$B$409,"*Vent Av./Arr.*",SAISIE!$E$210:$E$409,$H$443)&gt;=0,0,MINIFS(SAISIE!$D$210:$D$409,SAISIE!$B$210:$B$409,"*Vent Av./Arr.*",SAISIE!$E$210:$E$409,$H$443)),"-"))</f>
        <v/>
      </c>
      <c r="D449" s="9">
        <f>IF($H$443="","",IF(OR(C449="",C449="-"),"",IF(C449&gt;0,"(soulevement)",IF(C449&lt;0,"(compression)","-"))))</f>
        <v/>
      </c>
    </row>
    <row r="450">
      <c r="A450" s="8">
        <f>IF(OR($H$443="",NOT(MAXIFS(SAISIE!$D$210:$D$409,SAISIE!$B$210:$B$409,"*Vent Av./Arr.*",SAISIE!$E$210:$E$409,$H$443)&gt;0)),"","Vent Av./Arr.")</f>
        <v/>
      </c>
      <c r="B450" s="9">
        <f>IF(OR($H$443="",NOT(MAXIFS(SAISIE!$D$210:$D$409,SAISIE!$B$210:$B$409,"*Vent Av./Arr.*",SAISIE!$E$210:$E$409,$H$443)&gt;0)),"",IFERROR(INDEX(SAISIE!$C$210:$C$409,MATCH(MAXIFS(SAISIE!$D$210:$D$409,SAISIE!$B$210:$B$409,"*Vent Av./Arr.*",SAISIE!$E$210:$E$409,$H$443),SAISIE!$D$210:$D$409,0)),"-"))</f>
        <v/>
      </c>
      <c r="C450" s="9">
        <f>IF(OR($H$443="",NOT(MAXIFS(SAISIE!$D$210:$D$409,SAISIE!$B$210:$B$409,"*Vent Av./Arr.*",SAISIE!$E$210:$E$409,$H$443)&gt;0)),"",IFERROR(MAXIFS(SAISIE!$D$210:$D$409,SAISIE!$B$210:$B$409,"*Vent Av./Arr.*",SAISIE!$E$210:$E$409,$H$443),"-"))</f>
        <v/>
      </c>
      <c r="D450" s="9">
        <f>IF($H$443="","",IF(OR(C450="",C450="-"),"",IF(C450&gt;0,"(soulevement)",IF(C450&lt;0,"(compression)","-"))))</f>
        <v/>
      </c>
    </row>
    <row r="451">
      <c r="A451" s="8">
        <f>IF(OR($H$443="",NOT(COUNTIFS(SAISIE!$B$210:$B$409,"*Vent Arr./Av.*",SAISIE!$E$210:$E$409,$H$443)&gt;0)),"","Vent Arr./Av.")</f>
        <v/>
      </c>
      <c r="B451" s="9">
        <f>IF(OR($H$443="",NOT(COUNTIFS(SAISIE!$B$210:$B$409,"*Vent Arr./Av.*",SAISIE!$E$210:$E$409,$H$443)&gt;0)),"",IFERROR(IF(MINIFS(SAISIE!$D$210:$D$409,SAISIE!$B$210:$B$409,"*Vent Arr./Av.*",SAISIE!$E$210:$E$409,$H$443)&gt;=0,MAXIFS(SAISIE!$C$210:$C$409,SAISIE!$B$210:$B$409,"*Vent Arr./Av.*",SAISIE!$E$210:$E$409,$H$443),INDEX(SAISIE!$C$210:$C$409,MATCH(MINIFS(SAISIE!$D$210:$D$409,SAISIE!$B$210:$B$409,"*Vent Arr./Av.*",SAISIE!$E$210:$E$409,$H$443),SAISIE!$D$210:$D$409,0))),"-"))</f>
        <v/>
      </c>
      <c r="C451" s="9">
        <f>IF(OR($H$443="",NOT(COUNTIFS(SAISIE!$B$210:$B$409,"*Vent Arr./Av.*",SAISIE!$E$210:$E$409,$H$443)&gt;0)),"",IFERROR(IF(MINIFS(SAISIE!$D$210:$D$409,SAISIE!$B$210:$B$409,"*Vent Arr./Av.*",SAISIE!$E$210:$E$409,$H$443)&gt;=0,0,MINIFS(SAISIE!$D$210:$D$409,SAISIE!$B$210:$B$409,"*Vent Arr./Av.*",SAISIE!$E$210:$E$409,$H$443)),"-"))</f>
        <v/>
      </c>
      <c r="D451" s="9">
        <f>IF($H$443="","",IF(OR(C451="",C451="-"),"",IF(C451&gt;0,"(soulevement)",IF(C451&lt;0,"(compression)","-"))))</f>
        <v/>
      </c>
    </row>
    <row r="452">
      <c r="A452" s="8">
        <f>IF(OR($H$443="",NOT(MAXIFS(SAISIE!$D$210:$D$409,SAISIE!$B$210:$B$409,"*Vent Arr./Av.*",SAISIE!$E$210:$E$409,$H$443)&gt;0)),"","Vent Arr./Av.")</f>
        <v/>
      </c>
      <c r="B452" s="9">
        <f>IF(OR($H$443="",NOT(MAXIFS(SAISIE!$D$210:$D$409,SAISIE!$B$210:$B$409,"*Vent Arr./Av.*",SAISIE!$E$210:$E$409,$H$443)&gt;0)),"",IFERROR(INDEX(SAISIE!$C$210:$C$409,MATCH(MAXIFS(SAISIE!$D$210:$D$409,SAISIE!$B$210:$B$409,"*Vent Arr./Av.*",SAISIE!$E$210:$E$409,$H$443),SAISIE!$D$210:$D$409,0)),"-"))</f>
        <v/>
      </c>
      <c r="C452" s="9">
        <f>IF(OR($H$443="",NOT(MAXIFS(SAISIE!$D$210:$D$409,SAISIE!$B$210:$B$409,"*Vent Arr./Av.*",SAISIE!$E$210:$E$409,$H$443)&gt;0)),"",IFERROR(MAXIFS(SAISIE!$D$210:$D$409,SAISIE!$B$210:$B$409,"*Vent Arr./Av.*",SAISIE!$E$210:$E$409,$H$443),"-"))</f>
        <v/>
      </c>
      <c r="D452" s="9">
        <f>IF($H$443="","",IF(OR(C452="",C452="-"),"",IF(C452&gt;0,"(soulevement)",IF(C452&lt;0,"(compression)","-"))))</f>
        <v/>
      </c>
    </row>
    <row r="453">
      <c r="A453" s="8">
        <f>IF(OR($H$443="",NOT(TRUE)),"","Neige normale")</f>
        <v/>
      </c>
      <c r="B453" s="9">
        <f>IF($H$443="","",IFERROR(INDEX(SAISIE!$C$210:$C$409,MATCH(MINIFS(SAISIE!$D$210:$D$409,SAISIE!$B$210:$B$409,"*Neige*",SAISIE!$B$210:$B$409,"&lt;&gt;*accidentel*",SAISIE!$E$210:$E$409,$H$443),SAISIE!$D$210:$D$409,0)),"-"))</f>
        <v/>
      </c>
      <c r="C453" s="9">
        <f>IF($H$443="","",IFERROR(INDEX(SAISIE!$D$210:$D$409,MATCH(MINIFS(SAISIE!$D$210:$D$409,SAISIE!$B$210:$B$409,"*Neige*",SAISIE!$B$210:$B$409,"&lt;&gt;*accidentel*",SAISIE!$E$210:$E$409,$H$443),SAISIE!$D$210:$D$409,0)),"-"))</f>
        <v/>
      </c>
      <c r="D453" s="9">
        <f>IF($H$443="","",IF(OR(C453="",C453="-"),"",IF(C453&gt;0,"(soulevement)",IF(C453&lt;0,"(compression)","-"))))</f>
        <v/>
      </c>
    </row>
    <row r="454">
      <c r="A454" s="8">
        <f>IF(OR($H$443="",NOT(TRUE)),"","Neige accidentelle")</f>
        <v/>
      </c>
      <c r="B454" s="9">
        <f>IF($H$443="","",IFERROR(LOOKUP(2,1/((SAISIE!$E$210:$E$409=$H$443)*(ISNUMBER(SEARCH("accidentel",SAISIE!$B$210:$B$409)))),SAISIE!$C$210:$C$409),"-"))</f>
        <v/>
      </c>
      <c r="C454" s="9">
        <f>IF($H$443="","",IFERROR(LOOKUP(2,1/((SAISIE!$E$210:$E$409=$H$443)*(ISNUMBER(SEARCH("accidentel",SAISIE!$B$210:$B$409)))),SAISIE!$D$210:$D$409),"-"))</f>
        <v/>
      </c>
      <c r="D454" s="9">
        <f>IF($H$443="","",IF(OR(C454="",C454="-"),"",IF(C454&gt;0,"(soulevement)",IF(C454&lt;0,"(compression)","-"))))</f>
        <v/>
      </c>
    </row>
    <row r="455">
      <c r="A455" s="6">
        <f>IF($H$455="","","Noeud "&amp;$H$455)</f>
        <v/>
      </c>
      <c r="B455" s="7" t="n"/>
      <c r="C455" s="7" t="n"/>
      <c r="D455" s="7" t="n"/>
      <c r="H455">
        <f>IFERROR(INDEX(SAISIE!$E$210:$E$409,AGGREGATE(15,6,ROW(SAISIE!$E$210:$E$409)-ROW(SAISIE!$E$210)+1/(SAISIE!$E$210:$E$409&lt;&gt;"")/(COUNTIF($H$4:H454,SAISIE!$E$210:$E$409)=0),1)),"")</f>
        <v/>
      </c>
    </row>
    <row r="456">
      <c r="A456" s="8">
        <f>IF(OR($H$455="",NOT(TRUE)),"","Couverture")</f>
        <v/>
      </c>
      <c r="B456" s="9">
        <f>IF($H$455="","",IFERROR(IFERROR(LOOKUP(2,1/((SAISIE!$E$210:$E$409=$H$455)*(LEFT(SAISIE!$B$210:$B$409,2)="G ")),SAISIE!$C$210:$C$409),LOOKUP(2,1/((SAISIE!$E$210:$E$409=$H$455)*(ISNUMBER(SEARCH("Couverture",SAISIE!$B$210:$B$409)))),SAISIE!$C$210:$C$409)),"-"))</f>
        <v/>
      </c>
      <c r="C456" s="9">
        <f>IF($H$455="","",IFERROR(IFERROR(LOOKUP(2,1/((SAISIE!$E$210:$E$409=$H$455)*(LEFT(SAISIE!$B$210:$B$409,2)="G ")),SAISIE!$D$210:$D$409),LOOKUP(2,1/((SAISIE!$E$210:$E$409=$H$455)*(ISNUMBER(SEARCH("Couverture",SAISIE!$B$210:$B$409)))),SAISIE!$D$210:$D$409)),"-"))</f>
        <v/>
      </c>
      <c r="D456" s="9">
        <f>IF($H$455="","",IF(OR(C456="",C456="-"),"",IF(C456&gt;0,"(soulevement)",IF(C456&lt;0,"(compression)","-"))))</f>
        <v/>
      </c>
    </row>
    <row r="457">
      <c r="A457" s="8">
        <f>IF(OR($H$455="",NOT(COUNTIFS(SAISIE!$B$210:$B$409,"*Vent G/D*",SAISIE!$E$210:$E$409,$H$455)&gt;0)),"","Vent G/D")</f>
        <v/>
      </c>
      <c r="B457" s="9">
        <f>IF(OR($H$455="",NOT(COUNTIFS(SAISIE!$B$210:$B$409,"*Vent G/D*",SAISIE!$E$210:$E$409,$H$455)&gt;0)),"",IFERROR(IF(MINIFS(SAISIE!$D$210:$D$409,SAISIE!$B$210:$B$409,"*Vent G/D*",SAISIE!$E$210:$E$409,$H$455)&gt;=0,MAXIFS(SAISIE!$C$210:$C$409,SAISIE!$B$210:$B$409,"*Vent G/D*",SAISIE!$E$210:$E$409,$H$455),INDEX(SAISIE!$C$210:$C$409,MATCH(MINIFS(SAISIE!$D$210:$D$409,SAISIE!$B$210:$B$409,"*Vent G/D*",SAISIE!$E$210:$E$409,$H$455),SAISIE!$D$210:$D$409,0))),"-"))</f>
        <v/>
      </c>
      <c r="C457" s="9">
        <f>IF(OR($H$455="",NOT(COUNTIFS(SAISIE!$B$210:$B$409,"*Vent G/D*",SAISIE!$E$210:$E$409,$H$455)&gt;0)),"",IFERROR(IF(MINIFS(SAISIE!$D$210:$D$409,SAISIE!$B$210:$B$409,"*Vent G/D*",SAISIE!$E$210:$E$409,$H$455)&gt;=0,0,MINIFS(SAISIE!$D$210:$D$409,SAISIE!$B$210:$B$409,"*Vent G/D*",SAISIE!$E$210:$E$409,$H$455)),"-"))</f>
        <v/>
      </c>
      <c r="D457" s="9">
        <f>IF($H$455="","",IF(OR(C457="",C457="-"),"",IF(C457&gt;0,"(soulevement)",IF(C457&lt;0,"(compression)","-"))))</f>
        <v/>
      </c>
    </row>
    <row r="458">
      <c r="A458" s="8">
        <f>IF(OR($H$455="",NOT(MAXIFS(SAISIE!$D$210:$D$409,SAISIE!$B$210:$B$409,"*Vent G/D*",SAISIE!$E$210:$E$409,$H$455)&gt;0)),"","Vent G/D")</f>
        <v/>
      </c>
      <c r="B458" s="9">
        <f>IF(OR($H$455="",NOT(MAXIFS(SAISIE!$D$210:$D$409,SAISIE!$B$210:$B$409,"*Vent G/D*",SAISIE!$E$210:$E$409,$H$455)&gt;0)),"",IFERROR(INDEX(SAISIE!$C$210:$C$409,MATCH(MAXIFS(SAISIE!$D$210:$D$409,SAISIE!$B$210:$B$409,"*Vent G/D*",SAISIE!$E$210:$E$409,$H$455),SAISIE!$D$210:$D$409,0)),"-"))</f>
        <v/>
      </c>
      <c r="C458" s="9">
        <f>IF(OR($H$455="",NOT(MAXIFS(SAISIE!$D$210:$D$409,SAISIE!$B$210:$B$409,"*Vent G/D*",SAISIE!$E$210:$E$409,$H$455)&gt;0)),"",IFERROR(MAXIFS(SAISIE!$D$210:$D$409,SAISIE!$B$210:$B$409,"*Vent G/D*",SAISIE!$E$210:$E$409,$H$455),"-"))</f>
        <v/>
      </c>
      <c r="D458" s="9">
        <f>IF($H$455="","",IF(OR(C458="",C458="-"),"",IF(C458&gt;0,"(soulevement)",IF(C458&lt;0,"(compression)","-"))))</f>
        <v/>
      </c>
    </row>
    <row r="459">
      <c r="A459" s="8">
        <f>IF(OR($H$455="",NOT(COUNTIFS(SAISIE!$B$210:$B$409,"*Vent D/G*",SAISIE!$E$210:$E$409,$H$455)&gt;0)),"","Vent D/G")</f>
        <v/>
      </c>
      <c r="B459" s="9">
        <f>IF(OR($H$455="",NOT(COUNTIFS(SAISIE!$B$210:$B$409,"*Vent D/G*",SAISIE!$E$210:$E$409,$H$455)&gt;0)),"",IFERROR(IF(MINIFS(SAISIE!$D$210:$D$409,SAISIE!$B$210:$B$409,"*Vent D/G*",SAISIE!$E$210:$E$409,$H$455)&gt;=0,MAXIFS(SAISIE!$C$210:$C$409,SAISIE!$B$210:$B$409,"*Vent D/G*",SAISIE!$E$210:$E$409,$H$455),INDEX(SAISIE!$C$210:$C$409,MATCH(MINIFS(SAISIE!$D$210:$D$409,SAISIE!$B$210:$B$409,"*Vent D/G*",SAISIE!$E$210:$E$409,$H$455),SAISIE!$D$210:$D$409,0))),"-"))</f>
        <v/>
      </c>
      <c r="C459" s="9">
        <f>IF(OR($H$455="",NOT(COUNTIFS(SAISIE!$B$210:$B$409,"*Vent D/G*",SAISIE!$E$210:$E$409,$H$455)&gt;0)),"",IFERROR(IF(MINIFS(SAISIE!$D$210:$D$409,SAISIE!$B$210:$B$409,"*Vent D/G*",SAISIE!$E$210:$E$409,$H$455)&gt;=0,0,MINIFS(SAISIE!$D$210:$D$409,SAISIE!$B$210:$B$409,"*Vent D/G*",SAISIE!$E$210:$E$409,$H$455)),"-"))</f>
        <v/>
      </c>
      <c r="D459" s="9">
        <f>IF($H$455="","",IF(OR(C459="",C459="-"),"",IF(C459&gt;0,"(soulevement)",IF(C459&lt;0,"(compression)","-"))))</f>
        <v/>
      </c>
    </row>
    <row r="460">
      <c r="A460" s="8">
        <f>IF(OR($H$455="",NOT(MAXIFS(SAISIE!$D$210:$D$409,SAISIE!$B$210:$B$409,"*Vent D/G*",SAISIE!$E$210:$E$409,$H$455)&gt;0)),"","Vent D/G")</f>
        <v/>
      </c>
      <c r="B460" s="9">
        <f>IF(OR($H$455="",NOT(MAXIFS(SAISIE!$D$210:$D$409,SAISIE!$B$210:$B$409,"*Vent D/G*",SAISIE!$E$210:$E$409,$H$455)&gt;0)),"",IFERROR(INDEX(SAISIE!$C$210:$C$409,MATCH(MAXIFS(SAISIE!$D$210:$D$409,SAISIE!$B$210:$B$409,"*Vent D/G*",SAISIE!$E$210:$E$409,$H$455),SAISIE!$D$210:$D$409,0)),"-"))</f>
        <v/>
      </c>
      <c r="C460" s="9">
        <f>IF(OR($H$455="",NOT(MAXIFS(SAISIE!$D$210:$D$409,SAISIE!$B$210:$B$409,"*Vent D/G*",SAISIE!$E$210:$E$409,$H$455)&gt;0)),"",IFERROR(MAXIFS(SAISIE!$D$210:$D$409,SAISIE!$B$210:$B$409,"*Vent D/G*",SAISIE!$E$210:$E$409,$H$455),"-"))</f>
        <v/>
      </c>
      <c r="D460" s="9">
        <f>IF($H$455="","",IF(OR(C460="",C460="-"),"",IF(C460&gt;0,"(soulevement)",IF(C460&lt;0,"(compression)","-"))))</f>
        <v/>
      </c>
    </row>
    <row r="461">
      <c r="A461" s="8">
        <f>IF(OR($H$455="",NOT(COUNTIFS(SAISIE!$B$210:$B$409,"*Vent Av./Arr.*",SAISIE!$E$210:$E$409,$H$455)&gt;0)),"","Vent Av./Arr.")</f>
        <v/>
      </c>
      <c r="B461" s="9">
        <f>IF(OR($H$455="",NOT(COUNTIFS(SAISIE!$B$210:$B$409,"*Vent Av./Arr.*",SAISIE!$E$210:$E$409,$H$455)&gt;0)),"",IFERROR(IF(MINIFS(SAISIE!$D$210:$D$409,SAISIE!$B$210:$B$409,"*Vent Av./Arr.*",SAISIE!$E$210:$E$409,$H$455)&gt;=0,MAXIFS(SAISIE!$C$210:$C$409,SAISIE!$B$210:$B$409,"*Vent Av./Arr.*",SAISIE!$E$210:$E$409,$H$455),INDEX(SAISIE!$C$210:$C$409,MATCH(MINIFS(SAISIE!$D$210:$D$409,SAISIE!$B$210:$B$409,"*Vent Av./Arr.*",SAISIE!$E$210:$E$409,$H$455),SAISIE!$D$210:$D$409,0))),"-"))</f>
        <v/>
      </c>
      <c r="C461" s="9">
        <f>IF(OR($H$455="",NOT(COUNTIFS(SAISIE!$B$210:$B$409,"*Vent Av./Arr.*",SAISIE!$E$210:$E$409,$H$455)&gt;0)),"",IFERROR(IF(MINIFS(SAISIE!$D$210:$D$409,SAISIE!$B$210:$B$409,"*Vent Av./Arr.*",SAISIE!$E$210:$E$409,$H$455)&gt;=0,0,MINIFS(SAISIE!$D$210:$D$409,SAISIE!$B$210:$B$409,"*Vent Av./Arr.*",SAISIE!$E$210:$E$409,$H$455)),"-"))</f>
        <v/>
      </c>
      <c r="D461" s="9">
        <f>IF($H$455="","",IF(OR(C461="",C461="-"),"",IF(C461&gt;0,"(soulevement)",IF(C461&lt;0,"(compression)","-"))))</f>
        <v/>
      </c>
    </row>
    <row r="462">
      <c r="A462" s="8">
        <f>IF(OR($H$455="",NOT(MAXIFS(SAISIE!$D$210:$D$409,SAISIE!$B$210:$B$409,"*Vent Av./Arr.*",SAISIE!$E$210:$E$409,$H$455)&gt;0)),"","Vent Av./Arr.")</f>
        <v/>
      </c>
      <c r="B462" s="9">
        <f>IF(OR($H$455="",NOT(MAXIFS(SAISIE!$D$210:$D$409,SAISIE!$B$210:$B$409,"*Vent Av./Arr.*",SAISIE!$E$210:$E$409,$H$455)&gt;0)),"",IFERROR(INDEX(SAISIE!$C$210:$C$409,MATCH(MAXIFS(SAISIE!$D$210:$D$409,SAISIE!$B$210:$B$409,"*Vent Av./Arr.*",SAISIE!$E$210:$E$409,$H$455),SAISIE!$D$210:$D$409,0)),"-"))</f>
        <v/>
      </c>
      <c r="C462" s="9">
        <f>IF(OR($H$455="",NOT(MAXIFS(SAISIE!$D$210:$D$409,SAISIE!$B$210:$B$409,"*Vent Av./Arr.*",SAISIE!$E$210:$E$409,$H$455)&gt;0)),"",IFERROR(MAXIFS(SAISIE!$D$210:$D$409,SAISIE!$B$210:$B$409,"*Vent Av./Arr.*",SAISIE!$E$210:$E$409,$H$455),"-"))</f>
        <v/>
      </c>
      <c r="D462" s="9">
        <f>IF($H$455="","",IF(OR(C462="",C462="-"),"",IF(C462&gt;0,"(soulevement)",IF(C462&lt;0,"(compression)","-"))))</f>
        <v/>
      </c>
    </row>
    <row r="463">
      <c r="A463" s="8">
        <f>IF(OR($H$455="",NOT(COUNTIFS(SAISIE!$B$210:$B$409,"*Vent Arr./Av.*",SAISIE!$E$210:$E$409,$H$455)&gt;0)),"","Vent Arr./Av.")</f>
        <v/>
      </c>
      <c r="B463" s="9">
        <f>IF(OR($H$455="",NOT(COUNTIFS(SAISIE!$B$210:$B$409,"*Vent Arr./Av.*",SAISIE!$E$210:$E$409,$H$455)&gt;0)),"",IFERROR(IF(MINIFS(SAISIE!$D$210:$D$409,SAISIE!$B$210:$B$409,"*Vent Arr./Av.*",SAISIE!$E$210:$E$409,$H$455)&gt;=0,MAXIFS(SAISIE!$C$210:$C$409,SAISIE!$B$210:$B$409,"*Vent Arr./Av.*",SAISIE!$E$210:$E$409,$H$455),INDEX(SAISIE!$C$210:$C$409,MATCH(MINIFS(SAISIE!$D$210:$D$409,SAISIE!$B$210:$B$409,"*Vent Arr./Av.*",SAISIE!$E$210:$E$409,$H$455),SAISIE!$D$210:$D$409,0))),"-"))</f>
        <v/>
      </c>
      <c r="C463" s="9">
        <f>IF(OR($H$455="",NOT(COUNTIFS(SAISIE!$B$210:$B$409,"*Vent Arr./Av.*",SAISIE!$E$210:$E$409,$H$455)&gt;0)),"",IFERROR(IF(MINIFS(SAISIE!$D$210:$D$409,SAISIE!$B$210:$B$409,"*Vent Arr./Av.*",SAISIE!$E$210:$E$409,$H$455)&gt;=0,0,MINIFS(SAISIE!$D$210:$D$409,SAISIE!$B$210:$B$409,"*Vent Arr./Av.*",SAISIE!$E$210:$E$409,$H$455)),"-"))</f>
        <v/>
      </c>
      <c r="D463" s="9">
        <f>IF($H$455="","",IF(OR(C463="",C463="-"),"",IF(C463&gt;0,"(soulevement)",IF(C463&lt;0,"(compression)","-"))))</f>
        <v/>
      </c>
    </row>
    <row r="464">
      <c r="A464" s="8">
        <f>IF(OR($H$455="",NOT(MAXIFS(SAISIE!$D$210:$D$409,SAISIE!$B$210:$B$409,"*Vent Arr./Av.*",SAISIE!$E$210:$E$409,$H$455)&gt;0)),"","Vent Arr./Av.")</f>
        <v/>
      </c>
      <c r="B464" s="9">
        <f>IF(OR($H$455="",NOT(MAXIFS(SAISIE!$D$210:$D$409,SAISIE!$B$210:$B$409,"*Vent Arr./Av.*",SAISIE!$E$210:$E$409,$H$455)&gt;0)),"",IFERROR(INDEX(SAISIE!$C$210:$C$409,MATCH(MAXIFS(SAISIE!$D$210:$D$409,SAISIE!$B$210:$B$409,"*Vent Arr./Av.*",SAISIE!$E$210:$E$409,$H$455),SAISIE!$D$210:$D$409,0)),"-"))</f>
        <v/>
      </c>
      <c r="C464" s="9">
        <f>IF(OR($H$455="",NOT(MAXIFS(SAISIE!$D$210:$D$409,SAISIE!$B$210:$B$409,"*Vent Arr./Av.*",SAISIE!$E$210:$E$409,$H$455)&gt;0)),"",IFERROR(MAXIFS(SAISIE!$D$210:$D$409,SAISIE!$B$210:$B$409,"*Vent Arr./Av.*",SAISIE!$E$210:$E$409,$H$455),"-"))</f>
        <v/>
      </c>
      <c r="D464" s="9">
        <f>IF($H$455="","",IF(OR(C464="",C464="-"),"",IF(C464&gt;0,"(soulevement)",IF(C464&lt;0,"(compression)","-"))))</f>
        <v/>
      </c>
    </row>
    <row r="465">
      <c r="A465" s="8">
        <f>IF(OR($H$455="",NOT(TRUE)),"","Neige normale")</f>
        <v/>
      </c>
      <c r="B465" s="9">
        <f>IF($H$455="","",IFERROR(INDEX(SAISIE!$C$210:$C$409,MATCH(MINIFS(SAISIE!$D$210:$D$409,SAISIE!$B$210:$B$409,"*Neige*",SAISIE!$B$210:$B$409,"&lt;&gt;*accidentel*",SAISIE!$E$210:$E$409,$H$455),SAISIE!$D$210:$D$409,0)),"-"))</f>
        <v/>
      </c>
      <c r="C465" s="9">
        <f>IF($H$455="","",IFERROR(INDEX(SAISIE!$D$210:$D$409,MATCH(MINIFS(SAISIE!$D$210:$D$409,SAISIE!$B$210:$B$409,"*Neige*",SAISIE!$B$210:$B$409,"&lt;&gt;*accidentel*",SAISIE!$E$210:$E$409,$H$455),SAISIE!$D$210:$D$409,0)),"-"))</f>
        <v/>
      </c>
      <c r="D465" s="9">
        <f>IF($H$455="","",IF(OR(C465="",C465="-"),"",IF(C465&gt;0,"(soulevement)",IF(C465&lt;0,"(compression)","-"))))</f>
        <v/>
      </c>
    </row>
    <row r="466">
      <c r="A466" s="8">
        <f>IF(OR($H$455="",NOT(TRUE)),"","Neige accidentelle")</f>
        <v/>
      </c>
      <c r="B466" s="9">
        <f>IF($H$455="","",IFERROR(LOOKUP(2,1/((SAISIE!$E$210:$E$409=$H$455)*(ISNUMBER(SEARCH("accidentel",SAISIE!$B$210:$B$409)))),SAISIE!$C$210:$C$409),"-"))</f>
        <v/>
      </c>
      <c r="C466" s="9">
        <f>IF($H$455="","",IFERROR(LOOKUP(2,1/((SAISIE!$E$210:$E$409=$H$455)*(ISNUMBER(SEARCH("accidentel",SAISIE!$B$210:$B$409)))),SAISIE!$D$210:$D$409),"-"))</f>
        <v/>
      </c>
      <c r="D466" s="9">
        <f>IF($H$455="","",IF(OR(C466="",C466="-"),"",IF(C466&gt;0,"(soulevement)",IF(C466&lt;0,"(compression)","-"))))</f>
        <v/>
      </c>
    </row>
    <row r="467">
      <c r="A467" s="6">
        <f>IF($H$467="","","Noeud "&amp;$H$467)</f>
        <v/>
      </c>
      <c r="B467" s="7" t="n"/>
      <c r="C467" s="7" t="n"/>
      <c r="D467" s="7" t="n"/>
      <c r="H467">
        <f>IFERROR(INDEX(SAISIE!$E$210:$E$409,AGGREGATE(15,6,ROW(SAISIE!$E$210:$E$409)-ROW(SAISIE!$E$210)+1/(SAISIE!$E$210:$E$409&lt;&gt;"")/(COUNTIF($H$4:H466,SAISIE!$E$210:$E$409)=0),1)),"")</f>
        <v/>
      </c>
    </row>
    <row r="468">
      <c r="A468" s="8">
        <f>IF(OR($H$467="",NOT(TRUE)),"","Couverture")</f>
        <v/>
      </c>
      <c r="B468" s="9">
        <f>IF($H$467="","",IFERROR(IFERROR(LOOKUP(2,1/((SAISIE!$E$210:$E$409=$H$467)*(LEFT(SAISIE!$B$210:$B$409,2)="G ")),SAISIE!$C$210:$C$409),LOOKUP(2,1/((SAISIE!$E$210:$E$409=$H$467)*(ISNUMBER(SEARCH("Couverture",SAISIE!$B$210:$B$409)))),SAISIE!$C$210:$C$409)),"-"))</f>
        <v/>
      </c>
      <c r="C468" s="9">
        <f>IF($H$467="","",IFERROR(IFERROR(LOOKUP(2,1/((SAISIE!$E$210:$E$409=$H$467)*(LEFT(SAISIE!$B$210:$B$409,2)="G ")),SAISIE!$D$210:$D$409),LOOKUP(2,1/((SAISIE!$E$210:$E$409=$H$467)*(ISNUMBER(SEARCH("Couverture",SAISIE!$B$210:$B$409)))),SAISIE!$D$210:$D$409)),"-"))</f>
        <v/>
      </c>
      <c r="D468" s="9">
        <f>IF($H$467="","",IF(OR(C468="",C468="-"),"",IF(C468&gt;0,"(soulevement)",IF(C468&lt;0,"(compression)","-"))))</f>
        <v/>
      </c>
    </row>
    <row r="469">
      <c r="A469" s="8">
        <f>IF(OR($H$467="",NOT(COUNTIFS(SAISIE!$B$210:$B$409,"*Vent G/D*",SAISIE!$E$210:$E$409,$H$467)&gt;0)),"","Vent G/D")</f>
        <v/>
      </c>
      <c r="B469" s="9">
        <f>IF(OR($H$467="",NOT(COUNTIFS(SAISIE!$B$210:$B$409,"*Vent G/D*",SAISIE!$E$210:$E$409,$H$467)&gt;0)),"",IFERROR(IF(MINIFS(SAISIE!$D$210:$D$409,SAISIE!$B$210:$B$409,"*Vent G/D*",SAISIE!$E$210:$E$409,$H$467)&gt;=0,MAXIFS(SAISIE!$C$210:$C$409,SAISIE!$B$210:$B$409,"*Vent G/D*",SAISIE!$E$210:$E$409,$H$467),INDEX(SAISIE!$C$210:$C$409,MATCH(MINIFS(SAISIE!$D$210:$D$409,SAISIE!$B$210:$B$409,"*Vent G/D*",SAISIE!$E$210:$E$409,$H$467),SAISIE!$D$210:$D$409,0))),"-"))</f>
        <v/>
      </c>
      <c r="C469" s="9">
        <f>IF(OR($H$467="",NOT(COUNTIFS(SAISIE!$B$210:$B$409,"*Vent G/D*",SAISIE!$E$210:$E$409,$H$467)&gt;0)),"",IFERROR(IF(MINIFS(SAISIE!$D$210:$D$409,SAISIE!$B$210:$B$409,"*Vent G/D*",SAISIE!$E$210:$E$409,$H$467)&gt;=0,0,MINIFS(SAISIE!$D$210:$D$409,SAISIE!$B$210:$B$409,"*Vent G/D*",SAISIE!$E$210:$E$409,$H$467)),"-"))</f>
        <v/>
      </c>
      <c r="D469" s="9">
        <f>IF($H$467="","",IF(OR(C469="",C469="-"),"",IF(C469&gt;0,"(soulevement)",IF(C469&lt;0,"(compression)","-"))))</f>
        <v/>
      </c>
    </row>
    <row r="470">
      <c r="A470" s="8">
        <f>IF(OR($H$467="",NOT(MAXIFS(SAISIE!$D$210:$D$409,SAISIE!$B$210:$B$409,"*Vent G/D*",SAISIE!$E$210:$E$409,$H$467)&gt;0)),"","Vent G/D")</f>
        <v/>
      </c>
      <c r="B470" s="9">
        <f>IF(OR($H$467="",NOT(MAXIFS(SAISIE!$D$210:$D$409,SAISIE!$B$210:$B$409,"*Vent G/D*",SAISIE!$E$210:$E$409,$H$467)&gt;0)),"",IFERROR(INDEX(SAISIE!$C$210:$C$409,MATCH(MAXIFS(SAISIE!$D$210:$D$409,SAISIE!$B$210:$B$409,"*Vent G/D*",SAISIE!$E$210:$E$409,$H$467),SAISIE!$D$210:$D$409,0)),"-"))</f>
        <v/>
      </c>
      <c r="C470" s="9">
        <f>IF(OR($H$467="",NOT(MAXIFS(SAISIE!$D$210:$D$409,SAISIE!$B$210:$B$409,"*Vent G/D*",SAISIE!$E$210:$E$409,$H$467)&gt;0)),"",IFERROR(MAXIFS(SAISIE!$D$210:$D$409,SAISIE!$B$210:$B$409,"*Vent G/D*",SAISIE!$E$210:$E$409,$H$467),"-"))</f>
        <v/>
      </c>
      <c r="D470" s="9">
        <f>IF($H$467="","",IF(OR(C470="",C470="-"),"",IF(C470&gt;0,"(soulevement)",IF(C470&lt;0,"(compression)","-"))))</f>
        <v/>
      </c>
    </row>
    <row r="471">
      <c r="A471" s="8">
        <f>IF(OR($H$467="",NOT(COUNTIFS(SAISIE!$B$210:$B$409,"*Vent D/G*",SAISIE!$E$210:$E$409,$H$467)&gt;0)),"","Vent D/G")</f>
        <v/>
      </c>
      <c r="B471" s="9">
        <f>IF(OR($H$467="",NOT(COUNTIFS(SAISIE!$B$210:$B$409,"*Vent D/G*",SAISIE!$E$210:$E$409,$H$467)&gt;0)),"",IFERROR(IF(MINIFS(SAISIE!$D$210:$D$409,SAISIE!$B$210:$B$409,"*Vent D/G*",SAISIE!$E$210:$E$409,$H$467)&gt;=0,MAXIFS(SAISIE!$C$210:$C$409,SAISIE!$B$210:$B$409,"*Vent D/G*",SAISIE!$E$210:$E$409,$H$467),INDEX(SAISIE!$C$210:$C$409,MATCH(MINIFS(SAISIE!$D$210:$D$409,SAISIE!$B$210:$B$409,"*Vent D/G*",SAISIE!$E$210:$E$409,$H$467),SAISIE!$D$210:$D$409,0))),"-"))</f>
        <v/>
      </c>
      <c r="C471" s="9">
        <f>IF(OR($H$467="",NOT(COUNTIFS(SAISIE!$B$210:$B$409,"*Vent D/G*",SAISIE!$E$210:$E$409,$H$467)&gt;0)),"",IFERROR(IF(MINIFS(SAISIE!$D$210:$D$409,SAISIE!$B$210:$B$409,"*Vent D/G*",SAISIE!$E$210:$E$409,$H$467)&gt;=0,0,MINIFS(SAISIE!$D$210:$D$409,SAISIE!$B$210:$B$409,"*Vent D/G*",SAISIE!$E$210:$E$409,$H$467)),"-"))</f>
        <v/>
      </c>
      <c r="D471" s="9">
        <f>IF($H$467="","",IF(OR(C471="",C471="-"),"",IF(C471&gt;0,"(soulevement)",IF(C471&lt;0,"(compression)","-"))))</f>
        <v/>
      </c>
    </row>
    <row r="472">
      <c r="A472" s="8">
        <f>IF(OR($H$467="",NOT(MAXIFS(SAISIE!$D$210:$D$409,SAISIE!$B$210:$B$409,"*Vent D/G*",SAISIE!$E$210:$E$409,$H$467)&gt;0)),"","Vent D/G")</f>
        <v/>
      </c>
      <c r="B472" s="9">
        <f>IF(OR($H$467="",NOT(MAXIFS(SAISIE!$D$210:$D$409,SAISIE!$B$210:$B$409,"*Vent D/G*",SAISIE!$E$210:$E$409,$H$467)&gt;0)),"",IFERROR(INDEX(SAISIE!$C$210:$C$409,MATCH(MAXIFS(SAISIE!$D$210:$D$409,SAISIE!$B$210:$B$409,"*Vent D/G*",SAISIE!$E$210:$E$409,$H$467),SAISIE!$D$210:$D$409,0)),"-"))</f>
        <v/>
      </c>
      <c r="C472" s="9">
        <f>IF(OR($H$467="",NOT(MAXIFS(SAISIE!$D$210:$D$409,SAISIE!$B$210:$B$409,"*Vent D/G*",SAISIE!$E$210:$E$409,$H$467)&gt;0)),"",IFERROR(MAXIFS(SAISIE!$D$210:$D$409,SAISIE!$B$210:$B$409,"*Vent D/G*",SAISIE!$E$210:$E$409,$H$467),"-"))</f>
        <v/>
      </c>
      <c r="D472" s="9">
        <f>IF($H$467="","",IF(OR(C472="",C472="-"),"",IF(C472&gt;0,"(soulevement)",IF(C472&lt;0,"(compression)","-"))))</f>
        <v/>
      </c>
    </row>
    <row r="473">
      <c r="A473" s="8">
        <f>IF(OR($H$467="",NOT(COUNTIFS(SAISIE!$B$210:$B$409,"*Vent Av./Arr.*",SAISIE!$E$210:$E$409,$H$467)&gt;0)),"","Vent Av./Arr.")</f>
        <v/>
      </c>
      <c r="B473" s="9">
        <f>IF(OR($H$467="",NOT(COUNTIFS(SAISIE!$B$210:$B$409,"*Vent Av./Arr.*",SAISIE!$E$210:$E$409,$H$467)&gt;0)),"",IFERROR(IF(MINIFS(SAISIE!$D$210:$D$409,SAISIE!$B$210:$B$409,"*Vent Av./Arr.*",SAISIE!$E$210:$E$409,$H$467)&gt;=0,MAXIFS(SAISIE!$C$210:$C$409,SAISIE!$B$210:$B$409,"*Vent Av./Arr.*",SAISIE!$E$210:$E$409,$H$467),INDEX(SAISIE!$C$210:$C$409,MATCH(MINIFS(SAISIE!$D$210:$D$409,SAISIE!$B$210:$B$409,"*Vent Av./Arr.*",SAISIE!$E$210:$E$409,$H$467),SAISIE!$D$210:$D$409,0))),"-"))</f>
        <v/>
      </c>
      <c r="C473" s="9">
        <f>IF(OR($H$467="",NOT(COUNTIFS(SAISIE!$B$210:$B$409,"*Vent Av./Arr.*",SAISIE!$E$210:$E$409,$H$467)&gt;0)),"",IFERROR(IF(MINIFS(SAISIE!$D$210:$D$409,SAISIE!$B$210:$B$409,"*Vent Av./Arr.*",SAISIE!$E$210:$E$409,$H$467)&gt;=0,0,MINIFS(SAISIE!$D$210:$D$409,SAISIE!$B$210:$B$409,"*Vent Av./Arr.*",SAISIE!$E$210:$E$409,$H$467)),"-"))</f>
        <v/>
      </c>
      <c r="D473" s="9">
        <f>IF($H$467="","",IF(OR(C473="",C473="-"),"",IF(C473&gt;0,"(soulevement)",IF(C473&lt;0,"(compression)","-"))))</f>
        <v/>
      </c>
    </row>
    <row r="474">
      <c r="A474" s="8">
        <f>IF(OR($H$467="",NOT(MAXIFS(SAISIE!$D$210:$D$409,SAISIE!$B$210:$B$409,"*Vent Av./Arr.*",SAISIE!$E$210:$E$409,$H$467)&gt;0)),"","Vent Av./Arr.")</f>
        <v/>
      </c>
      <c r="B474" s="9">
        <f>IF(OR($H$467="",NOT(MAXIFS(SAISIE!$D$210:$D$409,SAISIE!$B$210:$B$409,"*Vent Av./Arr.*",SAISIE!$E$210:$E$409,$H$467)&gt;0)),"",IFERROR(INDEX(SAISIE!$C$210:$C$409,MATCH(MAXIFS(SAISIE!$D$210:$D$409,SAISIE!$B$210:$B$409,"*Vent Av./Arr.*",SAISIE!$E$210:$E$409,$H$467),SAISIE!$D$210:$D$409,0)),"-"))</f>
        <v/>
      </c>
      <c r="C474" s="9">
        <f>IF(OR($H$467="",NOT(MAXIFS(SAISIE!$D$210:$D$409,SAISIE!$B$210:$B$409,"*Vent Av./Arr.*",SAISIE!$E$210:$E$409,$H$467)&gt;0)),"",IFERROR(MAXIFS(SAISIE!$D$210:$D$409,SAISIE!$B$210:$B$409,"*Vent Av./Arr.*",SAISIE!$E$210:$E$409,$H$467),"-"))</f>
        <v/>
      </c>
      <c r="D474" s="9">
        <f>IF($H$467="","",IF(OR(C474="",C474="-"),"",IF(C474&gt;0,"(soulevement)",IF(C474&lt;0,"(compression)","-"))))</f>
        <v/>
      </c>
    </row>
    <row r="475">
      <c r="A475" s="8">
        <f>IF(OR($H$467="",NOT(COUNTIFS(SAISIE!$B$210:$B$409,"*Vent Arr./Av.*",SAISIE!$E$210:$E$409,$H$467)&gt;0)),"","Vent Arr./Av.")</f>
        <v/>
      </c>
      <c r="B475" s="9">
        <f>IF(OR($H$467="",NOT(COUNTIFS(SAISIE!$B$210:$B$409,"*Vent Arr./Av.*",SAISIE!$E$210:$E$409,$H$467)&gt;0)),"",IFERROR(IF(MINIFS(SAISIE!$D$210:$D$409,SAISIE!$B$210:$B$409,"*Vent Arr./Av.*",SAISIE!$E$210:$E$409,$H$467)&gt;=0,MAXIFS(SAISIE!$C$210:$C$409,SAISIE!$B$210:$B$409,"*Vent Arr./Av.*",SAISIE!$E$210:$E$409,$H$467),INDEX(SAISIE!$C$210:$C$409,MATCH(MINIFS(SAISIE!$D$210:$D$409,SAISIE!$B$210:$B$409,"*Vent Arr./Av.*",SAISIE!$E$210:$E$409,$H$467),SAISIE!$D$210:$D$409,0))),"-"))</f>
        <v/>
      </c>
      <c r="C475" s="9">
        <f>IF(OR($H$467="",NOT(COUNTIFS(SAISIE!$B$210:$B$409,"*Vent Arr./Av.*",SAISIE!$E$210:$E$409,$H$467)&gt;0)),"",IFERROR(IF(MINIFS(SAISIE!$D$210:$D$409,SAISIE!$B$210:$B$409,"*Vent Arr./Av.*",SAISIE!$E$210:$E$409,$H$467)&gt;=0,0,MINIFS(SAISIE!$D$210:$D$409,SAISIE!$B$210:$B$409,"*Vent Arr./Av.*",SAISIE!$E$210:$E$409,$H$467)),"-"))</f>
        <v/>
      </c>
      <c r="D475" s="9">
        <f>IF($H$467="","",IF(OR(C475="",C475="-"),"",IF(C475&gt;0,"(soulevement)",IF(C475&lt;0,"(compression)","-"))))</f>
        <v/>
      </c>
    </row>
    <row r="476">
      <c r="A476" s="8">
        <f>IF(OR($H$467="",NOT(MAXIFS(SAISIE!$D$210:$D$409,SAISIE!$B$210:$B$409,"*Vent Arr./Av.*",SAISIE!$E$210:$E$409,$H$467)&gt;0)),"","Vent Arr./Av.")</f>
        <v/>
      </c>
      <c r="B476" s="9">
        <f>IF(OR($H$467="",NOT(MAXIFS(SAISIE!$D$210:$D$409,SAISIE!$B$210:$B$409,"*Vent Arr./Av.*",SAISIE!$E$210:$E$409,$H$467)&gt;0)),"",IFERROR(INDEX(SAISIE!$C$210:$C$409,MATCH(MAXIFS(SAISIE!$D$210:$D$409,SAISIE!$B$210:$B$409,"*Vent Arr./Av.*",SAISIE!$E$210:$E$409,$H$467),SAISIE!$D$210:$D$409,0)),"-"))</f>
        <v/>
      </c>
      <c r="C476" s="9">
        <f>IF(OR($H$467="",NOT(MAXIFS(SAISIE!$D$210:$D$409,SAISIE!$B$210:$B$409,"*Vent Arr./Av.*",SAISIE!$E$210:$E$409,$H$467)&gt;0)),"",IFERROR(MAXIFS(SAISIE!$D$210:$D$409,SAISIE!$B$210:$B$409,"*Vent Arr./Av.*",SAISIE!$E$210:$E$409,$H$467),"-"))</f>
        <v/>
      </c>
      <c r="D476" s="9">
        <f>IF($H$467="","",IF(OR(C476="",C476="-"),"",IF(C476&gt;0,"(soulevement)",IF(C476&lt;0,"(compression)","-"))))</f>
        <v/>
      </c>
    </row>
    <row r="477">
      <c r="A477" s="8">
        <f>IF(OR($H$467="",NOT(TRUE)),"","Neige normale")</f>
        <v/>
      </c>
      <c r="B477" s="9">
        <f>IF($H$467="","",IFERROR(INDEX(SAISIE!$C$210:$C$409,MATCH(MINIFS(SAISIE!$D$210:$D$409,SAISIE!$B$210:$B$409,"*Neige*",SAISIE!$B$210:$B$409,"&lt;&gt;*accidentel*",SAISIE!$E$210:$E$409,$H$467),SAISIE!$D$210:$D$409,0)),"-"))</f>
        <v/>
      </c>
      <c r="C477" s="9">
        <f>IF($H$467="","",IFERROR(INDEX(SAISIE!$D$210:$D$409,MATCH(MINIFS(SAISIE!$D$210:$D$409,SAISIE!$B$210:$B$409,"*Neige*",SAISIE!$B$210:$B$409,"&lt;&gt;*accidentel*",SAISIE!$E$210:$E$409,$H$467),SAISIE!$D$210:$D$409,0)),"-"))</f>
        <v/>
      </c>
      <c r="D477" s="9">
        <f>IF($H$467="","",IF(OR(C477="",C477="-"),"",IF(C477&gt;0,"(soulevement)",IF(C477&lt;0,"(compression)","-"))))</f>
        <v/>
      </c>
    </row>
    <row r="478">
      <c r="A478" s="8">
        <f>IF(OR($H$467="",NOT(TRUE)),"","Neige accidentelle")</f>
        <v/>
      </c>
      <c r="B478" s="9">
        <f>IF($H$467="","",IFERROR(LOOKUP(2,1/((SAISIE!$E$210:$E$409=$H$467)*(ISNUMBER(SEARCH("accidentel",SAISIE!$B$210:$B$409)))),SAISIE!$C$210:$C$409),"-"))</f>
        <v/>
      </c>
      <c r="C478" s="9">
        <f>IF($H$467="","",IFERROR(LOOKUP(2,1/((SAISIE!$E$210:$E$409=$H$467)*(ISNUMBER(SEARCH("accidentel",SAISIE!$B$210:$B$409)))),SAISIE!$D$210:$D$409),"-"))</f>
        <v/>
      </c>
      <c r="D478" s="9">
        <f>IF($H$467="","",IF(OR(C478="",C478="-"),"",IF(C478&gt;0,"(soulevement)",IF(C478&lt;0,"(compression)","-"))))</f>
        <v/>
      </c>
    </row>
    <row r="479">
      <c r="A479" s="6">
        <f>IF($H$479="","","Noeud "&amp;$H$479)</f>
        <v/>
      </c>
      <c r="B479" s="7" t="n"/>
      <c r="C479" s="7" t="n"/>
      <c r="D479" s="7" t="n"/>
      <c r="H479">
        <f>IFERROR(INDEX(SAISIE!$E$210:$E$409,AGGREGATE(15,6,ROW(SAISIE!$E$210:$E$409)-ROW(SAISIE!$E$210)+1/(SAISIE!$E$210:$E$409&lt;&gt;"")/(COUNTIF($H$4:H478,SAISIE!$E$210:$E$409)=0),1)),"")</f>
        <v/>
      </c>
    </row>
    <row r="480">
      <c r="A480" s="8">
        <f>IF(OR($H$479="",NOT(TRUE)),"","Couverture")</f>
        <v/>
      </c>
      <c r="B480" s="9">
        <f>IF($H$479="","",IFERROR(IFERROR(LOOKUP(2,1/((SAISIE!$E$210:$E$409=$H$479)*(LEFT(SAISIE!$B$210:$B$409,2)="G ")),SAISIE!$C$210:$C$409),LOOKUP(2,1/((SAISIE!$E$210:$E$409=$H$479)*(ISNUMBER(SEARCH("Couverture",SAISIE!$B$210:$B$409)))),SAISIE!$C$210:$C$409)),"-"))</f>
        <v/>
      </c>
      <c r="C480" s="9">
        <f>IF($H$479="","",IFERROR(IFERROR(LOOKUP(2,1/((SAISIE!$E$210:$E$409=$H$479)*(LEFT(SAISIE!$B$210:$B$409,2)="G ")),SAISIE!$D$210:$D$409),LOOKUP(2,1/((SAISIE!$E$210:$E$409=$H$479)*(ISNUMBER(SEARCH("Couverture",SAISIE!$B$210:$B$409)))),SAISIE!$D$210:$D$409)),"-"))</f>
        <v/>
      </c>
      <c r="D480" s="9">
        <f>IF($H$479="","",IF(OR(C480="",C480="-"),"",IF(C480&gt;0,"(soulevement)",IF(C480&lt;0,"(compression)","-"))))</f>
        <v/>
      </c>
    </row>
    <row r="481">
      <c r="A481" s="8">
        <f>IF(OR($H$479="",NOT(COUNTIFS(SAISIE!$B$210:$B$409,"*Vent G/D*",SAISIE!$E$210:$E$409,$H$479)&gt;0)),"","Vent G/D")</f>
        <v/>
      </c>
      <c r="B481" s="9">
        <f>IF(OR($H$479="",NOT(COUNTIFS(SAISIE!$B$210:$B$409,"*Vent G/D*",SAISIE!$E$210:$E$409,$H$479)&gt;0)),"",IFERROR(IF(MINIFS(SAISIE!$D$210:$D$409,SAISIE!$B$210:$B$409,"*Vent G/D*",SAISIE!$E$210:$E$409,$H$479)&gt;=0,MAXIFS(SAISIE!$C$210:$C$409,SAISIE!$B$210:$B$409,"*Vent G/D*",SAISIE!$E$210:$E$409,$H$479),INDEX(SAISIE!$C$210:$C$409,MATCH(MINIFS(SAISIE!$D$210:$D$409,SAISIE!$B$210:$B$409,"*Vent G/D*",SAISIE!$E$210:$E$409,$H$479),SAISIE!$D$210:$D$409,0))),"-"))</f>
        <v/>
      </c>
      <c r="C481" s="9">
        <f>IF(OR($H$479="",NOT(COUNTIFS(SAISIE!$B$210:$B$409,"*Vent G/D*",SAISIE!$E$210:$E$409,$H$479)&gt;0)),"",IFERROR(IF(MINIFS(SAISIE!$D$210:$D$409,SAISIE!$B$210:$B$409,"*Vent G/D*",SAISIE!$E$210:$E$409,$H$479)&gt;=0,0,MINIFS(SAISIE!$D$210:$D$409,SAISIE!$B$210:$B$409,"*Vent G/D*",SAISIE!$E$210:$E$409,$H$479)),"-"))</f>
        <v/>
      </c>
      <c r="D481" s="9">
        <f>IF($H$479="","",IF(OR(C481="",C481="-"),"",IF(C481&gt;0,"(soulevement)",IF(C481&lt;0,"(compression)","-"))))</f>
        <v/>
      </c>
    </row>
    <row r="482">
      <c r="A482" s="8">
        <f>IF(OR($H$479="",NOT(MAXIFS(SAISIE!$D$210:$D$409,SAISIE!$B$210:$B$409,"*Vent G/D*",SAISIE!$E$210:$E$409,$H$479)&gt;0)),"","Vent G/D")</f>
        <v/>
      </c>
      <c r="B482" s="9">
        <f>IF(OR($H$479="",NOT(MAXIFS(SAISIE!$D$210:$D$409,SAISIE!$B$210:$B$409,"*Vent G/D*",SAISIE!$E$210:$E$409,$H$479)&gt;0)),"",IFERROR(INDEX(SAISIE!$C$210:$C$409,MATCH(MAXIFS(SAISIE!$D$210:$D$409,SAISIE!$B$210:$B$409,"*Vent G/D*",SAISIE!$E$210:$E$409,$H$479),SAISIE!$D$210:$D$409,0)),"-"))</f>
        <v/>
      </c>
      <c r="C482" s="9">
        <f>IF(OR($H$479="",NOT(MAXIFS(SAISIE!$D$210:$D$409,SAISIE!$B$210:$B$409,"*Vent G/D*",SAISIE!$E$210:$E$409,$H$479)&gt;0)),"",IFERROR(MAXIFS(SAISIE!$D$210:$D$409,SAISIE!$B$210:$B$409,"*Vent G/D*",SAISIE!$E$210:$E$409,$H$479),"-"))</f>
        <v/>
      </c>
      <c r="D482" s="9">
        <f>IF($H$479="","",IF(OR(C482="",C482="-"),"",IF(C482&gt;0,"(soulevement)",IF(C482&lt;0,"(compression)","-"))))</f>
        <v/>
      </c>
    </row>
    <row r="483">
      <c r="A483" s="8">
        <f>IF(OR($H$479="",NOT(COUNTIFS(SAISIE!$B$210:$B$409,"*Vent D/G*",SAISIE!$E$210:$E$409,$H$479)&gt;0)),"","Vent D/G")</f>
        <v/>
      </c>
      <c r="B483" s="9">
        <f>IF(OR($H$479="",NOT(COUNTIFS(SAISIE!$B$210:$B$409,"*Vent D/G*",SAISIE!$E$210:$E$409,$H$479)&gt;0)),"",IFERROR(IF(MINIFS(SAISIE!$D$210:$D$409,SAISIE!$B$210:$B$409,"*Vent D/G*",SAISIE!$E$210:$E$409,$H$479)&gt;=0,MAXIFS(SAISIE!$C$210:$C$409,SAISIE!$B$210:$B$409,"*Vent D/G*",SAISIE!$E$210:$E$409,$H$479),INDEX(SAISIE!$C$210:$C$409,MATCH(MINIFS(SAISIE!$D$210:$D$409,SAISIE!$B$210:$B$409,"*Vent D/G*",SAISIE!$E$210:$E$409,$H$479),SAISIE!$D$210:$D$409,0))),"-"))</f>
        <v/>
      </c>
      <c r="C483" s="9">
        <f>IF(OR($H$479="",NOT(COUNTIFS(SAISIE!$B$210:$B$409,"*Vent D/G*",SAISIE!$E$210:$E$409,$H$479)&gt;0)),"",IFERROR(IF(MINIFS(SAISIE!$D$210:$D$409,SAISIE!$B$210:$B$409,"*Vent D/G*",SAISIE!$E$210:$E$409,$H$479)&gt;=0,0,MINIFS(SAISIE!$D$210:$D$409,SAISIE!$B$210:$B$409,"*Vent D/G*",SAISIE!$E$210:$E$409,$H$479)),"-"))</f>
        <v/>
      </c>
      <c r="D483" s="9">
        <f>IF($H$479="","",IF(OR(C483="",C483="-"),"",IF(C483&gt;0,"(soulevement)",IF(C483&lt;0,"(compression)","-"))))</f>
        <v/>
      </c>
    </row>
    <row r="484">
      <c r="A484" s="8">
        <f>IF(OR($H$479="",NOT(MAXIFS(SAISIE!$D$210:$D$409,SAISIE!$B$210:$B$409,"*Vent D/G*",SAISIE!$E$210:$E$409,$H$479)&gt;0)),"","Vent D/G")</f>
        <v/>
      </c>
      <c r="B484" s="9">
        <f>IF(OR($H$479="",NOT(MAXIFS(SAISIE!$D$210:$D$409,SAISIE!$B$210:$B$409,"*Vent D/G*",SAISIE!$E$210:$E$409,$H$479)&gt;0)),"",IFERROR(INDEX(SAISIE!$C$210:$C$409,MATCH(MAXIFS(SAISIE!$D$210:$D$409,SAISIE!$B$210:$B$409,"*Vent D/G*",SAISIE!$E$210:$E$409,$H$479),SAISIE!$D$210:$D$409,0)),"-"))</f>
        <v/>
      </c>
      <c r="C484" s="9">
        <f>IF(OR($H$479="",NOT(MAXIFS(SAISIE!$D$210:$D$409,SAISIE!$B$210:$B$409,"*Vent D/G*",SAISIE!$E$210:$E$409,$H$479)&gt;0)),"",IFERROR(MAXIFS(SAISIE!$D$210:$D$409,SAISIE!$B$210:$B$409,"*Vent D/G*",SAISIE!$E$210:$E$409,$H$479),"-"))</f>
        <v/>
      </c>
      <c r="D484" s="9">
        <f>IF($H$479="","",IF(OR(C484="",C484="-"),"",IF(C484&gt;0,"(soulevement)",IF(C484&lt;0,"(compression)","-"))))</f>
        <v/>
      </c>
    </row>
    <row r="485">
      <c r="A485" s="8">
        <f>IF(OR($H$479="",NOT(COUNTIFS(SAISIE!$B$210:$B$409,"*Vent Av./Arr.*",SAISIE!$E$210:$E$409,$H$479)&gt;0)),"","Vent Av./Arr.")</f>
        <v/>
      </c>
      <c r="B485" s="9">
        <f>IF(OR($H$479="",NOT(COUNTIFS(SAISIE!$B$210:$B$409,"*Vent Av./Arr.*",SAISIE!$E$210:$E$409,$H$479)&gt;0)),"",IFERROR(IF(MINIFS(SAISIE!$D$210:$D$409,SAISIE!$B$210:$B$409,"*Vent Av./Arr.*",SAISIE!$E$210:$E$409,$H$479)&gt;=0,MAXIFS(SAISIE!$C$210:$C$409,SAISIE!$B$210:$B$409,"*Vent Av./Arr.*",SAISIE!$E$210:$E$409,$H$479),INDEX(SAISIE!$C$210:$C$409,MATCH(MINIFS(SAISIE!$D$210:$D$409,SAISIE!$B$210:$B$409,"*Vent Av./Arr.*",SAISIE!$E$210:$E$409,$H$479),SAISIE!$D$210:$D$409,0))),"-"))</f>
        <v/>
      </c>
      <c r="C485" s="9">
        <f>IF(OR($H$479="",NOT(COUNTIFS(SAISIE!$B$210:$B$409,"*Vent Av./Arr.*",SAISIE!$E$210:$E$409,$H$479)&gt;0)),"",IFERROR(IF(MINIFS(SAISIE!$D$210:$D$409,SAISIE!$B$210:$B$409,"*Vent Av./Arr.*",SAISIE!$E$210:$E$409,$H$479)&gt;=0,0,MINIFS(SAISIE!$D$210:$D$409,SAISIE!$B$210:$B$409,"*Vent Av./Arr.*",SAISIE!$E$210:$E$409,$H$479)),"-"))</f>
        <v/>
      </c>
      <c r="D485" s="9">
        <f>IF($H$479="","",IF(OR(C485="",C485="-"),"",IF(C485&gt;0,"(soulevement)",IF(C485&lt;0,"(compression)","-"))))</f>
        <v/>
      </c>
    </row>
    <row r="486">
      <c r="A486" s="8">
        <f>IF(OR($H$479="",NOT(MAXIFS(SAISIE!$D$210:$D$409,SAISIE!$B$210:$B$409,"*Vent Av./Arr.*",SAISIE!$E$210:$E$409,$H$479)&gt;0)),"","Vent Av./Arr.")</f>
        <v/>
      </c>
      <c r="B486" s="9">
        <f>IF(OR($H$479="",NOT(MAXIFS(SAISIE!$D$210:$D$409,SAISIE!$B$210:$B$409,"*Vent Av./Arr.*",SAISIE!$E$210:$E$409,$H$479)&gt;0)),"",IFERROR(INDEX(SAISIE!$C$210:$C$409,MATCH(MAXIFS(SAISIE!$D$210:$D$409,SAISIE!$B$210:$B$409,"*Vent Av./Arr.*",SAISIE!$E$210:$E$409,$H$479),SAISIE!$D$210:$D$409,0)),"-"))</f>
        <v/>
      </c>
      <c r="C486" s="9">
        <f>IF(OR($H$479="",NOT(MAXIFS(SAISIE!$D$210:$D$409,SAISIE!$B$210:$B$409,"*Vent Av./Arr.*",SAISIE!$E$210:$E$409,$H$479)&gt;0)),"",IFERROR(MAXIFS(SAISIE!$D$210:$D$409,SAISIE!$B$210:$B$409,"*Vent Av./Arr.*",SAISIE!$E$210:$E$409,$H$479),"-"))</f>
        <v/>
      </c>
      <c r="D486" s="9">
        <f>IF($H$479="","",IF(OR(C486="",C486="-"),"",IF(C486&gt;0,"(soulevement)",IF(C486&lt;0,"(compression)","-"))))</f>
        <v/>
      </c>
    </row>
    <row r="487">
      <c r="A487" s="8">
        <f>IF(OR($H$479="",NOT(COUNTIFS(SAISIE!$B$210:$B$409,"*Vent Arr./Av.*",SAISIE!$E$210:$E$409,$H$479)&gt;0)),"","Vent Arr./Av.")</f>
        <v/>
      </c>
      <c r="B487" s="9">
        <f>IF(OR($H$479="",NOT(COUNTIFS(SAISIE!$B$210:$B$409,"*Vent Arr./Av.*",SAISIE!$E$210:$E$409,$H$479)&gt;0)),"",IFERROR(IF(MINIFS(SAISIE!$D$210:$D$409,SAISIE!$B$210:$B$409,"*Vent Arr./Av.*",SAISIE!$E$210:$E$409,$H$479)&gt;=0,MAXIFS(SAISIE!$C$210:$C$409,SAISIE!$B$210:$B$409,"*Vent Arr./Av.*",SAISIE!$E$210:$E$409,$H$479),INDEX(SAISIE!$C$210:$C$409,MATCH(MINIFS(SAISIE!$D$210:$D$409,SAISIE!$B$210:$B$409,"*Vent Arr./Av.*",SAISIE!$E$210:$E$409,$H$479),SAISIE!$D$210:$D$409,0))),"-"))</f>
        <v/>
      </c>
      <c r="C487" s="9">
        <f>IF(OR($H$479="",NOT(COUNTIFS(SAISIE!$B$210:$B$409,"*Vent Arr./Av.*",SAISIE!$E$210:$E$409,$H$479)&gt;0)),"",IFERROR(IF(MINIFS(SAISIE!$D$210:$D$409,SAISIE!$B$210:$B$409,"*Vent Arr./Av.*",SAISIE!$E$210:$E$409,$H$479)&gt;=0,0,MINIFS(SAISIE!$D$210:$D$409,SAISIE!$B$210:$B$409,"*Vent Arr./Av.*",SAISIE!$E$210:$E$409,$H$479)),"-"))</f>
        <v/>
      </c>
      <c r="D487" s="9">
        <f>IF($H$479="","",IF(OR(C487="",C487="-"),"",IF(C487&gt;0,"(soulevement)",IF(C487&lt;0,"(compression)","-"))))</f>
        <v/>
      </c>
    </row>
    <row r="488">
      <c r="A488" s="8">
        <f>IF(OR($H$479="",NOT(MAXIFS(SAISIE!$D$210:$D$409,SAISIE!$B$210:$B$409,"*Vent Arr./Av.*",SAISIE!$E$210:$E$409,$H$479)&gt;0)),"","Vent Arr./Av.")</f>
        <v/>
      </c>
      <c r="B488" s="9">
        <f>IF(OR($H$479="",NOT(MAXIFS(SAISIE!$D$210:$D$409,SAISIE!$B$210:$B$409,"*Vent Arr./Av.*",SAISIE!$E$210:$E$409,$H$479)&gt;0)),"",IFERROR(INDEX(SAISIE!$C$210:$C$409,MATCH(MAXIFS(SAISIE!$D$210:$D$409,SAISIE!$B$210:$B$409,"*Vent Arr./Av.*",SAISIE!$E$210:$E$409,$H$479),SAISIE!$D$210:$D$409,0)),"-"))</f>
        <v/>
      </c>
      <c r="C488" s="9">
        <f>IF(OR($H$479="",NOT(MAXIFS(SAISIE!$D$210:$D$409,SAISIE!$B$210:$B$409,"*Vent Arr./Av.*",SAISIE!$E$210:$E$409,$H$479)&gt;0)),"",IFERROR(MAXIFS(SAISIE!$D$210:$D$409,SAISIE!$B$210:$B$409,"*Vent Arr./Av.*",SAISIE!$E$210:$E$409,$H$479),"-"))</f>
        <v/>
      </c>
      <c r="D488" s="9">
        <f>IF($H$479="","",IF(OR(C488="",C488="-"),"",IF(C488&gt;0,"(soulevement)",IF(C488&lt;0,"(compression)","-"))))</f>
        <v/>
      </c>
    </row>
    <row r="489">
      <c r="A489" s="8">
        <f>IF(OR($H$479="",NOT(TRUE)),"","Neige normale")</f>
        <v/>
      </c>
      <c r="B489" s="9">
        <f>IF($H$479="","",IFERROR(INDEX(SAISIE!$C$210:$C$409,MATCH(MINIFS(SAISIE!$D$210:$D$409,SAISIE!$B$210:$B$409,"*Neige*",SAISIE!$B$210:$B$409,"&lt;&gt;*accidentel*",SAISIE!$E$210:$E$409,$H$479),SAISIE!$D$210:$D$409,0)),"-"))</f>
        <v/>
      </c>
      <c r="C489" s="9">
        <f>IF($H$479="","",IFERROR(INDEX(SAISIE!$D$210:$D$409,MATCH(MINIFS(SAISIE!$D$210:$D$409,SAISIE!$B$210:$B$409,"*Neige*",SAISIE!$B$210:$B$409,"&lt;&gt;*accidentel*",SAISIE!$E$210:$E$409,$H$479),SAISIE!$D$210:$D$409,0)),"-"))</f>
        <v/>
      </c>
      <c r="D489" s="9">
        <f>IF($H$479="","",IF(OR(C489="",C489="-"),"",IF(C489&gt;0,"(soulevement)",IF(C489&lt;0,"(compression)","-"))))</f>
        <v/>
      </c>
    </row>
    <row r="490">
      <c r="A490" s="8">
        <f>IF(OR($H$479="",NOT(TRUE)),"","Neige accidentelle")</f>
        <v/>
      </c>
      <c r="B490" s="9">
        <f>IF($H$479="","",IFERROR(LOOKUP(2,1/((SAISIE!$E$210:$E$409=$H$479)*(ISNUMBER(SEARCH("accidentel",SAISIE!$B$210:$B$409)))),SAISIE!$C$210:$C$409),"-"))</f>
        <v/>
      </c>
      <c r="C490" s="9">
        <f>IF($H$479="","",IFERROR(LOOKUP(2,1/((SAISIE!$E$210:$E$409=$H$479)*(ISNUMBER(SEARCH("accidentel",SAISIE!$B$210:$B$409)))),SAISIE!$D$210:$D$409),"-"))</f>
        <v/>
      </c>
      <c r="D490" s="9">
        <f>IF($H$479="","",IF(OR(C490="",C490="-"),"",IF(C490&gt;0,"(soulevement)",IF(C490&lt;0,"(compression)","-"))))</f>
        <v/>
      </c>
    </row>
  </sheetData>
  <mergeCells count="44">
    <mergeCell ref="A263:D263"/>
    <mergeCell ref="A479:D479"/>
    <mergeCell ref="A311:D311"/>
    <mergeCell ref="A395:D395"/>
    <mergeCell ref="A371:D371"/>
    <mergeCell ref="A1:E1"/>
    <mergeCell ref="A103:E103"/>
    <mergeCell ref="A407:D407"/>
    <mergeCell ref="A323:D323"/>
    <mergeCell ref="A299:D299"/>
    <mergeCell ref="A79:E79"/>
    <mergeCell ref="A249:D249"/>
    <mergeCell ref="A347:D347"/>
    <mergeCell ref="A187:E187"/>
    <mergeCell ref="A7:E7"/>
    <mergeCell ref="A455:D455"/>
    <mergeCell ref="A431:D431"/>
    <mergeCell ref="A275:D275"/>
    <mergeCell ref="A223:E223"/>
    <mergeCell ref="A383:D383"/>
    <mergeCell ref="A467:D467"/>
    <mergeCell ref="A55:E55"/>
    <mergeCell ref="A287:D287"/>
    <mergeCell ref="A163:E163"/>
    <mergeCell ref="A139:E139"/>
    <mergeCell ref="A2:E2"/>
    <mergeCell ref="A359:D359"/>
    <mergeCell ref="A175:E175"/>
    <mergeCell ref="A151:E151"/>
    <mergeCell ref="A235:E235"/>
    <mergeCell ref="A5:E5"/>
    <mergeCell ref="A335:D335"/>
    <mergeCell ref="A419:D419"/>
    <mergeCell ref="A91:E91"/>
    <mergeCell ref="A43:E43"/>
    <mergeCell ref="A199:E199"/>
    <mergeCell ref="A443:D443"/>
    <mergeCell ref="A19:E19"/>
    <mergeCell ref="A211:E211"/>
    <mergeCell ref="A115:E115"/>
    <mergeCell ref="A251:D251"/>
    <mergeCell ref="A31:E31"/>
    <mergeCell ref="A127:E127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2026-06-18T15:41:34Z</dcterms:created>
  <dcterms:modified xsi:type="dcterms:W3CDTF">2026-06-18T15:41:34Z</dcterms:modified>
</cp:coreProperties>
</file>