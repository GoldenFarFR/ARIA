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EMPLOI" sheetId="1" state="visible" r:id="rId1"/>
    <sheet name="SAISIE" sheetId="2" state="visible" r:id="rId2"/>
    <sheet name="SYNTHE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sz val="11"/>
    </font>
    <font>
      <name val="Arial"/>
      <i val="1"/>
      <color rgb="00404040"/>
      <sz val="10"/>
    </font>
    <font>
      <name val="Arial"/>
      <b val="1"/>
      <color rgb="00FFFFFF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0" fillId="3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DonneesCas" displayName="DonneesCas" ref="A5:E504" headerRowCount="1">
  <autoFilter ref="A5:E504"/>
  <tableColumns count="5">
    <tableColumn id="1" name="None"/>
    <tableColumn id="2" name="None"/>
    <tableColumn id="3" name="None"/>
    <tableColumn id="4" name="None"/>
    <tableColumn id="5" name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MODE D'EMPLOI</t>
        </is>
      </c>
    </row>
    <row r="3">
      <c r="A3" s="2" t="inlineStr"/>
    </row>
    <row r="4">
      <c r="A4" s="2" t="inlineStr">
        <is>
          <t>Prerequis : Excel 365 ou Excel 2021 (SYNTHESE!D4 = OK).</t>
        </is>
      </c>
    </row>
    <row r="5">
      <c r="A5" s="2" t="inlineStr"/>
    </row>
    <row r="6">
      <c r="A6" s="2" t="inlineStr">
        <is>
          <t>1. SAISIE : collez les cas d'un seul noeud (colonnes A a E).</t>
        </is>
      </c>
    </row>
    <row r="7">
      <c r="A7" s="2" t="inlineStr">
        <is>
          <t>2. SYNTHESE : se remplit toute seule — pas de filtre noeud.</t>
        </is>
      </c>
    </row>
    <row r="8">
      <c r="A8" s="2" t="inlineStr">
        <is>
          <t>3. B3 = Oui si colonne FY remplie (stabilite 3D), sinon Non.</t>
        </is>
      </c>
    </row>
    <row r="9">
      <c r="A9" s="2" t="inlineStr"/>
    </row>
    <row r="10">
      <c r="A10" s="2" t="inlineStr">
        <is>
          <t>Conservez les noms standards : Vent G/D, Vent D/G, Neige cas I, etc.</t>
        </is>
      </c>
    </row>
    <row r="11">
      <c r="A11" s="2" t="inlineStr">
        <is>
          <t>Dupliquez ce fichier pour chaque projet.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1 — SAISIE DES CAS DE CHARGE</t>
        </is>
      </c>
    </row>
    <row r="2">
      <c r="A2" s="3" t="inlineStr">
        <is>
          <t>Collez vos cas bruts ici (1 noeud a la fois). La synthese se met a jour automatiquement.</t>
        </is>
      </c>
    </row>
    <row r="4">
      <c r="A4" s="4" t="inlineStr">
        <is>
          <t>Noeud_Cas</t>
        </is>
      </c>
      <c r="B4" s="4" t="inlineStr">
        <is>
          <t>Nom_cas</t>
        </is>
      </c>
      <c r="C4" s="4" t="inlineStr">
        <is>
          <t>FX_daN</t>
        </is>
      </c>
      <c r="D4" s="4" t="inlineStr">
        <is>
          <t>FY_daN</t>
        </is>
      </c>
      <c r="E4" s="4" t="inlineStr">
        <is>
          <t>FZ_daN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2 — SYNTHESE (automatique)</t>
        </is>
      </c>
    </row>
    <row r="3">
      <c r="A3" s="5" t="inlineStr">
        <is>
          <t>Stabilite 3D — afficher FY :</t>
        </is>
      </c>
      <c r="B3" s="6" t="inlineStr">
        <is>
          <t>Oui</t>
        </is>
      </c>
      <c r="D3" t="inlineStr">
        <is>
          <t>Excel</t>
        </is>
      </c>
    </row>
    <row r="4">
      <c r="D4">
        <f>IF(ISERROR(FILTER(A1:A2,A1&lt;&gt;"")),"365 requis","OK")</f>
        <v/>
      </c>
    </row>
    <row r="5">
      <c r="A5" s="4" t="inlineStr">
        <is>
          <t>Nom du cas</t>
        </is>
      </c>
      <c r="B5" s="4" t="inlineStr">
        <is>
          <t>FX [daN]</t>
        </is>
      </c>
      <c r="C5" s="4" t="inlineStr">
        <is>
          <t>FY [daN]</t>
        </is>
      </c>
      <c r="D5" s="4" t="inlineStr">
        <is>
          <t>FZ [daN]</t>
        </is>
      </c>
      <c r="E5" s="4" t="inlineStr">
        <is>
          <t>Note</t>
        </is>
      </c>
    </row>
    <row r="6">
      <c r="A6" s="7" t="inlineStr">
        <is>
          <t>Couverture</t>
        </is>
      </c>
      <c r="B6" s="8">
        <f>IFERROR(LET(v,FILTER(SAISIE!$C$5:$C$504,(OR(ISNUMBER(SEARCH("Couverture",SAISIE!$B$5:$B$504)),LEFT(SAISIE!$B$5:$B$504,2)="G "))),IF(COUNT(v)=0,"-",INDEX(v,1))),"-")</f>
        <v/>
      </c>
      <c r="C6" s="8">
        <f>IF($B$3&lt;&gt;"Oui","",IFERROR(LET(v,FILTER(SAISIE!$D$5:$D$504,(OR(ISNUMBER(SEARCH("Couverture",SAISIE!$B$5:$B$504)),LEFT(SAISIE!$B$5:$B$504,2)="G "))),IF(COUNT(v)=0,"-",INDEX(v,1))),"-"))</f>
        <v/>
      </c>
      <c r="D6" s="8">
        <f>IFERROR(LET(v,FILTER(SAISIE!$E$5:$E$504,(OR(ISNUMBER(SEARCH("Couverture",SAISIE!$B$5:$B$504)),LEFT(SAISIE!$B$5:$B$504,2)="G "))),IF(COUNT(v)=0,"-",INDEX(v,1))),"-")</f>
        <v/>
      </c>
      <c r="E6" s="8" t="inlineStr"/>
    </row>
    <row r="7">
      <c r="A7" s="7" t="inlineStr">
        <is>
          <t>Vent G/D maxi</t>
        </is>
      </c>
      <c r="B7" s="8">
        <f>IFERROR(LET(fx,FILTER(SAISIE!$C$5:$C$504,(ISNUMBER(SEARCH("Vent G/D",SAISIE!$B$5:$B$504)))*(SAISIE!$E$5:$E$504&lt;&gt;"")),fz,FILTER(SAISIE!$E$5:$E$504,(ISNUMBER(SEARCH("Vent G/D",SAISIE!$B$5:$B$504)))*(SAISIE!$E$5:$E$504&lt;&gt;"")),mf,MIN(fz),IF(COUNT(fz)=0,"-",IF(MIN(fz)&gt;=0,INDEX(fx,MATCH(MAX(fx),fx,0)),INDEX(fx,MATCH(mf,fz,0))))),"-")</f>
        <v/>
      </c>
      <c r="C7" s="8">
        <f>IF($B$3&lt;&gt;"Oui","",IFERROR(LET(fy,FILTER(SAISIE!$D$5:$D$504,(ISNUMBER(SEARCH("Vent G/D",SAISIE!$B$5:$B$504)))*(SAISIE!$E$5:$E$504&lt;&gt;"")),fx,FILTER(SAISIE!$C$5:$C$504,(ISNUMBER(SEARCH("Vent G/D",SAISIE!$B$5:$B$504)))*(SAISIE!$E$5:$E$504&lt;&gt;"")),fz,FILTER(SAISIE!$E$5:$E$504,(ISNUMBER(SEARCH("Vent G/D",SAISIE!$B$5:$B$504)))*(SAISIE!$E$5:$E$504&lt;&gt;"")),mf,MIN(fz),IF(COUNT(fz)=0,"-",IF(MIN(fz)&gt;=0,INDEX(fy,MATCH(MAX(fx),fx,0)),INDEX(fy,MATCH(mf,fz,0))))),"-"))</f>
        <v/>
      </c>
      <c r="D7" s="8">
        <f>IFERROR(LET(fz,FILTER(SAISIE!$E$5:$E$504,(ISNUMBER(SEARCH("Vent G/D",SAISIE!$B$5:$B$504)))*(SAISIE!$E$5:$E$504&lt;&gt;"")),IF(COUNT(fz)=0,"-",IF(MIN(fz)&gt;=0,0,MIN(fz)))),"-")</f>
        <v/>
      </c>
      <c r="E7" s="8" t="inlineStr">
        <is>
          <t>(compression)</t>
        </is>
      </c>
    </row>
    <row r="8">
      <c r="A8" s="7" t="inlineStr">
        <is>
          <t>Vent G/D mini</t>
        </is>
      </c>
      <c r="B8" s="8">
        <f>IFERROR(LET(fx,FILTER(SAISIE!$C$5:$C$504,(ISNUMBER(SEARCH("Vent G/D",SAISIE!$B$5:$B$504)))*(SAISIE!$E$5:$E$504&lt;&gt;"")),fz,FILTER(SAISIE!$E$5:$E$504,(ISNUMBER(SEARCH("Vent G/D",SAISIE!$B$5:$B$504)))*(SAISIE!$E$5:$E$504&lt;&gt;"")),Mf,MAX(fz),INDEX(fx,MATCH(Mf,fz,0))),"-")</f>
        <v/>
      </c>
      <c r="C8" s="8">
        <f>IF($B$3&lt;&gt;"Oui","",IFERROR(LET(fy,FILTER(SAISIE!$D$5:$D$504,(ISNUMBER(SEARCH("Vent G/D",SAISIE!$B$5:$B$504)))*(SAISIE!$E$5:$E$504&lt;&gt;"")),fz,FILTER(SAISIE!$E$5:$E$504,(ISNUMBER(SEARCH("Vent G/D",SAISIE!$B$5:$B$504)))*(SAISIE!$E$5:$E$504&lt;&gt;"")),Mf,MAX(fz),INDEX(fy,MATCH(Mf,fz,0))),"-"))</f>
        <v/>
      </c>
      <c r="D8" s="8">
        <f>IFERROR(LET(fz,FILTER(SAISIE!$E$5:$E$504,(ISNUMBER(SEARCH("Vent G/D",SAISIE!$B$5:$B$504)))*(SAISIE!$E$5:$E$504&lt;&gt;"")),IF(COUNT(fz)=0,"-",MAX(fz))),"-")</f>
        <v/>
      </c>
      <c r="E8" s="8" t="inlineStr">
        <is>
          <t>(soulevement)</t>
        </is>
      </c>
    </row>
    <row r="9">
      <c r="A9" s="7" t="inlineStr">
        <is>
          <t>Vent D/ G maxi</t>
        </is>
      </c>
      <c r="B9" s="8">
        <f>IFERROR(LET(fx,FILTER(SAISIE!$C$5:$C$504,(ISNUMBER(SEARCH("Vent D/G",SAISIE!$B$5:$B$504)))*(SAISIE!$E$5:$E$504&lt;&gt;"")),fz,FILTER(SAISIE!$E$5:$E$504,(ISNUMBER(SEARCH("Vent D/G",SAISIE!$B$5:$B$504)))*(SAISIE!$E$5:$E$504&lt;&gt;"")),mf,MIN(fz),IF(COUNT(fz)=0,"-",IF(MIN(fz)&gt;=0,INDEX(fx,MATCH(MAX(fx),fx,0)),INDEX(fx,MATCH(mf,fz,0))))),"-")</f>
        <v/>
      </c>
      <c r="C9" s="8">
        <f>IF($B$3&lt;&gt;"Oui","",IFERROR(LET(fy,FILTER(SAISIE!$D$5:$D$504,(ISNUMBER(SEARCH("Vent D/G",SAISIE!$B$5:$B$504)))*(SAISIE!$E$5:$E$504&lt;&gt;"")),fx,FILTER(SAISIE!$C$5:$C$504,(ISNUMBER(SEARCH("Vent D/G",SAISIE!$B$5:$B$504)))*(SAISIE!$E$5:$E$504&lt;&gt;"")),fz,FILTER(SAISIE!$E$5:$E$504,(ISNUMBER(SEARCH("Vent D/G",SAISIE!$B$5:$B$504)))*(SAISIE!$E$5:$E$504&lt;&gt;"")),mf,MIN(fz),IF(COUNT(fz)=0,"-",IF(MIN(fz)&gt;=0,INDEX(fy,MATCH(MAX(fx),fx,0)),INDEX(fy,MATCH(mf,fz,0))))),"-"))</f>
        <v/>
      </c>
      <c r="D9" s="8">
        <f>IFERROR(LET(fz,FILTER(SAISIE!$E$5:$E$504,(ISNUMBER(SEARCH("Vent D/G",SAISIE!$B$5:$B$504)))*(SAISIE!$E$5:$E$504&lt;&gt;"")),IF(COUNT(fz)=0,"-",IF(MIN(fz)&gt;=0,0,MIN(fz)))),"-")</f>
        <v/>
      </c>
      <c r="E9" s="8" t="inlineStr">
        <is>
          <t>(compression)</t>
        </is>
      </c>
    </row>
    <row r="10">
      <c r="A10" s="7" t="inlineStr">
        <is>
          <t>Vent D/G mini</t>
        </is>
      </c>
      <c r="B10" s="8">
        <f>IFERROR(LET(fx,FILTER(SAISIE!$C$5:$C$504,(ISNUMBER(SEARCH("Vent D/G",SAISIE!$B$5:$B$504)))*(SAISIE!$E$5:$E$504&lt;&gt;"")),fz,FILTER(SAISIE!$E$5:$E$504,(ISNUMBER(SEARCH("Vent D/G",SAISIE!$B$5:$B$504)))*(SAISIE!$E$5:$E$504&lt;&gt;"")),Mf,MAX(fz),INDEX(fx,MATCH(Mf,fz,0))),"-")</f>
        <v/>
      </c>
      <c r="C10" s="8">
        <f>IF($B$3&lt;&gt;"Oui","",IFERROR(LET(fy,FILTER(SAISIE!$D$5:$D$504,(ISNUMBER(SEARCH("Vent D/G",SAISIE!$B$5:$B$504)))*(SAISIE!$E$5:$E$504&lt;&gt;"")),fz,FILTER(SAISIE!$E$5:$E$504,(ISNUMBER(SEARCH("Vent D/G",SAISIE!$B$5:$B$504)))*(SAISIE!$E$5:$E$504&lt;&gt;"")),Mf,MAX(fz),INDEX(fy,MATCH(Mf,fz,0))),"-"))</f>
        <v/>
      </c>
      <c r="D10" s="8">
        <f>IFERROR(LET(fz,FILTER(SAISIE!$E$5:$E$504,(ISNUMBER(SEARCH("Vent D/G",SAISIE!$B$5:$B$504)))*(SAISIE!$E$5:$E$504&lt;&gt;"")),IF(COUNT(fz)=0,"-",MAX(fz))),"-")</f>
        <v/>
      </c>
      <c r="E10" s="8" t="inlineStr">
        <is>
          <t>(soulevement)</t>
        </is>
      </c>
    </row>
    <row r="11">
      <c r="A11" s="7" t="inlineStr">
        <is>
          <t>Vent Av./Arr. maxi</t>
        </is>
      </c>
      <c r="B11" s="8">
        <f>IFERROR(LET(fx,FILTER(SAISIE!$C$5:$C$504,(ISNUMBER(SEARCH("Vent Av./Arr.",SAISIE!$B$5:$B$504)))*(SAISIE!$E$5:$E$504&lt;&gt;"")),fz,FILTER(SAISIE!$E$5:$E$504,(ISNUMBER(SEARCH("Vent Av./Arr.",SAISIE!$B$5:$B$504)))*(SAISIE!$E$5:$E$504&lt;&gt;"")),mf,MIN(fz),IF(COUNT(fz)=0,"-",IF(MIN(fz)&gt;=0,INDEX(fx,MATCH(MAX(fx),fx,0)),INDEX(fx,MATCH(mf,fz,0))))),"-")</f>
        <v/>
      </c>
      <c r="C11" s="8">
        <f>IF($B$3&lt;&gt;"Oui","",IFERROR(LET(fy,FILTER(SAISIE!$D$5:$D$504,(ISNUMBER(SEARCH("Vent Av./Arr.",SAISIE!$B$5:$B$504)))*(SAISIE!$E$5:$E$504&lt;&gt;"")),fx,FILTER(SAISIE!$C$5:$C$504,(ISNUMBER(SEARCH("Vent Av./Arr.",SAISIE!$B$5:$B$504)))*(SAISIE!$E$5:$E$504&lt;&gt;"")),fz,FILTER(SAISIE!$E$5:$E$504,(ISNUMBER(SEARCH("Vent Av./Arr.",SAISIE!$B$5:$B$504)))*(SAISIE!$E$5:$E$504&lt;&gt;"")),mf,MIN(fz),IF(COUNT(fz)=0,"-",IF(MIN(fz)&gt;=0,INDEX(fy,MATCH(MAX(fx),fx,0)),INDEX(fy,MATCH(mf,fz,0))))),"-"))</f>
        <v/>
      </c>
      <c r="D11" s="8">
        <f>IFERROR(LET(fz,FILTER(SAISIE!$E$5:$E$504,(ISNUMBER(SEARCH("Vent Av./Arr.",SAISIE!$B$5:$B$504)))*(SAISIE!$E$5:$E$504&lt;&gt;"")),IF(COUNT(fz)=0,"-",IF(MIN(fz)&gt;=0,0,MIN(fz)))),"-")</f>
        <v/>
      </c>
      <c r="E11" s="8" t="inlineStr">
        <is>
          <t>(compression)</t>
        </is>
      </c>
    </row>
    <row r="12">
      <c r="A12" s="7" t="inlineStr">
        <is>
          <t>Vent Av./Arr. mini</t>
        </is>
      </c>
      <c r="B12" s="8">
        <f>IFERROR(LET(fx,FILTER(SAISIE!$C$5:$C$504,(ISNUMBER(SEARCH("Vent Av./Arr.",SAISIE!$B$5:$B$504)))*(SAISIE!$E$5:$E$504&lt;&gt;"")),fz,FILTER(SAISIE!$E$5:$E$504,(ISNUMBER(SEARCH("Vent Av./Arr.",SAISIE!$B$5:$B$504)))*(SAISIE!$E$5:$E$504&lt;&gt;"")),Mf,MAX(fz),INDEX(fx,MATCH(Mf,fz,0))),"-")</f>
        <v/>
      </c>
      <c r="C12" s="8">
        <f>IF($B$3&lt;&gt;"Oui","",IFERROR(LET(fy,FILTER(SAISIE!$D$5:$D$504,(ISNUMBER(SEARCH("Vent Av./Arr.",SAISIE!$B$5:$B$504)))*(SAISIE!$E$5:$E$504&lt;&gt;"")),fz,FILTER(SAISIE!$E$5:$E$504,(ISNUMBER(SEARCH("Vent Av./Arr.",SAISIE!$B$5:$B$504)))*(SAISIE!$E$5:$E$504&lt;&gt;"")),Mf,MAX(fz),INDEX(fy,MATCH(Mf,fz,0))),"-"))</f>
        <v/>
      </c>
      <c r="D12" s="8">
        <f>IFERROR(LET(fz,FILTER(SAISIE!$E$5:$E$504,(ISNUMBER(SEARCH("Vent Av./Arr.",SAISIE!$B$5:$B$504)))*(SAISIE!$E$5:$E$504&lt;&gt;"")),IF(COUNT(fz)=0,"-",MAX(fz))),"-")</f>
        <v/>
      </c>
      <c r="E12" s="8" t="inlineStr">
        <is>
          <t>(soulevement)</t>
        </is>
      </c>
    </row>
    <row r="13">
      <c r="A13" s="7" t="inlineStr">
        <is>
          <t>Vent Arr./Av maxi</t>
        </is>
      </c>
      <c r="B13" s="8">
        <f>IFERROR(LET(fx,FILTER(SAISIE!$C$5:$C$504,(ISNUMBER(SEARCH("Vent Arr./Av.",SAISIE!$B$5:$B$504)))*(SAISIE!$E$5:$E$504&lt;&gt;"")),fz,FILTER(SAISIE!$E$5:$E$504,(ISNUMBER(SEARCH("Vent Arr./Av.",SAISIE!$B$5:$B$504)))*(SAISIE!$E$5:$E$504&lt;&gt;"")),mf,MIN(fz),IF(COUNT(fz)=0,"-",IF(MIN(fz)&gt;=0,INDEX(fx,MATCH(MAX(fx),fx,0)),INDEX(fx,MATCH(mf,fz,0))))),"-")</f>
        <v/>
      </c>
      <c r="C13" s="8">
        <f>IF($B$3&lt;&gt;"Oui","",IFERROR(LET(fy,FILTER(SAISIE!$D$5:$D$504,(ISNUMBER(SEARCH("Vent Arr./Av.",SAISIE!$B$5:$B$504)))*(SAISIE!$E$5:$E$504&lt;&gt;"")),fx,FILTER(SAISIE!$C$5:$C$504,(ISNUMBER(SEARCH("Vent Arr./Av.",SAISIE!$B$5:$B$504)))*(SAISIE!$E$5:$E$504&lt;&gt;"")),fz,FILTER(SAISIE!$E$5:$E$504,(ISNUMBER(SEARCH("Vent Arr./Av.",SAISIE!$B$5:$B$504)))*(SAISIE!$E$5:$E$504&lt;&gt;"")),mf,MIN(fz),IF(COUNT(fz)=0,"-",IF(MIN(fz)&gt;=0,INDEX(fy,MATCH(MAX(fx),fx,0)),INDEX(fy,MATCH(mf,fz,0))))),"-"))</f>
        <v/>
      </c>
      <c r="D13" s="8">
        <f>IFERROR(LET(fz,FILTER(SAISIE!$E$5:$E$504,(ISNUMBER(SEARCH("Vent Arr./Av.",SAISIE!$B$5:$B$504)))*(SAISIE!$E$5:$E$504&lt;&gt;"")),IF(COUNT(fz)=0,"-",IF(MIN(fz)&gt;=0,0,MIN(fz)))),"-")</f>
        <v/>
      </c>
      <c r="E13" s="8" t="inlineStr">
        <is>
          <t>(compression)</t>
        </is>
      </c>
    </row>
    <row r="14">
      <c r="A14" s="7" t="inlineStr">
        <is>
          <t>Vent Arr./Av mini</t>
        </is>
      </c>
      <c r="B14" s="8">
        <f>IFERROR(LET(fx,FILTER(SAISIE!$C$5:$C$504,(ISNUMBER(SEARCH("Vent Arr./Av.",SAISIE!$B$5:$B$504)))*(SAISIE!$E$5:$E$504&lt;&gt;"")),fz,FILTER(SAISIE!$E$5:$E$504,(ISNUMBER(SEARCH("Vent Arr./Av.",SAISIE!$B$5:$B$504)))*(SAISIE!$E$5:$E$504&lt;&gt;"")),Mf,MAX(fz),INDEX(fx,MATCH(Mf,fz,0))),"-")</f>
        <v/>
      </c>
      <c r="C14" s="8">
        <f>IF($B$3&lt;&gt;"Oui","",IFERROR(LET(fy,FILTER(SAISIE!$D$5:$D$504,(ISNUMBER(SEARCH("Vent Arr./Av.",SAISIE!$B$5:$B$504)))*(SAISIE!$E$5:$E$504&lt;&gt;"")),fz,FILTER(SAISIE!$E$5:$E$504,(ISNUMBER(SEARCH("Vent Arr./Av.",SAISIE!$B$5:$B$504)))*(SAISIE!$E$5:$E$504&lt;&gt;"")),Mf,MAX(fz),INDEX(fy,MATCH(Mf,fz,0))),"-"))</f>
        <v/>
      </c>
      <c r="D14" s="8">
        <f>IFERROR(LET(fz,FILTER(SAISIE!$E$5:$E$504,(ISNUMBER(SEARCH("Vent Arr./Av.",SAISIE!$B$5:$B$504)))*(SAISIE!$E$5:$E$504&lt;&gt;"")),IF(COUNT(fz)=0,"-",MAX(fz))),"-")</f>
        <v/>
      </c>
      <c r="E14" s="8" t="inlineStr">
        <is>
          <t>(soulevement)</t>
        </is>
      </c>
    </row>
    <row r="15">
      <c r="A15" s="7" t="inlineStr">
        <is>
          <t>Neige normale</t>
        </is>
      </c>
      <c r="B15" s="8">
        <f>IFERROR(LET(v,FILTER(SAISIE!$C$5:$C$504,(ISNUMBER(SEARCH("Neige",SAISIE!$B$5:$B$504))*(NOT(ISNUMBER(SEARCH("accidentel",SAISIE!$B$5:$B$504)))))*(SAISIE!$E$5:$E$504&lt;&gt;"")),fz,FILTER(SAISIE!$E$5:$E$504,(ISNUMBER(SEARCH("Neige",SAISIE!$B$5:$B$504))*(NOT(ISNUMBER(SEARCH("accidentel",SAISIE!$B$5:$B$504)))))*(SAISIE!$E$5:$E$504&lt;&gt;"")),IF(COUNT(fz)=0,"-",INDEX(v,MATCH(MIN(fz),fz,0)))),"-")</f>
        <v/>
      </c>
      <c r="C15" s="8">
        <f>IF($B$3&lt;&gt;"Oui","",IFERROR(LET(v,FILTER(SAISIE!$D$5:$D$504,(ISNUMBER(SEARCH("Neige",SAISIE!$B$5:$B$504))*(NOT(ISNUMBER(SEARCH("accidentel",SAISIE!$B$5:$B$504)))))*(SAISIE!$E$5:$E$504&lt;&gt;"")),fz,FILTER(SAISIE!$E$5:$E$504,(ISNUMBER(SEARCH("Neige",SAISIE!$B$5:$B$504))*(NOT(ISNUMBER(SEARCH("accidentel",SAISIE!$B$5:$B$504)))))*(SAISIE!$E$5:$E$504&lt;&gt;"")),IF(COUNT(fz)=0,"-",INDEX(v,MATCH(MIN(fz),fz,0)))),"-"))</f>
        <v/>
      </c>
      <c r="D15" s="8">
        <f>IFERROR(LET(v,FILTER(SAISIE!$E$5:$E$504,(ISNUMBER(SEARCH("Neige",SAISIE!$B$5:$B$504))*(NOT(ISNUMBER(SEARCH("accidentel",SAISIE!$B$5:$B$504)))))*(SAISIE!$E$5:$E$504&lt;&gt;"")),fz,FILTER(SAISIE!$E$5:$E$504,(ISNUMBER(SEARCH("Neige",SAISIE!$B$5:$B$504))*(NOT(ISNUMBER(SEARCH("accidentel",SAISIE!$B$5:$B$504)))))*(SAISIE!$E$5:$E$504&lt;&gt;"")),IF(COUNT(fz)=0,"-",INDEX(v,MATCH(MIN(fz),fz,0)))),"-")</f>
        <v/>
      </c>
      <c r="E15" s="8" t="n"/>
    </row>
    <row r="16">
      <c r="A16" s="7" t="inlineStr">
        <is>
          <t>Neige accidentelle</t>
        </is>
      </c>
      <c r="B16" s="8">
        <f>IFERROR(LET(v,FILTER(SAISIE!$C$5:$C$504,(ISNUMBER(SEARCH("accidentel",SAISIE!$B$5:$B$504)))*(SAISIE!$E$5:$E$504&lt;&gt;"")),IF(COUNT(v)=0,"-",INDEX(v,1))),"-")</f>
        <v/>
      </c>
      <c r="C16" s="8">
        <f>IF($B$3&lt;&gt;"Oui","",IFERROR(LET(v,FILTER(SAISIE!$D$5:$D$504,(ISNUMBER(SEARCH("accidentel",SAISIE!$B$5:$B$504)))*(SAISIE!$E$5:$E$504&lt;&gt;"")),IF(COUNT(v)=0,"-",INDEX(v,1))),"-"))</f>
        <v/>
      </c>
      <c r="D16" s="8">
        <f>IFERROR(LET(v,FILTER(SAISIE!$E$5:$E$504,(ISNUMBER(SEARCH("accidentel",SAISIE!$B$5:$B$504)))*(SAISIE!$E$5:$E$504&lt;&gt;"")),IF(COUNT(v)=0,"-",INDEX(v,1))),"-")</f>
        <v/>
      </c>
      <c r="E16" s="8" t="n"/>
    </row>
  </sheetData>
  <mergeCells count="1">
    <mergeCell ref="A1:E1"/>
  </mergeCells>
  <dataValidations count="1">
    <dataValidation sqref="B3" showDropDown="0" showInputMessage="0" showErrorMessage="0" allowBlank="0" type="list">
      <formula1>"Oui,Non"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2026-06-18T15:03:22Z</dcterms:created>
  <dcterms:modified xsi:type="dcterms:W3CDTF">2026-06-18T15:03:22Z</dcterms:modified>
</cp:coreProperties>
</file>