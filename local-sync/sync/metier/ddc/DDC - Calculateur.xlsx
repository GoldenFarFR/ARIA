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ylvain Rio\Downloads\"/>
    </mc:Choice>
  </mc:AlternateContent>
  <xr:revisionPtr revIDLastSave="0" documentId="13_ncr:1_{122A0803-6D43-4409-8D02-8002A46A950C}" xr6:coauthVersionLast="47" xr6:coauthVersionMax="47" xr10:uidLastSave="{00000000-0000-0000-0000-000000000000}"/>
  <bookViews>
    <workbookView xWindow="28680" yWindow="-120" windowWidth="57840" windowHeight="16440" xr2:uid="{00000000-000D-0000-FFFF-FFFF00000000}"/>
  </bookViews>
  <sheets>
    <sheet name="MODE EMPLOI" sheetId="1" r:id="rId1"/>
    <sheet name="SAISIE" sheetId="2" r:id="rId2"/>
    <sheet name="SYNTHE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</calcChain>
</file>

<file path=xl/sharedStrings.xml><?xml version="1.0" encoding="utf-8"?>
<sst xmlns="http://schemas.openxmlformats.org/spreadsheetml/2006/main" count="67" uniqueCount="61">
  <si>
    <t>DDC Calculateur — synthese automatique</t>
  </si>
  <si>
    <t>1. SAISIE : collez vos cas (colonnes A a E).</t>
  </si>
  <si>
    <t>2. SYNTHESE : se met a jour automatiquement.</t>
  </si>
  <si>
    <t>3. Si besoin : touche F9 pour forcer le recalcul.</t>
  </si>
  <si>
    <t>Excel 2019 ou 365 requis (formules MINIFS / MAXIFS).</t>
  </si>
  <si>
    <t>1 seul noeud par feuille. Gardez Vent G/D, Vent D/G, Neige... dans Nom_cas.</t>
  </si>
  <si>
    <t>SAISIE — Vos cas de charge</t>
  </si>
  <si>
    <t>Modifiez les lignes ci-dessous : la synthese suit en direct.</t>
  </si>
  <si>
    <t>Noeud_Cas</t>
  </si>
  <si>
    <t>Nom_cas</t>
  </si>
  <si>
    <t>FX_daN</t>
  </si>
  <si>
    <t>FY_daN</t>
  </si>
  <si>
    <t>FZ_daN</t>
  </si>
  <si>
    <t>47/1</t>
  </si>
  <si>
    <t>G : Couverture : PA 6 BS 10 PV15</t>
  </si>
  <si>
    <t>47/2</t>
  </si>
  <si>
    <t>Vent G/D dep.(-) Portique 2</t>
  </si>
  <si>
    <t>47/3</t>
  </si>
  <si>
    <t>Vent G/D sur.(+) Portique 2</t>
  </si>
  <si>
    <t>47/4</t>
  </si>
  <si>
    <t>Vent D/G dep.(-) Cpe - Portique 2</t>
  </si>
  <si>
    <t>47/5</t>
  </si>
  <si>
    <t>Vent D/G dep.(-) Cpe + Portique 2</t>
  </si>
  <si>
    <t>47/6</t>
  </si>
  <si>
    <t>Vent D/G sur.(+) Cpe - Portique 2</t>
  </si>
  <si>
    <t>47/7</t>
  </si>
  <si>
    <t>Vent D/G sur.(+) Cpe + Portique 2</t>
  </si>
  <si>
    <t>47/8</t>
  </si>
  <si>
    <t>Vent Av./Arr. dep.(-) Portique 2</t>
  </si>
  <si>
    <t>47/9</t>
  </si>
  <si>
    <t>Vent Av./Arr. sur.(+) Portique 2</t>
  </si>
  <si>
    <t>47/10</t>
  </si>
  <si>
    <t>Vent Arr./Av. dep.(-) Portique 2</t>
  </si>
  <si>
    <t>47/11</t>
  </si>
  <si>
    <t>Vent Arr./Av. sur.(+) Portique 2</t>
  </si>
  <si>
    <t>47/12</t>
  </si>
  <si>
    <t>Neige cas I</t>
  </si>
  <si>
    <t>47/13</t>
  </si>
  <si>
    <t>Neige cas II</t>
  </si>
  <si>
    <t>47/14</t>
  </si>
  <si>
    <t>Neige accidentel</t>
  </si>
  <si>
    <t>SYNTHESE — Calcul automatique</t>
  </si>
  <si>
    <t>Formules liees a SAISIE — changez les donnees, les resultats bougent.</t>
  </si>
  <si>
    <t>Nom du cas</t>
  </si>
  <si>
    <t>FX [daN]</t>
  </si>
  <si>
    <t>FY [daN]</t>
  </si>
  <si>
    <t>FZ [daN]</t>
  </si>
  <si>
    <t>Note</t>
  </si>
  <si>
    <t>Couverture</t>
  </si>
  <si>
    <t>Vent G/D maxi</t>
  </si>
  <si>
    <t>(compression)</t>
  </si>
  <si>
    <t>Vent G/D mini</t>
  </si>
  <si>
    <t>(soulevement)</t>
  </si>
  <si>
    <t>Vent D/ G maxi</t>
  </si>
  <si>
    <t>Vent D/G mini</t>
  </si>
  <si>
    <t>Vent Av./Arr. maxi</t>
  </si>
  <si>
    <t>Vent Av./Arr. mini</t>
  </si>
  <si>
    <t>Vent Arr./Av maxi</t>
  </si>
  <si>
    <t>Vent Arr./Av mini</t>
  </si>
  <si>
    <t>Neige normale</t>
  </si>
  <si>
    <t>Neige accidentelle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</si>
</sst>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Charges" displayName="CasCharges" ref="A4:E504">
  <autoFilter ref="A4:E504" xr:uid="{00000000-0009-0000-0100-000001000000}"/>
  <tableColumns count="5">
    <tableColumn id="1" xr3:uid="{00000000-0010-0000-0000-000001000000}" name="Noeud_Cas"/>
    <tableColumn id="2" xr3:uid="{00000000-0010-0000-0000-000002000000}" name="Nom_cas"/>
    <tableColumn id="3" xr3:uid="{00000000-0010-0000-0000-000003000000}" name="FX_daN"/>
    <tableColumn id="4" xr3:uid="{00000000-0010-0000-0000-000004000000}" name="FY_daN"/>
    <tableColumn id="5" xr3:uid="{00000000-0010-0000-0000-000005000000}" name="FZ_d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/>
  </sheetViews>
  <sheetFormatPr baseColWidth="10" defaultColWidth="9.140625" defaultRowHeight="15" x14ac:dyDescent="0.25"/>
  <cols>
    <col min="1" max="1" width="65" customWidth="1"/>
  </cols>
  <sheetData>
    <row r="1" spans="1:1" ht="18" x14ac:dyDescent="0.25">
      <c r="A1" s="1" t="s">
        <v>0</v>
      </c>
    </row>
    <row r="3" spans="1:1" x14ac:dyDescent="0.25">
      <c r="A3" s="2"/>
    </row>
    <row r="4" spans="1:1" x14ac:dyDescent="0.25">
      <c r="A4" s="2" t="s">
        <v>1</v>
      </c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/>
    </row>
    <row r="8" spans="1:1" x14ac:dyDescent="0.25">
      <c r="A8" s="2" t="s">
        <v>4</v>
      </c>
    </row>
    <row r="9" spans="1:1" x14ac:dyDescent="0.25">
      <c r="A9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44" customWidth="1"/>
    <col min="3" max="5" width="11" customWidth="1"/>
  </cols>
  <sheetData>
    <row r="1" spans="1:5" ht="18" x14ac:dyDescent="0.25">
      <c r="A1" s="8" t="s">
        <v>6</v>
      </c>
      <c r="B1" s="7"/>
      <c r="C1" s="7"/>
      <c r="D1" s="7"/>
      <c r="E1" s="7"/>
    </row>
    <row r="2" spans="1:5" x14ac:dyDescent="0.25">
      <c r="A2" s="7" t="s">
        <v>7</v>
      </c>
      <c r="B2" s="7"/>
      <c r="C2" s="7"/>
      <c r="D2" s="7"/>
      <c r="E2" s="7"/>
    </row>
    <row r="4" spans="1:5" x14ac:dyDescent="0.2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</row>
    <row r="5" spans="1:5" x14ac:dyDescent="0.25">
      <c r="A5" s="4" t="s">
        <v>13</v>
      </c>
      <c r="B5" s="4" t="s">
        <v>14</v>
      </c>
      <c r="C5" s="4">
        <v>-116</v>
      </c>
      <c r="D5" s="4">
        <v>7</v>
      </c>
      <c r="E5" s="4">
        <v>-1285</v>
      </c>
    </row>
    <row r="6" spans="1:5" x14ac:dyDescent="0.25">
      <c r="A6" s="4" t="s">
        <v>15</v>
      </c>
      <c r="B6" s="4" t="s">
        <v>16</v>
      </c>
      <c r="C6" s="4">
        <v>905</v>
      </c>
      <c r="D6" s="4">
        <v>40</v>
      </c>
      <c r="E6" s="4">
        <v>1422</v>
      </c>
    </row>
    <row r="7" spans="1:5" x14ac:dyDescent="0.25">
      <c r="A7" s="4" t="s">
        <v>17</v>
      </c>
      <c r="B7" s="4" t="s">
        <v>18</v>
      </c>
      <c r="C7" s="4">
        <v>900</v>
      </c>
      <c r="D7" s="4">
        <v>32</v>
      </c>
      <c r="E7" s="4">
        <v>1444</v>
      </c>
    </row>
    <row r="8" spans="1:5" x14ac:dyDescent="0.25">
      <c r="A8" s="4" t="s">
        <v>19</v>
      </c>
      <c r="B8" s="4" t="s">
        <v>20</v>
      </c>
      <c r="C8" s="4">
        <v>-345</v>
      </c>
      <c r="D8" s="4">
        <v>5</v>
      </c>
      <c r="E8" s="4">
        <v>462</v>
      </c>
    </row>
    <row r="9" spans="1:5" x14ac:dyDescent="0.25">
      <c r="A9" s="4" t="s">
        <v>21</v>
      </c>
      <c r="B9" s="4" t="s">
        <v>22</v>
      </c>
      <c r="C9" s="4">
        <v>-513</v>
      </c>
      <c r="D9" s="4">
        <v>-11</v>
      </c>
      <c r="E9" s="4">
        <v>-281</v>
      </c>
    </row>
    <row r="10" spans="1:5" x14ac:dyDescent="0.25">
      <c r="A10" s="4" t="s">
        <v>23</v>
      </c>
      <c r="B10" s="4" t="s">
        <v>24</v>
      </c>
      <c r="C10" s="4">
        <v>-349</v>
      </c>
      <c r="D10" s="4">
        <v>-2</v>
      </c>
      <c r="E10" s="4">
        <v>485</v>
      </c>
    </row>
    <row r="11" spans="1:5" x14ac:dyDescent="0.25">
      <c r="A11" s="4" t="s">
        <v>25</v>
      </c>
      <c r="B11" s="4" t="s">
        <v>26</v>
      </c>
      <c r="C11" s="4">
        <v>-518</v>
      </c>
      <c r="D11" s="4">
        <v>-22</v>
      </c>
      <c r="E11" s="4">
        <v>-258</v>
      </c>
    </row>
    <row r="12" spans="1:5" x14ac:dyDescent="0.25">
      <c r="A12" s="4" t="s">
        <v>27</v>
      </c>
      <c r="B12" s="4" t="s">
        <v>28</v>
      </c>
      <c r="C12" s="4">
        <v>-241</v>
      </c>
      <c r="D12" s="4">
        <v>205</v>
      </c>
      <c r="E12" s="4">
        <v>815</v>
      </c>
    </row>
    <row r="13" spans="1:5" x14ac:dyDescent="0.25">
      <c r="A13" s="4" t="s">
        <v>29</v>
      </c>
      <c r="B13" s="4" t="s">
        <v>30</v>
      </c>
      <c r="C13" s="4">
        <v>-198</v>
      </c>
      <c r="D13" s="4">
        <v>195</v>
      </c>
      <c r="E13" s="4">
        <v>598</v>
      </c>
    </row>
    <row r="14" spans="1:5" x14ac:dyDescent="0.25">
      <c r="A14" s="4" t="s">
        <v>31</v>
      </c>
      <c r="B14" s="4" t="s">
        <v>32</v>
      </c>
      <c r="C14" s="4">
        <v>-105</v>
      </c>
      <c r="D14" s="4">
        <v>0</v>
      </c>
      <c r="E14" s="4">
        <v>400</v>
      </c>
    </row>
    <row r="15" spans="1:5" x14ac:dyDescent="0.25">
      <c r="A15" s="4" t="s">
        <v>33</v>
      </c>
      <c r="B15" s="4" t="s">
        <v>34</v>
      </c>
      <c r="C15" s="4">
        <v>-37</v>
      </c>
      <c r="D15" s="4">
        <v>-11</v>
      </c>
      <c r="E15" s="4">
        <v>56</v>
      </c>
    </row>
    <row r="16" spans="1:5" x14ac:dyDescent="0.25">
      <c r="A16" s="4" t="s">
        <v>35</v>
      </c>
      <c r="B16" s="4" t="s">
        <v>36</v>
      </c>
      <c r="C16" s="4">
        <v>-113</v>
      </c>
      <c r="D16" s="4">
        <v>0</v>
      </c>
      <c r="E16" s="4">
        <v>-1010</v>
      </c>
    </row>
    <row r="17" spans="1:5" x14ac:dyDescent="0.25">
      <c r="A17" s="4" t="s">
        <v>37</v>
      </c>
      <c r="B17" s="4" t="s">
        <v>38</v>
      </c>
      <c r="C17" s="4">
        <v>-56</v>
      </c>
      <c r="D17" s="4">
        <v>0</v>
      </c>
      <c r="E17" s="4">
        <v>-505</v>
      </c>
    </row>
    <row r="18" spans="1:5" x14ac:dyDescent="0.25">
      <c r="A18" s="4" t="s">
        <v>39</v>
      </c>
      <c r="B18" s="4" t="s">
        <v>40</v>
      </c>
      <c r="C18" s="4">
        <v>-251</v>
      </c>
      <c r="D18" s="4">
        <v>0</v>
      </c>
      <c r="E18" s="4">
        <v>-2244</v>
      </c>
    </row>
  </sheetData>
  <mergeCells count="2">
    <mergeCell ref="A2:E2"/>
    <mergeCell ref="A1:E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22" customWidth="1"/>
    <col min="2" max="4" width="12" customWidth="1"/>
    <col min="5" max="5" width="14" customWidth="1"/>
  </cols>
  <sheetData>
    <row r="1" spans="1:5" ht="18" x14ac:dyDescent="0.25">
      <c r="A1" s="8" t="s">
        <v>41</v>
      </c>
      <c r="B1" s="7"/>
      <c r="C1" s="7"/>
      <c r="D1" s="7"/>
      <c r="E1" s="7"/>
    </row>
    <row r="2" spans="1:5" x14ac:dyDescent="0.25">
      <c r="A2" s="7" t="s">
        <v>42</v>
      </c>
      <c r="B2" s="7"/>
      <c r="C2" s="7"/>
      <c r="D2" s="7"/>
      <c r="E2" s="7"/>
    </row>
    <row r="4" spans="1:5" x14ac:dyDescent="0.25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</row>
    <row r="5" spans="1:5" x14ac:dyDescent="0.25">
      <c r="A5" s="5" t="s">
        <v>48</v>
      </c>
      <c r="B5" s="6">
        <f>IFERROR(IFERROR(INDEX(SAISIE!$C$5:$C$504,MATCH("G *",SAISIE!$B$5:$B$504,0)),INDEX(SAISIE!$C$5:$C$504,MATCH("*Couverture*",SAISIE!$B$5:$B$504,0))),"-")</f>
        <v>-116</v>
      </c>
      <c r="C5" s="6">
        <f>IFERROR(IFERROR(INDEX(SAISIE!$D$5:$D$504,MATCH("G *",SAISIE!$B$5:$B$504,0)),INDEX(SAISIE!$D$5:$D$504,MATCH("*Couverture*",SAISIE!$B$5:$B$504,0))),"-")</f>
        <v>7</v>
      </c>
      <c r="D5" s="6">
        <f>IFERROR(IFERROR(INDEX(SAISIE!$E$5:$E$504,MATCH("G *",SAISIE!$B$5:$B$504,0)),INDEX(SAISIE!$E$5:$E$504,MATCH("*Couverture*",SAISIE!$B$5:$B$504,0))),"-")</f>
        <v>-1285</v>
      </c>
      <c r="E5" s="6"/>
    </row>
    <row r="6" spans="1:5" x14ac:dyDescent="0.25">
      <c r="A6" s="5" t="s">
        <v>49</v>
      </c>
      <c r="B6" s="6" t="str">
        <f ca="1">IFERROR(IF(_xludf.MINIFS(SAISIE!$E$5:$E$504,SAISIE!$B$5:$B$504,"*Vent G/D*")&gt;=0,_xludf.MAXIFS(SAISIE!$C$5:$C$504,SAISIE!$B$5:$B$504,"*Vent G/D*"),INDEX(SAISIE!$C$5:$C$504,MATCH(_xludf.MINIFS(SAISIE!$E$5:$E$504,SAISIE!$B$5:$B$504,"*Vent G/D*"),SAISIE!$E$5:$E$504,0))),"-")</f>
        <v>-</v>
      </c>
      <c r="C6" s="6" t="str">
        <f ca="1">IFERROR(IF(_xludf.MINIFS(SAISIE!$E$5:$E$504,SAISIE!$B$5:$B$504,"*Vent G/D*")&gt;=0,INDEX(SAISIE!$D$5:$D$504,MATCH(_xludf.MAXIFS(SAISIE!$C$5:$C$504,SAISIE!$B$5:$B$504,"*Vent G/D*"),SAISIE!$C$5:$C$504,0)),INDEX(SAISIE!$D$5:$D$504,MATCH(_xludf.MINIFS(SAISIE!$E$5:$E$504,SAISIE!$B$5:$B$504,"*Vent G/D*"),SAISIE!$E$5:$E$504,0))),"-")</f>
        <v>-</v>
      </c>
      <c r="D6" s="6" t="str">
        <f ca="1">IFERROR(IF(_xludf.MINIFS(SAISIE!$E$5:$E$504,SAISIE!$B$5:$B$504,"*Vent G/D*")&gt;=0,0,_xludf.MINIFS(SAISIE!$E$5:$E$504,SAISIE!$B$5:$B$504,"*Vent G/D*")),"-")</f>
        <v>-</v>
      </c>
      <c r="E6" s="6" t="s">
        <v>50</v>
      </c>
    </row>
    <row r="7" spans="1:5" x14ac:dyDescent="0.25">
      <c r="A7" s="5" t="s">
        <v>51</v>
      </c>
      <c r="B7" s="6" t="str">
        <f ca="1">IFERROR(INDEX(SAISIE!$C$5:$C$504,MATCH(_xludf.MAXIFS(SAISIE!$E$5:$E$504,SAISIE!$B$5:$B$504,"*Vent G/D*"),SAISIE!$E$5:$E$504,0)),"-")</f>
        <v>-</v>
      </c>
      <c r="C7" s="6" t="str">
        <f ca="1">IFERROR(INDEX(SAISIE!$D$5:$D$504,MATCH(_xludf.MAXIFS(SAISIE!$E$5:$E$504,SAISIE!$B$5:$B$504,"*Vent G/D*"),SAISIE!$E$5:$E$504,0)),"-")</f>
        <v>-</v>
      </c>
      <c r="D7" s="6" t="str">
        <f ca="1">IFERROR(_xludf.MAXIFS(SAISIE!$E$5:$E$504,SAISIE!$B$5:$B$504,"*Vent G/D*"),"-")</f>
        <v>-</v>
      </c>
      <c r="E7" s="6" t="s">
        <v>52</v>
      </c>
    </row>
    <row r="8" spans="1:5" x14ac:dyDescent="0.25">
      <c r="A8" s="5" t="s">
        <v>53</v>
      </c>
      <c r="B8" s="6" t="str">
        <f ca="1">IFERROR(IF(_xludf.MINIFS(SAISIE!$E$5:$E$504,SAISIE!$B$5:$B$504,"*Vent D/G*")&gt;=0,_xludf.MAXIFS(SAISIE!$C$5:$C$504,SAISIE!$B$5:$B$504,"*Vent D/G*"),INDEX(SAISIE!$C$5:$C$504,MATCH(_xludf.MINIFS(SAISIE!$E$5:$E$504,SAISIE!$B$5:$B$504,"*Vent D/G*"),SAISIE!$E$5:$E$504,0))),"-")</f>
        <v>-</v>
      </c>
      <c r="C8" s="6" t="str">
        <f ca="1">IFERROR(IF(_xludf.MINIFS(SAISIE!$E$5:$E$504,SAISIE!$B$5:$B$504,"*Vent D/G*")&gt;=0,INDEX(SAISIE!$D$5:$D$504,MATCH(_xludf.MAXIFS(SAISIE!$C$5:$C$504,SAISIE!$B$5:$B$504,"*Vent D/G*"),SAISIE!$C$5:$C$504,0)),INDEX(SAISIE!$D$5:$D$504,MATCH(_xludf.MINIFS(SAISIE!$E$5:$E$504,SAISIE!$B$5:$B$504,"*Vent D/G*"),SAISIE!$E$5:$E$504,0))),"-")</f>
        <v>-</v>
      </c>
      <c r="D8" s="6" t="str">
        <f ca="1">IFERROR(IF(_xludf.MINIFS(SAISIE!$E$5:$E$504,SAISIE!$B$5:$B$504,"*Vent D/G*")&gt;=0,0,_xludf.MINIFS(SAISIE!$E$5:$E$504,SAISIE!$B$5:$B$504,"*Vent D/G*")),"-")</f>
        <v>-</v>
      </c>
      <c r="E8" s="6" t="s">
        <v>50</v>
      </c>
    </row>
    <row r="9" spans="1:5" x14ac:dyDescent="0.25">
      <c r="A9" s="5" t="s">
        <v>54</v>
      </c>
      <c r="B9" s="6" t="str">
        <f ca="1">IFERROR(INDEX(SAISIE!$C$5:$C$504,MATCH(_xludf.MAXIFS(SAISIE!$E$5:$E$504,SAISIE!$B$5:$B$504,"*Vent D/G*"),SAISIE!$E$5:$E$504,0)),"-")</f>
        <v>-</v>
      </c>
      <c r="C9" s="6" t="str">
        <f ca="1">IFERROR(INDEX(SAISIE!$D$5:$D$504,MATCH(_xludf.MAXIFS(SAISIE!$E$5:$E$504,SAISIE!$B$5:$B$504,"*Vent D/G*"),SAISIE!$E$5:$E$504,0)),"-")</f>
        <v>-</v>
      </c>
      <c r="D9" s="6" t="str">
        <f ca="1">IFERROR(_xludf.MAXIFS(SAISIE!$E$5:$E$504,SAISIE!$B$5:$B$504,"*Vent D/G*"),"-")</f>
        <v>-</v>
      </c>
      <c r="E9" s="6" t="s">
        <v>52</v>
      </c>
    </row>
    <row r="10" spans="1:5" x14ac:dyDescent="0.25">
      <c r="A10" s="5" t="s">
        <v>55</v>
      </c>
      <c r="B10" s="6" t="str">
        <f ca="1">IFERROR(IF(_xludf.MINIFS(SAISIE!$E$5:$E$504,SAISIE!$B$5:$B$504,"*Vent Av./Arr.*")&gt;=0,_xludf.MAXIFS(SAISIE!$C$5:$C$504,SAISIE!$B$5:$B$504,"*Vent Av./Arr.*"),INDEX(SAISIE!$C$5:$C$504,MATCH(_xludf.MINIFS(SAISIE!$E$5:$E$504,SAISIE!$B$5:$B$504,"*Vent Av./Arr.*"),SAISIE!$E$5:$E$504,0))),"-")</f>
        <v>-</v>
      </c>
      <c r="C10" s="6" t="str">
        <f ca="1">IFERROR(IF(_xludf.MINIFS(SAISIE!$E$5:$E$504,SAISIE!$B$5:$B$504,"*Vent Av./Arr.*")&gt;=0,INDEX(SAISIE!$D$5:$D$504,MATCH(_xludf.MAXIFS(SAISIE!$C$5:$C$504,SAISIE!$B$5:$B$504,"*Vent Av./Arr.*"),SAISIE!$C$5:$C$504,0)),INDEX(SAISIE!$D$5:$D$504,MATCH(_xludf.MINIFS(SAISIE!$E$5:$E$504,SAISIE!$B$5:$B$504,"*Vent Av./Arr.*"),SAISIE!$E$5:$E$504,0))),"-")</f>
        <v>-</v>
      </c>
      <c r="D10" s="6" t="str">
        <f ca="1">IFERROR(IF(_xludf.MINIFS(SAISIE!$E$5:$E$504,SAISIE!$B$5:$B$504,"*Vent Av./Arr.*")&gt;=0,0,_xludf.MINIFS(SAISIE!$E$5:$E$504,SAISIE!$B$5:$B$504,"*Vent Av./Arr.*")),"-")</f>
        <v>-</v>
      </c>
      <c r="E10" s="6" t="s">
        <v>50</v>
      </c>
    </row>
    <row r="11" spans="1:5" x14ac:dyDescent="0.25">
      <c r="A11" s="5" t="s">
        <v>56</v>
      </c>
      <c r="B11" s="6" t="str">
        <f ca="1">IFERROR(INDEX(SAISIE!$C$5:$C$504,MATCH(_xludf.MAXIFS(SAISIE!$E$5:$E$504,SAISIE!$B$5:$B$504,"*Vent Av./Arr.*"),SAISIE!$E$5:$E$504,0)),"-")</f>
        <v>-</v>
      </c>
      <c r="C11" s="6" t="str">
        <f ca="1">IFERROR(INDEX(SAISIE!$D$5:$D$504,MATCH(_xludf.MAXIFS(SAISIE!$E$5:$E$504,SAISIE!$B$5:$B$504,"*Vent Av./Arr.*"),SAISIE!$E$5:$E$504,0)),"-")</f>
        <v>-</v>
      </c>
      <c r="D11" s="6" t="str">
        <f ca="1">IFERROR(_xludf.MAXIFS(SAISIE!$E$5:$E$504,SAISIE!$B$5:$B$504,"*Vent Av./Arr.*"),"-")</f>
        <v>-</v>
      </c>
      <c r="E11" s="6" t="s">
        <v>52</v>
      </c>
    </row>
    <row r="12" spans="1:5" x14ac:dyDescent="0.25">
      <c r="A12" s="5" t="s">
        <v>57</v>
      </c>
      <c r="B12" s="6" t="str">
        <f ca="1">IFERROR(IF(_xludf.MINIFS(SAISIE!$E$5:$E$504,SAISIE!$B$5:$B$504,"*Vent Arr./Av.*")&gt;=0,_xludf.MAXIFS(SAISIE!$C$5:$C$504,SAISIE!$B$5:$B$504,"*Vent Arr./Av.*"),INDEX(SAISIE!$C$5:$C$504,MATCH(_xludf.MINIFS(SAISIE!$E$5:$E$504,SAISIE!$B$5:$B$504,"*Vent Arr./Av.*"),SAISIE!$E$5:$E$504,0))),"-")</f>
        <v>-</v>
      </c>
      <c r="C12" s="6" t="str">
        <f ca="1">IFERROR(IF(_xludf.MINIFS(SAISIE!$E$5:$E$504,SAISIE!$B$5:$B$504,"*Vent Arr./Av.*")&gt;=0,INDEX(SAISIE!$D$5:$D$504,MATCH(_xludf.MAXIFS(SAISIE!$C$5:$C$504,SAISIE!$B$5:$B$504,"*Vent Arr./Av.*"),SAISIE!$C$5:$C$504,0)),INDEX(SAISIE!$D$5:$D$504,MATCH(_xludf.MINIFS(SAISIE!$E$5:$E$504,SAISIE!$B$5:$B$504,"*Vent Arr./Av.*"),SAISIE!$E$5:$E$504,0))),"-")</f>
        <v>-</v>
      </c>
      <c r="D12" s="6" t="str">
        <f ca="1">IFERROR(IF(_xludf.MINIFS(SAISIE!$E$5:$E$504,SAISIE!$B$5:$B$504,"*Vent Arr./Av.*")&gt;=0,0,_xludf.MINIFS(SAISIE!$E$5:$E$504,SAISIE!$B$5:$B$504,"*Vent Arr./Av.*")),"-")</f>
        <v>-</v>
      </c>
      <c r="E12" s="6" t="s">
        <v>50</v>
      </c>
    </row>
    <row r="13" spans="1:5" x14ac:dyDescent="0.25">
      <c r="A13" s="5" t="s">
        <v>58</v>
      </c>
      <c r="B13" s="6" t="str">
        <f ca="1">IFERROR(INDEX(SAISIE!$C$5:$C$504,MATCH(_xludf.MAXIFS(SAISIE!$E$5:$E$504,SAISIE!$B$5:$B$504,"*Vent Arr./Av.*"),SAISIE!$E$5:$E$504,0)),"-")</f>
        <v>-</v>
      </c>
      <c r="C13" s="6" t="str">
        <f ca="1">IFERROR(INDEX(SAISIE!$D$5:$D$504,MATCH(_xludf.MAXIFS(SAISIE!$E$5:$E$504,SAISIE!$B$5:$B$504,"*Vent Arr./Av.*"),SAISIE!$E$5:$E$504,0)),"-")</f>
        <v>-</v>
      </c>
      <c r="D13" s="6" t="str">
        <f ca="1">IFERROR(_xludf.MAXIFS(SAISIE!$E$5:$E$504,SAISIE!$B$5:$B$504,"*Vent Arr./Av.*"),"-")</f>
        <v>-</v>
      </c>
      <c r="E13" s="6" t="s">
        <v>52</v>
      </c>
    </row>
    <row r="14" spans="1:5" x14ac:dyDescent="0.25">
      <c r="A14" s="5" t="s">
        <v>59</v>
      </c>
      <c r="B14" s="6" t="str">
        <f ca="1">IFERROR(INDEX(SAISIE!$C$5:$C$504,MATCH(_xludf.MINIFS(SAISIE!$E$5:$E$504,SAISIE!$B$5:$B$504,"*Neige*",SAISIE!$B$5:$B$504,"&lt;&gt;*accidentel*"),SAISIE!$E$5:$E$504,0)),"-")</f>
        <v>-</v>
      </c>
      <c r="C14" s="6" t="str">
        <f ca="1">IFERROR(INDEX(SAISIE!$D$5:$D$504,MATCH(_xludf.MINIFS(SAISIE!$E$5:$E$504,SAISIE!$B$5:$B$504,"*Neige*",SAISIE!$B$5:$B$504,"&lt;&gt;*accidentel*"),SAISIE!$E$5:$E$504,0)),"-")</f>
        <v>-</v>
      </c>
      <c r="D14" s="6" t="str">
        <f ca="1">IFERROR(INDEX(SAISIE!$E$5:$E$504,MATCH(_xludf.MINIFS(SAISIE!$E$5:$E$504,SAISIE!$B$5:$B$504,"*Neige*",SAISIE!$B$5:$B$504,"&lt;&gt;*accidentel*"),SAISIE!$E$5:$E$504,0)),"-")</f>
        <v>-</v>
      </c>
      <c r="E14" s="6"/>
    </row>
    <row r="15" spans="1:5" x14ac:dyDescent="0.25">
      <c r="A15" s="5" t="s">
        <v>60</v>
      </c>
      <c r="B15" s="6">
        <f>IFERROR(INDEX(SAISIE!$C$5:$C$504,MATCH("*accidentel*",SAISIE!$B$5:$B$504,0)),"-")</f>
        <v>-251</v>
      </c>
      <c r="C15" s="6">
        <f>IFERROR(INDEX(SAISIE!$D$5:$D$504,MATCH("*accidentel*",SAISIE!$B$5:$B$504,0)),"-")</f>
        <v>0</v>
      </c>
      <c r="D15" s="6">
        <f>IFERROR(INDEX(SAISIE!$E$5:$E$504,MATCH("*accidentel*",SAISIE!$B$5:$B$504,0)),"-")</f>
        <v>-2244</v>
      </c>
      <c r="E15" s="6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MODE EMPLOI</vt:lpstr>
      <vt:lpstr>SAISIE</vt:lpstr>
      <vt:lpstr>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Sylvain Rio</cp:lastModifiedBy>
  <dcterms:created xsi:type="dcterms:W3CDTF">2026-06-18T15:14:28Z</dcterms:created>
  <dcterms:modified xsi:type="dcterms:W3CDTF">2026-06-18T15:14:29Z</dcterms:modified>
</cp:coreProperties>
</file>