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9"/>
      <sz val="11"/>
    </font>
    <font>
      <name val="Aptos"/>
      <sz val="11"/>
    </font>
    <font>
      <name val="Aptos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sChargesFY" displayName="CasChargesFY" ref="A4:F204" headerRowCount="1">
  <autoFilter ref="A4:F204"/>
  <tableColumns count="6">
    <tableColumn id="1" name="Noeud_Cas"/>
    <tableColumn id="2" name="Nom_cas"/>
    <tableColumn id="3" name="FX_daN"/>
    <tableColumn id="4" name="FY_daN"/>
    <tableColumn id="5" name="FZ_daN"/>
    <tableColumn id="6" name="Noeud"/>
  </tableColumns>
  <tableStyleInfo name="TableStyleMedium2" showRowStripes="1"/>
</table>
</file>

<file path=xl/tables/table2.xml><?xml version="1.0" encoding="utf-8"?>
<table xmlns="http://schemas.openxmlformats.org/spreadsheetml/2006/main" id="2" name="CasChargesNoFY" displayName="CasChargesNoFY" ref="I4:M204" headerRowCount="1">
  <autoFilter ref="I4:M204"/>
  <tableColumns count="5">
    <tableColumn id="9" name="Noeud_Cas"/>
    <tableColumn id="10" name="Nom_cas"/>
    <tableColumn id="11" name="FX_daN"/>
    <tableColumn id="12" name="FZ_daN"/>
    <tableColumn id="13" name="Noeu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DDC Calculateur — 2 tableaux côte à côte</t>
        </is>
      </c>
    </row>
    <row r="3">
      <c r="A3" s="2" t="inlineStr"/>
    </row>
    <row r="4">
      <c r="A4" s="2" t="inlineStr">
        <is>
          <t>SAISIE et SYNTHESE : 2 tableaux côte à côte, séparés par les colonnes G-H.</t>
        </is>
      </c>
    </row>
    <row r="5">
      <c r="A5" s="2" t="inlineStr"/>
    </row>
    <row r="6">
      <c r="A6" s="2" t="inlineStr">
        <is>
          <t xml:space="preserve">  GAUCHE (A-F)  : AVEC FY — Noeud_Cas, Nom_cas, FX, FY, FZ</t>
        </is>
      </c>
    </row>
    <row r="7">
      <c r="A7" s="2" t="inlineStr">
        <is>
          <t xml:space="preserve">  DROITE (I-M)  : SANS FY — Noeud_Cas, Nom_cas, FX, FZ</t>
        </is>
      </c>
    </row>
    <row r="8">
      <c r="A8" s="2" t="inlineStr"/>
    </row>
    <row r="9">
      <c r="A9" s="2" t="inlineStr">
        <is>
          <t>Collez vos données dans UN seul côté (pas les deux).</t>
        </is>
      </c>
    </row>
    <row r="10">
      <c r="A10" s="2" t="inlineStr">
        <is>
          <t>Note : FZ &gt; 0 = soulèvement, FZ &lt; 0 = compression. F9 si besoin.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1" customWidth="1" min="4" max="4"/>
    <col width="11" customWidth="1" min="5" max="5"/>
    <col width="8" customWidth="1" min="6" max="6"/>
    <col width="2" customWidth="1" min="7" max="7"/>
    <col width="2" customWidth="1" min="8" max="8"/>
    <col width="12" customWidth="1" min="9" max="9"/>
    <col width="40" customWidth="1" min="10" max="10"/>
    <col width="11" customWidth="1" min="11" max="11"/>
    <col width="11" customWidth="1" min="12" max="12"/>
    <col width="8" customWidth="1" min="13" max="13"/>
  </cols>
  <sheetData>
    <row r="1">
      <c r="A1" s="1" t="inlineStr">
        <is>
          <t>SAISIE — Collez vos cas de charge</t>
        </is>
      </c>
    </row>
    <row r="2">
      <c r="A2" s="2" t="inlineStr">
        <is>
          <t>Gauche = avec FY  |  Droite = sans FY  |  Colonnes G-H = espace</t>
        </is>
      </c>
    </row>
    <row r="3">
      <c r="A3" s="1" t="inlineStr">
        <is>
          <t>TABLEAU — AVEC FY</t>
        </is>
      </c>
      <c r="I3" s="1" t="inlineStr">
        <is>
          <t>TABLEAU — SANS FY</t>
        </is>
      </c>
    </row>
    <row r="4">
      <c r="A4" s="3" t="inlineStr">
        <is>
          <t>Noeud_Cas</t>
        </is>
      </c>
      <c r="B4" s="3" t="inlineStr">
        <is>
          <t>Nom_cas</t>
        </is>
      </c>
      <c r="C4" s="3" t="inlineStr">
        <is>
          <t>FX_daN</t>
        </is>
      </c>
      <c r="D4" s="3" t="inlineStr">
        <is>
          <t>FY_daN</t>
        </is>
      </c>
      <c r="E4" s="3" t="inlineStr">
        <is>
          <t>FZ_daN</t>
        </is>
      </c>
      <c r="F4" s="3" t="inlineStr">
        <is>
          <t>Noeud</t>
        </is>
      </c>
      <c r="I4" s="3" t="inlineStr">
        <is>
          <t>Noeud_Cas</t>
        </is>
      </c>
      <c r="J4" s="3" t="inlineStr">
        <is>
          <t>Nom_cas</t>
        </is>
      </c>
      <c r="K4" s="3" t="inlineStr">
        <is>
          <t>FX_daN</t>
        </is>
      </c>
      <c r="L4" s="3" t="inlineStr">
        <is>
          <t>FZ_daN</t>
        </is>
      </c>
      <c r="M4" s="3" t="inlineStr">
        <is>
          <t>Noeud</t>
        </is>
      </c>
    </row>
    <row r="5">
      <c r="A5" s="4" t="inlineStr">
        <is>
          <t>47/1</t>
        </is>
      </c>
      <c r="B5" s="4" t="inlineStr">
        <is>
          <t>G : Couverture : PA 6 BS 10 PV15</t>
        </is>
      </c>
      <c r="C5" s="4" t="n">
        <v>-116</v>
      </c>
      <c r="D5" s="4" t="n">
        <v>7</v>
      </c>
      <c r="E5" s="4" t="n">
        <v>-1285</v>
      </c>
      <c r="F5" s="2">
        <f>IF(A5="","",VALUE(LEFT(A5,FIND("/",A5&amp;"/")-1)))</f>
        <v/>
      </c>
      <c r="I5" s="2" t="n"/>
      <c r="J5" s="2" t="n"/>
      <c r="K5" s="2" t="n"/>
      <c r="L5" s="2" t="n"/>
      <c r="M5" s="2">
        <f>IF(I5="","",VALUE(LEFT(I5,FIND("/",I5&amp;"/")-1)))</f>
        <v/>
      </c>
    </row>
    <row r="6">
      <c r="A6" s="4" t="inlineStr">
        <is>
          <t>47/2</t>
        </is>
      </c>
      <c r="B6" s="4" t="inlineStr">
        <is>
          <t>Vent G/D dep.(-) Portique 2</t>
        </is>
      </c>
      <c r="C6" s="4" t="n">
        <v>905</v>
      </c>
      <c r="D6" s="4" t="n">
        <v>40</v>
      </c>
      <c r="E6" s="4" t="n">
        <v>1422</v>
      </c>
      <c r="F6" s="2">
        <f>IF(A6="","",VALUE(LEFT(A6,FIND("/",A6&amp;"/")-1)))</f>
        <v/>
      </c>
      <c r="I6" s="2" t="n"/>
      <c r="J6" s="2" t="n"/>
      <c r="K6" s="2" t="n"/>
      <c r="L6" s="2" t="n"/>
      <c r="M6" s="2">
        <f>IF(I6="","",VALUE(LEFT(I6,FIND("/",I6&amp;"/")-1)))</f>
        <v/>
      </c>
    </row>
    <row r="7">
      <c r="A7" s="4" t="inlineStr">
        <is>
          <t>47/3</t>
        </is>
      </c>
      <c r="B7" s="4" t="inlineStr">
        <is>
          <t>Vent G/D sur.(+) Portique 2</t>
        </is>
      </c>
      <c r="C7" s="4" t="n">
        <v>900</v>
      </c>
      <c r="D7" s="4" t="n">
        <v>32</v>
      </c>
      <c r="E7" s="4" t="n">
        <v>1444</v>
      </c>
      <c r="F7" s="2">
        <f>IF(A7="","",VALUE(LEFT(A7,FIND("/",A7&amp;"/")-1)))</f>
        <v/>
      </c>
      <c r="I7" s="2" t="n"/>
      <c r="J7" s="2" t="n"/>
      <c r="K7" s="2" t="n"/>
      <c r="L7" s="2" t="n"/>
      <c r="M7" s="2">
        <f>IF(I7="","",VALUE(LEFT(I7,FIND("/",I7&amp;"/")-1)))</f>
        <v/>
      </c>
    </row>
    <row r="8">
      <c r="A8" s="4" t="inlineStr">
        <is>
          <t>47/4</t>
        </is>
      </c>
      <c r="B8" s="4" t="inlineStr">
        <is>
          <t>Vent D/G dep.(-) Cpe - Portique 2</t>
        </is>
      </c>
      <c r="C8" s="4" t="n">
        <v>-345</v>
      </c>
      <c r="D8" s="4" t="n">
        <v>5</v>
      </c>
      <c r="E8" s="4" t="n">
        <v>462</v>
      </c>
      <c r="F8" s="2">
        <f>IF(A8="","",VALUE(LEFT(A8,FIND("/",A8&amp;"/")-1)))</f>
        <v/>
      </c>
      <c r="I8" s="2" t="n"/>
      <c r="J8" s="2" t="n"/>
      <c r="K8" s="2" t="n"/>
      <c r="L8" s="2" t="n"/>
      <c r="M8" s="2">
        <f>IF(I8="","",VALUE(LEFT(I8,FIND("/",I8&amp;"/")-1)))</f>
        <v/>
      </c>
    </row>
    <row r="9">
      <c r="A9" s="4" t="inlineStr">
        <is>
          <t>47/5</t>
        </is>
      </c>
      <c r="B9" s="4" t="inlineStr">
        <is>
          <t>Vent D/G dep.(-) Cpe + Portique 2</t>
        </is>
      </c>
      <c r="C9" s="4" t="n">
        <v>-513</v>
      </c>
      <c r="D9" s="4" t="n">
        <v>-11</v>
      </c>
      <c r="E9" s="4" t="n">
        <v>-281</v>
      </c>
      <c r="F9" s="2">
        <f>IF(A9="","",VALUE(LEFT(A9,FIND("/",A9&amp;"/")-1)))</f>
        <v/>
      </c>
      <c r="I9" s="2" t="n"/>
      <c r="J9" s="2" t="n"/>
      <c r="K9" s="2" t="n"/>
      <c r="L9" s="2" t="n"/>
      <c r="M9" s="2">
        <f>IF(I9="","",VALUE(LEFT(I9,FIND("/",I9&amp;"/")-1)))</f>
        <v/>
      </c>
    </row>
    <row r="10">
      <c r="A10" s="4" t="inlineStr">
        <is>
          <t>47/6</t>
        </is>
      </c>
      <c r="B10" s="4" t="inlineStr">
        <is>
          <t>Vent D/G sur.(+) Cpe - Portique 2</t>
        </is>
      </c>
      <c r="C10" s="4" t="n">
        <v>-349</v>
      </c>
      <c r="D10" s="4" t="n">
        <v>-2</v>
      </c>
      <c r="E10" s="4" t="n">
        <v>485</v>
      </c>
      <c r="F10" s="2">
        <f>IF(A10="","",VALUE(LEFT(A10,FIND("/",A10&amp;"/")-1)))</f>
        <v/>
      </c>
      <c r="I10" s="2" t="n"/>
      <c r="J10" s="2" t="n"/>
      <c r="K10" s="2" t="n"/>
      <c r="L10" s="2" t="n"/>
      <c r="M10" s="2">
        <f>IF(I10="","",VALUE(LEFT(I10,FIND("/",I10&amp;"/")-1)))</f>
        <v/>
      </c>
    </row>
    <row r="11">
      <c r="A11" s="4" t="inlineStr">
        <is>
          <t>47/7</t>
        </is>
      </c>
      <c r="B11" s="4" t="inlineStr">
        <is>
          <t>Vent D/G sur.(+) Cpe + Portique 2</t>
        </is>
      </c>
      <c r="C11" s="4" t="n">
        <v>-518</v>
      </c>
      <c r="D11" s="4" t="n">
        <v>-22</v>
      </c>
      <c r="E11" s="4" t="n">
        <v>-258</v>
      </c>
      <c r="F11" s="2">
        <f>IF(A11="","",VALUE(LEFT(A11,FIND("/",A11&amp;"/")-1)))</f>
        <v/>
      </c>
      <c r="I11" s="2" t="n"/>
      <c r="J11" s="2" t="n"/>
      <c r="K11" s="2" t="n"/>
      <c r="L11" s="2" t="n"/>
      <c r="M11" s="2">
        <f>IF(I11="","",VALUE(LEFT(I11,FIND("/",I11&amp;"/")-1)))</f>
        <v/>
      </c>
    </row>
    <row r="12">
      <c r="A12" s="4" t="inlineStr">
        <is>
          <t>47/8</t>
        </is>
      </c>
      <c r="B12" s="4" t="inlineStr">
        <is>
          <t>Vent Av./Arr. dep.(-) Portique 2</t>
        </is>
      </c>
      <c r="C12" s="4" t="n">
        <v>-241</v>
      </c>
      <c r="D12" s="4" t="n">
        <v>205</v>
      </c>
      <c r="E12" s="4" t="n">
        <v>815</v>
      </c>
      <c r="F12" s="2">
        <f>IF(A12="","",VALUE(LEFT(A12,FIND("/",A12&amp;"/")-1)))</f>
        <v/>
      </c>
      <c r="I12" s="2" t="n"/>
      <c r="J12" s="2" t="n"/>
      <c r="K12" s="2" t="n"/>
      <c r="L12" s="2" t="n"/>
      <c r="M12" s="2">
        <f>IF(I12="","",VALUE(LEFT(I12,FIND("/",I12&amp;"/")-1)))</f>
        <v/>
      </c>
    </row>
    <row r="13">
      <c r="A13" s="4" t="inlineStr">
        <is>
          <t>47/9</t>
        </is>
      </c>
      <c r="B13" s="4" t="inlineStr">
        <is>
          <t>Vent Av./Arr. sur.(+) Portique 2</t>
        </is>
      </c>
      <c r="C13" s="4" t="n">
        <v>-198</v>
      </c>
      <c r="D13" s="4" t="n">
        <v>195</v>
      </c>
      <c r="E13" s="4" t="n">
        <v>598</v>
      </c>
      <c r="F13" s="2">
        <f>IF(A13="","",VALUE(LEFT(A13,FIND("/",A13&amp;"/")-1)))</f>
        <v/>
      </c>
      <c r="I13" s="2" t="n"/>
      <c r="J13" s="2" t="n"/>
      <c r="K13" s="2" t="n"/>
      <c r="L13" s="2" t="n"/>
      <c r="M13" s="2">
        <f>IF(I13="","",VALUE(LEFT(I13,FIND("/",I13&amp;"/")-1)))</f>
        <v/>
      </c>
    </row>
    <row r="14">
      <c r="A14" s="4" t="inlineStr">
        <is>
          <t>47/10</t>
        </is>
      </c>
      <c r="B14" s="4" t="inlineStr">
        <is>
          <t>Vent Arr./Av. dep.(-) Portique 2</t>
        </is>
      </c>
      <c r="C14" s="4" t="n">
        <v>-105</v>
      </c>
      <c r="D14" s="4" t="n">
        <v>0</v>
      </c>
      <c r="E14" s="4" t="n">
        <v>400</v>
      </c>
      <c r="F14" s="2">
        <f>IF(A14="","",VALUE(LEFT(A14,FIND("/",A14&amp;"/")-1)))</f>
        <v/>
      </c>
      <c r="I14" s="2" t="n"/>
      <c r="J14" s="2" t="n"/>
      <c r="K14" s="2" t="n"/>
      <c r="L14" s="2" t="n"/>
      <c r="M14" s="2">
        <f>IF(I14="","",VALUE(LEFT(I14,FIND("/",I14&amp;"/")-1)))</f>
        <v/>
      </c>
    </row>
    <row r="15">
      <c r="A15" s="4" t="inlineStr">
        <is>
          <t>47/11</t>
        </is>
      </c>
      <c r="B15" s="4" t="inlineStr">
        <is>
          <t>Vent Arr./Av. sur.(+) Portique 2</t>
        </is>
      </c>
      <c r="C15" s="4" t="n">
        <v>-37</v>
      </c>
      <c r="D15" s="4" t="n">
        <v>-11</v>
      </c>
      <c r="E15" s="4" t="n">
        <v>56</v>
      </c>
      <c r="F15" s="2">
        <f>IF(A15="","",VALUE(LEFT(A15,FIND("/",A15&amp;"/")-1)))</f>
        <v/>
      </c>
      <c r="I15" s="2" t="n"/>
      <c r="J15" s="2" t="n"/>
      <c r="K15" s="2" t="n"/>
      <c r="L15" s="2" t="n"/>
      <c r="M15" s="2">
        <f>IF(I15="","",VALUE(LEFT(I15,FIND("/",I15&amp;"/")-1)))</f>
        <v/>
      </c>
    </row>
    <row r="16">
      <c r="A16" s="4" t="inlineStr">
        <is>
          <t>47/12</t>
        </is>
      </c>
      <c r="B16" s="4" t="inlineStr">
        <is>
          <t>Neige cas I</t>
        </is>
      </c>
      <c r="C16" s="4" t="n">
        <v>-113</v>
      </c>
      <c r="D16" s="4" t="n">
        <v>0</v>
      </c>
      <c r="E16" s="4" t="n">
        <v>-1010</v>
      </c>
      <c r="F16" s="2">
        <f>IF(A16="","",VALUE(LEFT(A16,FIND("/",A16&amp;"/")-1)))</f>
        <v/>
      </c>
      <c r="I16" s="2" t="n"/>
      <c r="J16" s="2" t="n"/>
      <c r="K16" s="2" t="n"/>
      <c r="L16" s="2" t="n"/>
      <c r="M16" s="2">
        <f>IF(I16="","",VALUE(LEFT(I16,FIND("/",I16&amp;"/")-1)))</f>
        <v/>
      </c>
    </row>
    <row r="17">
      <c r="A17" s="4" t="inlineStr">
        <is>
          <t>47/13</t>
        </is>
      </c>
      <c r="B17" s="4" t="inlineStr">
        <is>
          <t>Neige cas II</t>
        </is>
      </c>
      <c r="C17" s="4" t="n">
        <v>-56</v>
      </c>
      <c r="D17" s="4" t="n">
        <v>0</v>
      </c>
      <c r="E17" s="4" t="n">
        <v>-505</v>
      </c>
      <c r="F17" s="2">
        <f>IF(A17="","",VALUE(LEFT(A17,FIND("/",A17&amp;"/")-1)))</f>
        <v/>
      </c>
      <c r="I17" s="2" t="n"/>
      <c r="J17" s="2" t="n"/>
      <c r="K17" s="2" t="n"/>
      <c r="L17" s="2" t="n"/>
      <c r="M17" s="2">
        <f>IF(I17="","",VALUE(LEFT(I17,FIND("/",I17&amp;"/")-1)))</f>
        <v/>
      </c>
    </row>
    <row r="18">
      <c r="A18" s="4" t="inlineStr">
        <is>
          <t>47/14</t>
        </is>
      </c>
      <c r="B18" s="4" t="inlineStr">
        <is>
          <t>Neige accidentel</t>
        </is>
      </c>
      <c r="C18" s="4" t="n">
        <v>-251</v>
      </c>
      <c r="D18" s="4" t="n">
        <v>0</v>
      </c>
      <c r="E18" s="4" t="n">
        <v>-2244</v>
      </c>
      <c r="F18" s="2">
        <f>IF(A18="","",VALUE(LEFT(A18,FIND("/",A18&amp;"/")-1)))</f>
        <v/>
      </c>
      <c r="I18" s="2" t="n"/>
      <c r="J18" s="2" t="n"/>
      <c r="K18" s="2" t="n"/>
      <c r="L18" s="2" t="n"/>
      <c r="M18" s="2">
        <f>IF(I18="","",VALUE(LEFT(I18,FIND("/",I18&amp;"/")-1)))</f>
        <v/>
      </c>
    </row>
    <row r="19">
      <c r="A19" s="2" t="n"/>
      <c r="B19" s="2" t="n"/>
      <c r="C19" s="2" t="n"/>
      <c r="D19" s="2" t="n"/>
      <c r="E19" s="2" t="n"/>
      <c r="F19" s="2">
        <f>IF(A19="","",VALUE(LEFT(A19,FIND("/",A19&amp;"/")-1)))</f>
        <v/>
      </c>
      <c r="I19" s="2" t="n"/>
      <c r="J19" s="2" t="n"/>
      <c r="K19" s="2" t="n"/>
      <c r="L19" s="2" t="n"/>
      <c r="M19" s="2">
        <f>IF(I19="","",VALUE(LEFT(I19,FIND("/",I19&amp;"/")-1)))</f>
        <v/>
      </c>
    </row>
    <row r="20">
      <c r="A20" s="2" t="n"/>
      <c r="B20" s="2" t="n"/>
      <c r="C20" s="2" t="n"/>
      <c r="D20" s="2" t="n"/>
      <c r="E20" s="2" t="n"/>
      <c r="F20" s="2">
        <f>IF(A20="","",VALUE(LEFT(A20,FIND("/",A20&amp;"/")-1)))</f>
        <v/>
      </c>
      <c r="I20" s="2" t="n"/>
      <c r="J20" s="2" t="n"/>
      <c r="K20" s="2" t="n"/>
      <c r="L20" s="2" t="n"/>
      <c r="M20" s="2">
        <f>IF(I20="","",VALUE(LEFT(I20,FIND("/",I20&amp;"/")-1)))</f>
        <v/>
      </c>
    </row>
    <row r="21">
      <c r="A21" s="2" t="n"/>
      <c r="B21" s="2" t="n"/>
      <c r="C21" s="2" t="n"/>
      <c r="D21" s="2" t="n"/>
      <c r="E21" s="2" t="n"/>
      <c r="F21" s="2">
        <f>IF(A21="","",VALUE(LEFT(A21,FIND("/",A21&amp;"/")-1)))</f>
        <v/>
      </c>
      <c r="I21" s="2" t="n"/>
      <c r="J21" s="2" t="n"/>
      <c r="K21" s="2" t="n"/>
      <c r="L21" s="2" t="n"/>
      <c r="M21" s="2">
        <f>IF(I21="","",VALUE(LEFT(I21,FIND("/",I21&amp;"/")-1)))</f>
        <v/>
      </c>
    </row>
    <row r="22">
      <c r="A22" s="2" t="n"/>
      <c r="B22" s="2" t="n"/>
      <c r="C22" s="2" t="n"/>
      <c r="D22" s="2" t="n"/>
      <c r="E22" s="2" t="n"/>
      <c r="F22" s="2">
        <f>IF(A22="","",VALUE(LEFT(A22,FIND("/",A22&amp;"/")-1)))</f>
        <v/>
      </c>
      <c r="I22" s="2" t="n"/>
      <c r="J22" s="2" t="n"/>
      <c r="K22" s="2" t="n"/>
      <c r="L22" s="2" t="n"/>
      <c r="M22" s="2">
        <f>IF(I22="","",VALUE(LEFT(I22,FIND("/",I22&amp;"/")-1)))</f>
        <v/>
      </c>
    </row>
    <row r="23">
      <c r="A23" s="2" t="n"/>
      <c r="B23" s="2" t="n"/>
      <c r="C23" s="2" t="n"/>
      <c r="D23" s="2" t="n"/>
      <c r="E23" s="2" t="n"/>
      <c r="F23" s="2">
        <f>IF(A23="","",VALUE(LEFT(A23,FIND("/",A23&amp;"/")-1)))</f>
        <v/>
      </c>
      <c r="I23" s="2" t="n"/>
      <c r="J23" s="2" t="n"/>
      <c r="K23" s="2" t="n"/>
      <c r="L23" s="2" t="n"/>
      <c r="M23" s="2">
        <f>IF(I23="","",VALUE(LEFT(I23,FIND("/",I23&amp;"/")-1)))</f>
        <v/>
      </c>
    </row>
    <row r="24">
      <c r="A24" s="2" t="n"/>
      <c r="B24" s="2" t="n"/>
      <c r="C24" s="2" t="n"/>
      <c r="D24" s="2" t="n"/>
      <c r="E24" s="2" t="n"/>
      <c r="F24" s="2">
        <f>IF(A24="","",VALUE(LEFT(A24,FIND("/",A24&amp;"/")-1)))</f>
        <v/>
      </c>
      <c r="I24" s="2" t="n"/>
      <c r="J24" s="2" t="n"/>
      <c r="K24" s="2" t="n"/>
      <c r="L24" s="2" t="n"/>
      <c r="M24" s="2">
        <f>IF(I24="","",VALUE(LEFT(I24,FIND("/",I24&amp;"/")-1)))</f>
        <v/>
      </c>
    </row>
    <row r="25">
      <c r="A25" s="2" t="n"/>
      <c r="B25" s="2" t="n"/>
      <c r="C25" s="2" t="n"/>
      <c r="D25" s="2" t="n"/>
      <c r="E25" s="2" t="n"/>
      <c r="F25" s="2">
        <f>IF(A25="","",VALUE(LEFT(A25,FIND("/",A25&amp;"/")-1)))</f>
        <v/>
      </c>
      <c r="I25" s="2" t="n"/>
      <c r="J25" s="2" t="n"/>
      <c r="K25" s="2" t="n"/>
      <c r="L25" s="2" t="n"/>
      <c r="M25" s="2">
        <f>IF(I25="","",VALUE(LEFT(I25,FIND("/",I25&amp;"/")-1)))</f>
        <v/>
      </c>
    </row>
    <row r="26">
      <c r="A26" s="2" t="n"/>
      <c r="B26" s="2" t="n"/>
      <c r="C26" s="2" t="n"/>
      <c r="D26" s="2" t="n"/>
      <c r="E26" s="2" t="n"/>
      <c r="F26" s="2">
        <f>IF(A26="","",VALUE(LEFT(A26,FIND("/",A26&amp;"/")-1)))</f>
        <v/>
      </c>
      <c r="I26" s="2" t="n"/>
      <c r="J26" s="2" t="n"/>
      <c r="K26" s="2" t="n"/>
      <c r="L26" s="2" t="n"/>
      <c r="M26" s="2">
        <f>IF(I26="","",VALUE(LEFT(I26,FIND("/",I26&amp;"/")-1)))</f>
        <v/>
      </c>
    </row>
    <row r="27">
      <c r="A27" s="2" t="n"/>
      <c r="B27" s="2" t="n"/>
      <c r="C27" s="2" t="n"/>
      <c r="D27" s="2" t="n"/>
      <c r="E27" s="2" t="n"/>
      <c r="F27" s="2">
        <f>IF(A27="","",VALUE(LEFT(A27,FIND("/",A27&amp;"/")-1)))</f>
        <v/>
      </c>
      <c r="I27" s="2" t="n"/>
      <c r="J27" s="2" t="n"/>
      <c r="K27" s="2" t="n"/>
      <c r="L27" s="2" t="n"/>
      <c r="M27" s="2">
        <f>IF(I27="","",VALUE(LEFT(I27,FIND("/",I27&amp;"/")-1)))</f>
        <v/>
      </c>
    </row>
    <row r="28">
      <c r="A28" s="2" t="n"/>
      <c r="B28" s="2" t="n"/>
      <c r="C28" s="2" t="n"/>
      <c r="D28" s="2" t="n"/>
      <c r="E28" s="2" t="n"/>
      <c r="F28" s="2">
        <f>IF(A28="","",VALUE(LEFT(A28,FIND("/",A28&amp;"/")-1)))</f>
        <v/>
      </c>
      <c r="I28" s="2" t="n"/>
      <c r="J28" s="2" t="n"/>
      <c r="K28" s="2" t="n"/>
      <c r="L28" s="2" t="n"/>
      <c r="M28" s="2">
        <f>IF(I28="","",VALUE(LEFT(I28,FIND("/",I28&amp;"/")-1)))</f>
        <v/>
      </c>
    </row>
    <row r="29">
      <c r="A29" s="2" t="n"/>
      <c r="B29" s="2" t="n"/>
      <c r="C29" s="2" t="n"/>
      <c r="D29" s="2" t="n"/>
      <c r="E29" s="2" t="n"/>
      <c r="F29" s="2">
        <f>IF(A29="","",VALUE(LEFT(A29,FIND("/",A29&amp;"/")-1)))</f>
        <v/>
      </c>
      <c r="I29" s="2" t="n"/>
      <c r="J29" s="2" t="n"/>
      <c r="K29" s="2" t="n"/>
      <c r="L29" s="2" t="n"/>
      <c r="M29" s="2">
        <f>IF(I29="","",VALUE(LEFT(I29,FIND("/",I29&amp;"/")-1)))</f>
        <v/>
      </c>
    </row>
    <row r="30">
      <c r="A30" s="2" t="n"/>
      <c r="B30" s="2" t="n"/>
      <c r="C30" s="2" t="n"/>
      <c r="D30" s="2" t="n"/>
      <c r="E30" s="2" t="n"/>
      <c r="F30" s="2">
        <f>IF(A30="","",VALUE(LEFT(A30,FIND("/",A30&amp;"/")-1)))</f>
        <v/>
      </c>
      <c r="I30" s="2" t="n"/>
      <c r="J30" s="2" t="n"/>
      <c r="K30" s="2" t="n"/>
      <c r="L30" s="2" t="n"/>
      <c r="M30" s="2">
        <f>IF(I30="","",VALUE(LEFT(I30,FIND("/",I30&amp;"/")-1)))</f>
        <v/>
      </c>
    </row>
    <row r="31">
      <c r="A31" s="2" t="n"/>
      <c r="B31" s="2" t="n"/>
      <c r="C31" s="2" t="n"/>
      <c r="D31" s="2" t="n"/>
      <c r="E31" s="2" t="n"/>
      <c r="F31" s="2">
        <f>IF(A31="","",VALUE(LEFT(A31,FIND("/",A31&amp;"/")-1)))</f>
        <v/>
      </c>
      <c r="I31" s="2" t="n"/>
      <c r="J31" s="2" t="n"/>
      <c r="K31" s="2" t="n"/>
      <c r="L31" s="2" t="n"/>
      <c r="M31" s="2">
        <f>IF(I31="","",VALUE(LEFT(I31,FIND("/",I31&amp;"/")-1)))</f>
        <v/>
      </c>
    </row>
    <row r="32">
      <c r="A32" s="2" t="n"/>
      <c r="B32" s="2" t="n"/>
      <c r="C32" s="2" t="n"/>
      <c r="D32" s="2" t="n"/>
      <c r="E32" s="2" t="n"/>
      <c r="F32" s="2">
        <f>IF(A32="","",VALUE(LEFT(A32,FIND("/",A32&amp;"/")-1)))</f>
        <v/>
      </c>
      <c r="I32" s="2" t="n"/>
      <c r="J32" s="2" t="n"/>
      <c r="K32" s="2" t="n"/>
      <c r="L32" s="2" t="n"/>
      <c r="M32" s="2">
        <f>IF(I32="","",VALUE(LEFT(I32,FIND("/",I32&amp;"/")-1)))</f>
        <v/>
      </c>
    </row>
    <row r="33">
      <c r="A33" s="2" t="n"/>
      <c r="B33" s="2" t="n"/>
      <c r="C33" s="2" t="n"/>
      <c r="D33" s="2" t="n"/>
      <c r="E33" s="2" t="n"/>
      <c r="F33" s="2">
        <f>IF(A33="","",VALUE(LEFT(A33,FIND("/",A33&amp;"/")-1)))</f>
        <v/>
      </c>
      <c r="I33" s="2" t="n"/>
      <c r="J33" s="2" t="n"/>
      <c r="K33" s="2" t="n"/>
      <c r="L33" s="2" t="n"/>
      <c r="M33" s="2">
        <f>IF(I33="","",VALUE(LEFT(I33,FIND("/",I33&amp;"/")-1)))</f>
        <v/>
      </c>
    </row>
    <row r="34">
      <c r="A34" s="2" t="n"/>
      <c r="B34" s="2" t="n"/>
      <c r="C34" s="2" t="n"/>
      <c r="D34" s="2" t="n"/>
      <c r="E34" s="2" t="n"/>
      <c r="F34" s="2">
        <f>IF(A34="","",VALUE(LEFT(A34,FIND("/",A34&amp;"/")-1)))</f>
        <v/>
      </c>
      <c r="I34" s="2" t="n"/>
      <c r="J34" s="2" t="n"/>
      <c r="K34" s="2" t="n"/>
      <c r="L34" s="2" t="n"/>
      <c r="M34" s="2">
        <f>IF(I34="","",VALUE(LEFT(I34,FIND("/",I34&amp;"/")-1)))</f>
        <v/>
      </c>
    </row>
    <row r="35">
      <c r="A35" s="2" t="n"/>
      <c r="B35" s="2" t="n"/>
      <c r="C35" s="2" t="n"/>
      <c r="D35" s="2" t="n"/>
      <c r="E35" s="2" t="n"/>
      <c r="F35" s="2">
        <f>IF(A35="","",VALUE(LEFT(A35,FIND("/",A35&amp;"/")-1)))</f>
        <v/>
      </c>
      <c r="I35" s="2" t="n"/>
      <c r="J35" s="2" t="n"/>
      <c r="K35" s="2" t="n"/>
      <c r="L35" s="2" t="n"/>
      <c r="M35" s="2">
        <f>IF(I35="","",VALUE(LEFT(I35,FIND("/",I35&amp;"/")-1)))</f>
        <v/>
      </c>
    </row>
    <row r="36">
      <c r="A36" s="2" t="n"/>
      <c r="B36" s="2" t="n"/>
      <c r="C36" s="2" t="n"/>
      <c r="D36" s="2" t="n"/>
      <c r="E36" s="2" t="n"/>
      <c r="F36" s="2">
        <f>IF(A36="","",VALUE(LEFT(A36,FIND("/",A36&amp;"/")-1)))</f>
        <v/>
      </c>
      <c r="I36" s="2" t="n"/>
      <c r="J36" s="2" t="n"/>
      <c r="K36" s="2" t="n"/>
      <c r="L36" s="2" t="n"/>
      <c r="M36" s="2">
        <f>IF(I36="","",VALUE(LEFT(I36,FIND("/",I36&amp;"/")-1)))</f>
        <v/>
      </c>
    </row>
    <row r="37">
      <c r="A37" s="2" t="n"/>
      <c r="B37" s="2" t="n"/>
      <c r="C37" s="2" t="n"/>
      <c r="D37" s="2" t="n"/>
      <c r="E37" s="2" t="n"/>
      <c r="F37" s="2">
        <f>IF(A37="","",VALUE(LEFT(A37,FIND("/",A37&amp;"/")-1)))</f>
        <v/>
      </c>
      <c r="I37" s="2" t="n"/>
      <c r="J37" s="2" t="n"/>
      <c r="K37" s="2" t="n"/>
      <c r="L37" s="2" t="n"/>
      <c r="M37" s="2">
        <f>IF(I37="","",VALUE(LEFT(I37,FIND("/",I37&amp;"/")-1)))</f>
        <v/>
      </c>
    </row>
    <row r="38">
      <c r="A38" s="2" t="n"/>
      <c r="B38" s="2" t="n"/>
      <c r="C38" s="2" t="n"/>
      <c r="D38" s="2" t="n"/>
      <c r="E38" s="2" t="n"/>
      <c r="F38" s="2">
        <f>IF(A38="","",VALUE(LEFT(A38,FIND("/",A38&amp;"/")-1)))</f>
        <v/>
      </c>
      <c r="I38" s="2" t="n"/>
      <c r="J38" s="2" t="n"/>
      <c r="K38" s="2" t="n"/>
      <c r="L38" s="2" t="n"/>
      <c r="M38" s="2">
        <f>IF(I38="","",VALUE(LEFT(I38,FIND("/",I38&amp;"/")-1)))</f>
        <v/>
      </c>
    </row>
    <row r="39">
      <c r="A39" s="2" t="n"/>
      <c r="B39" s="2" t="n"/>
      <c r="C39" s="2" t="n"/>
      <c r="D39" s="2" t="n"/>
      <c r="E39" s="2" t="n"/>
      <c r="F39" s="2">
        <f>IF(A39="","",VALUE(LEFT(A39,FIND("/",A39&amp;"/")-1)))</f>
        <v/>
      </c>
      <c r="I39" s="2" t="n"/>
      <c r="J39" s="2" t="n"/>
      <c r="K39" s="2" t="n"/>
      <c r="L39" s="2" t="n"/>
      <c r="M39" s="2">
        <f>IF(I39="","",VALUE(LEFT(I39,FIND("/",I39&amp;"/")-1)))</f>
        <v/>
      </c>
    </row>
    <row r="40">
      <c r="A40" s="2" t="n"/>
      <c r="B40" s="2" t="n"/>
      <c r="C40" s="2" t="n"/>
      <c r="D40" s="2" t="n"/>
      <c r="E40" s="2" t="n"/>
      <c r="F40" s="2">
        <f>IF(A40="","",VALUE(LEFT(A40,FIND("/",A40&amp;"/")-1)))</f>
        <v/>
      </c>
      <c r="I40" s="2" t="n"/>
      <c r="J40" s="2" t="n"/>
      <c r="K40" s="2" t="n"/>
      <c r="L40" s="2" t="n"/>
      <c r="M40" s="2">
        <f>IF(I40="","",VALUE(LEFT(I40,FIND("/",I40&amp;"/")-1)))</f>
        <v/>
      </c>
    </row>
    <row r="41">
      <c r="A41" s="2" t="n"/>
      <c r="B41" s="2" t="n"/>
      <c r="C41" s="2" t="n"/>
      <c r="D41" s="2" t="n"/>
      <c r="E41" s="2" t="n"/>
      <c r="F41" s="2">
        <f>IF(A41="","",VALUE(LEFT(A41,FIND("/",A41&amp;"/")-1)))</f>
        <v/>
      </c>
      <c r="I41" s="2" t="n"/>
      <c r="J41" s="2" t="n"/>
      <c r="K41" s="2" t="n"/>
      <c r="L41" s="2" t="n"/>
      <c r="M41" s="2">
        <f>IF(I41="","",VALUE(LEFT(I41,FIND("/",I41&amp;"/")-1)))</f>
        <v/>
      </c>
    </row>
    <row r="42">
      <c r="A42" s="2" t="n"/>
      <c r="B42" s="2" t="n"/>
      <c r="C42" s="2" t="n"/>
      <c r="D42" s="2" t="n"/>
      <c r="E42" s="2" t="n"/>
      <c r="F42" s="2">
        <f>IF(A42="","",VALUE(LEFT(A42,FIND("/",A42&amp;"/")-1)))</f>
        <v/>
      </c>
      <c r="I42" s="2" t="n"/>
      <c r="J42" s="2" t="n"/>
      <c r="K42" s="2" t="n"/>
      <c r="L42" s="2" t="n"/>
      <c r="M42" s="2">
        <f>IF(I42="","",VALUE(LEFT(I42,FIND("/",I42&amp;"/")-1)))</f>
        <v/>
      </c>
    </row>
    <row r="43">
      <c r="A43" s="2" t="n"/>
      <c r="B43" s="2" t="n"/>
      <c r="C43" s="2" t="n"/>
      <c r="D43" s="2" t="n"/>
      <c r="E43" s="2" t="n"/>
      <c r="F43" s="2">
        <f>IF(A43="","",VALUE(LEFT(A43,FIND("/",A43&amp;"/")-1)))</f>
        <v/>
      </c>
      <c r="I43" s="2" t="n"/>
      <c r="J43" s="2" t="n"/>
      <c r="K43" s="2" t="n"/>
      <c r="L43" s="2" t="n"/>
      <c r="M43" s="2">
        <f>IF(I43="","",VALUE(LEFT(I43,FIND("/",I43&amp;"/")-1)))</f>
        <v/>
      </c>
    </row>
    <row r="44">
      <c r="A44" s="2" t="n"/>
      <c r="B44" s="2" t="n"/>
      <c r="C44" s="2" t="n"/>
      <c r="D44" s="2" t="n"/>
      <c r="E44" s="2" t="n"/>
      <c r="F44" s="2">
        <f>IF(A44="","",VALUE(LEFT(A44,FIND("/",A44&amp;"/")-1)))</f>
        <v/>
      </c>
      <c r="I44" s="2" t="n"/>
      <c r="J44" s="2" t="n"/>
      <c r="K44" s="2" t="n"/>
      <c r="L44" s="2" t="n"/>
      <c r="M44" s="2">
        <f>IF(I44="","",VALUE(LEFT(I44,FIND("/",I44&amp;"/")-1)))</f>
        <v/>
      </c>
    </row>
    <row r="45">
      <c r="A45" s="2" t="n"/>
      <c r="B45" s="2" t="n"/>
      <c r="C45" s="2" t="n"/>
      <c r="D45" s="2" t="n"/>
      <c r="E45" s="2" t="n"/>
      <c r="F45" s="2">
        <f>IF(A45="","",VALUE(LEFT(A45,FIND("/",A45&amp;"/")-1)))</f>
        <v/>
      </c>
      <c r="I45" s="2" t="n"/>
      <c r="J45" s="2" t="n"/>
      <c r="K45" s="2" t="n"/>
      <c r="L45" s="2" t="n"/>
      <c r="M45" s="2">
        <f>IF(I45="","",VALUE(LEFT(I45,FIND("/",I45&amp;"/")-1)))</f>
        <v/>
      </c>
    </row>
    <row r="46">
      <c r="A46" s="2" t="n"/>
      <c r="B46" s="2" t="n"/>
      <c r="C46" s="2" t="n"/>
      <c r="D46" s="2" t="n"/>
      <c r="E46" s="2" t="n"/>
      <c r="F46" s="2">
        <f>IF(A46="","",VALUE(LEFT(A46,FIND("/",A46&amp;"/")-1)))</f>
        <v/>
      </c>
      <c r="I46" s="2" t="n"/>
      <c r="J46" s="2" t="n"/>
      <c r="K46" s="2" t="n"/>
      <c r="L46" s="2" t="n"/>
      <c r="M46" s="2">
        <f>IF(I46="","",VALUE(LEFT(I46,FIND("/",I46&amp;"/")-1)))</f>
        <v/>
      </c>
    </row>
    <row r="47">
      <c r="A47" s="2" t="n"/>
      <c r="B47" s="2" t="n"/>
      <c r="C47" s="2" t="n"/>
      <c r="D47" s="2" t="n"/>
      <c r="E47" s="2" t="n"/>
      <c r="F47" s="2">
        <f>IF(A47="","",VALUE(LEFT(A47,FIND("/",A47&amp;"/")-1)))</f>
        <v/>
      </c>
      <c r="I47" s="2" t="n"/>
      <c r="J47" s="2" t="n"/>
      <c r="K47" s="2" t="n"/>
      <c r="L47" s="2" t="n"/>
      <c r="M47" s="2">
        <f>IF(I47="","",VALUE(LEFT(I47,FIND("/",I47&amp;"/")-1)))</f>
        <v/>
      </c>
    </row>
    <row r="48">
      <c r="A48" s="2" t="n"/>
      <c r="B48" s="2" t="n"/>
      <c r="C48" s="2" t="n"/>
      <c r="D48" s="2" t="n"/>
      <c r="E48" s="2" t="n"/>
      <c r="F48" s="2">
        <f>IF(A48="","",VALUE(LEFT(A48,FIND("/",A48&amp;"/")-1)))</f>
        <v/>
      </c>
      <c r="I48" s="2" t="n"/>
      <c r="J48" s="2" t="n"/>
      <c r="K48" s="2" t="n"/>
      <c r="L48" s="2" t="n"/>
      <c r="M48" s="2">
        <f>IF(I48="","",VALUE(LEFT(I48,FIND("/",I48&amp;"/")-1)))</f>
        <v/>
      </c>
    </row>
    <row r="49">
      <c r="A49" s="2" t="n"/>
      <c r="B49" s="2" t="n"/>
      <c r="C49" s="2" t="n"/>
      <c r="D49" s="2" t="n"/>
      <c r="E49" s="2" t="n"/>
      <c r="F49" s="2">
        <f>IF(A49="","",VALUE(LEFT(A49,FIND("/",A49&amp;"/")-1)))</f>
        <v/>
      </c>
      <c r="I49" s="2" t="n"/>
      <c r="J49" s="2" t="n"/>
      <c r="K49" s="2" t="n"/>
      <c r="L49" s="2" t="n"/>
      <c r="M49" s="2">
        <f>IF(I49="","",VALUE(LEFT(I49,FIND("/",I49&amp;"/")-1)))</f>
        <v/>
      </c>
    </row>
    <row r="50">
      <c r="A50" s="2" t="n"/>
      <c r="B50" s="2" t="n"/>
      <c r="C50" s="2" t="n"/>
      <c r="D50" s="2" t="n"/>
      <c r="E50" s="2" t="n"/>
      <c r="F50" s="2">
        <f>IF(A50="","",VALUE(LEFT(A50,FIND("/",A50&amp;"/")-1)))</f>
        <v/>
      </c>
      <c r="I50" s="2" t="n"/>
      <c r="J50" s="2" t="n"/>
      <c r="K50" s="2" t="n"/>
      <c r="L50" s="2" t="n"/>
      <c r="M50" s="2">
        <f>IF(I50="","",VALUE(LEFT(I50,FIND("/",I50&amp;"/")-1)))</f>
        <v/>
      </c>
    </row>
    <row r="51">
      <c r="A51" s="2" t="n"/>
      <c r="B51" s="2" t="n"/>
      <c r="C51" s="2" t="n"/>
      <c r="D51" s="2" t="n"/>
      <c r="E51" s="2" t="n"/>
      <c r="F51" s="2">
        <f>IF(A51="","",VALUE(LEFT(A51,FIND("/",A51&amp;"/")-1)))</f>
        <v/>
      </c>
      <c r="I51" s="2" t="n"/>
      <c r="J51" s="2" t="n"/>
      <c r="K51" s="2" t="n"/>
      <c r="L51" s="2" t="n"/>
      <c r="M51" s="2">
        <f>IF(I51="","",VALUE(LEFT(I51,FIND("/",I51&amp;"/")-1)))</f>
        <v/>
      </c>
    </row>
    <row r="52">
      <c r="A52" s="2" t="n"/>
      <c r="B52" s="2" t="n"/>
      <c r="C52" s="2" t="n"/>
      <c r="D52" s="2" t="n"/>
      <c r="E52" s="2" t="n"/>
      <c r="F52" s="2">
        <f>IF(A52="","",VALUE(LEFT(A52,FIND("/",A52&amp;"/")-1)))</f>
        <v/>
      </c>
      <c r="I52" s="2" t="n"/>
      <c r="J52" s="2" t="n"/>
      <c r="K52" s="2" t="n"/>
      <c r="L52" s="2" t="n"/>
      <c r="M52" s="2">
        <f>IF(I52="","",VALUE(LEFT(I52,FIND("/",I52&amp;"/")-1)))</f>
        <v/>
      </c>
    </row>
    <row r="53">
      <c r="A53" s="2" t="n"/>
      <c r="B53" s="2" t="n"/>
      <c r="C53" s="2" t="n"/>
      <c r="D53" s="2" t="n"/>
      <c r="E53" s="2" t="n"/>
      <c r="F53" s="2">
        <f>IF(A53="","",VALUE(LEFT(A53,FIND("/",A53&amp;"/")-1)))</f>
        <v/>
      </c>
      <c r="I53" s="2" t="n"/>
      <c r="J53" s="2" t="n"/>
      <c r="K53" s="2" t="n"/>
      <c r="L53" s="2" t="n"/>
      <c r="M53" s="2">
        <f>IF(I53="","",VALUE(LEFT(I53,FIND("/",I53&amp;"/")-1)))</f>
        <v/>
      </c>
    </row>
    <row r="54">
      <c r="A54" s="2" t="n"/>
      <c r="B54" s="2" t="n"/>
      <c r="C54" s="2" t="n"/>
      <c r="D54" s="2" t="n"/>
      <c r="E54" s="2" t="n"/>
      <c r="F54" s="2">
        <f>IF(A54="","",VALUE(LEFT(A54,FIND("/",A54&amp;"/")-1)))</f>
        <v/>
      </c>
      <c r="I54" s="2" t="n"/>
      <c r="J54" s="2" t="n"/>
      <c r="K54" s="2" t="n"/>
      <c r="L54" s="2" t="n"/>
      <c r="M54" s="2">
        <f>IF(I54="","",VALUE(LEFT(I54,FIND("/",I54&amp;"/")-1)))</f>
        <v/>
      </c>
    </row>
    <row r="55">
      <c r="A55" s="2" t="n"/>
      <c r="B55" s="2" t="n"/>
      <c r="C55" s="2" t="n"/>
      <c r="D55" s="2" t="n"/>
      <c r="E55" s="2" t="n"/>
      <c r="F55" s="2">
        <f>IF(A55="","",VALUE(LEFT(A55,FIND("/",A55&amp;"/")-1)))</f>
        <v/>
      </c>
      <c r="I55" s="2" t="n"/>
      <c r="J55" s="2" t="n"/>
      <c r="K55" s="2" t="n"/>
      <c r="L55" s="2" t="n"/>
      <c r="M55" s="2">
        <f>IF(I55="","",VALUE(LEFT(I55,FIND("/",I55&amp;"/")-1)))</f>
        <v/>
      </c>
    </row>
    <row r="56">
      <c r="A56" s="2" t="n"/>
      <c r="B56" s="2" t="n"/>
      <c r="C56" s="2" t="n"/>
      <c r="D56" s="2" t="n"/>
      <c r="E56" s="2" t="n"/>
      <c r="F56" s="2">
        <f>IF(A56="","",VALUE(LEFT(A56,FIND("/",A56&amp;"/")-1)))</f>
        <v/>
      </c>
      <c r="I56" s="2" t="n"/>
      <c r="J56" s="2" t="n"/>
      <c r="K56" s="2" t="n"/>
      <c r="L56" s="2" t="n"/>
      <c r="M56" s="2">
        <f>IF(I56="","",VALUE(LEFT(I56,FIND("/",I56&amp;"/")-1)))</f>
        <v/>
      </c>
    </row>
    <row r="57">
      <c r="A57" s="2" t="n"/>
      <c r="B57" s="2" t="n"/>
      <c r="C57" s="2" t="n"/>
      <c r="D57" s="2" t="n"/>
      <c r="E57" s="2" t="n"/>
      <c r="F57" s="2">
        <f>IF(A57="","",VALUE(LEFT(A57,FIND("/",A57&amp;"/")-1)))</f>
        <v/>
      </c>
      <c r="I57" s="2" t="n"/>
      <c r="J57" s="2" t="n"/>
      <c r="K57" s="2" t="n"/>
      <c r="L57" s="2" t="n"/>
      <c r="M57" s="2">
        <f>IF(I57="","",VALUE(LEFT(I57,FIND("/",I57&amp;"/")-1)))</f>
        <v/>
      </c>
    </row>
    <row r="58">
      <c r="A58" s="2" t="n"/>
      <c r="B58" s="2" t="n"/>
      <c r="C58" s="2" t="n"/>
      <c r="D58" s="2" t="n"/>
      <c r="E58" s="2" t="n"/>
      <c r="F58" s="2">
        <f>IF(A58="","",VALUE(LEFT(A58,FIND("/",A58&amp;"/")-1)))</f>
        <v/>
      </c>
      <c r="I58" s="2" t="n"/>
      <c r="J58" s="2" t="n"/>
      <c r="K58" s="2" t="n"/>
      <c r="L58" s="2" t="n"/>
      <c r="M58" s="2">
        <f>IF(I58="","",VALUE(LEFT(I58,FIND("/",I58&amp;"/")-1)))</f>
        <v/>
      </c>
    </row>
    <row r="59">
      <c r="A59" s="2" t="n"/>
      <c r="B59" s="2" t="n"/>
      <c r="C59" s="2" t="n"/>
      <c r="D59" s="2" t="n"/>
      <c r="E59" s="2" t="n"/>
      <c r="F59" s="2">
        <f>IF(A59="","",VALUE(LEFT(A59,FIND("/",A59&amp;"/")-1)))</f>
        <v/>
      </c>
      <c r="I59" s="2" t="n"/>
      <c r="J59" s="2" t="n"/>
      <c r="K59" s="2" t="n"/>
      <c r="L59" s="2" t="n"/>
      <c r="M59" s="2">
        <f>IF(I59="","",VALUE(LEFT(I59,FIND("/",I59&amp;"/")-1)))</f>
        <v/>
      </c>
    </row>
    <row r="60">
      <c r="A60" s="2" t="n"/>
      <c r="B60" s="2" t="n"/>
      <c r="C60" s="2" t="n"/>
      <c r="D60" s="2" t="n"/>
      <c r="E60" s="2" t="n"/>
      <c r="F60" s="2">
        <f>IF(A60="","",VALUE(LEFT(A60,FIND("/",A60&amp;"/")-1)))</f>
        <v/>
      </c>
      <c r="I60" s="2" t="n"/>
      <c r="J60" s="2" t="n"/>
      <c r="K60" s="2" t="n"/>
      <c r="L60" s="2" t="n"/>
      <c r="M60" s="2">
        <f>IF(I60="","",VALUE(LEFT(I60,FIND("/",I60&amp;"/")-1)))</f>
        <v/>
      </c>
    </row>
    <row r="61">
      <c r="A61" s="2" t="n"/>
      <c r="B61" s="2" t="n"/>
      <c r="C61" s="2" t="n"/>
      <c r="D61" s="2" t="n"/>
      <c r="E61" s="2" t="n"/>
      <c r="F61" s="2">
        <f>IF(A61="","",VALUE(LEFT(A61,FIND("/",A61&amp;"/")-1)))</f>
        <v/>
      </c>
      <c r="I61" s="2" t="n"/>
      <c r="J61" s="2" t="n"/>
      <c r="K61" s="2" t="n"/>
      <c r="L61" s="2" t="n"/>
      <c r="M61" s="2">
        <f>IF(I61="","",VALUE(LEFT(I61,FIND("/",I61&amp;"/")-1)))</f>
        <v/>
      </c>
    </row>
    <row r="62">
      <c r="A62" s="2" t="n"/>
      <c r="B62" s="2" t="n"/>
      <c r="C62" s="2" t="n"/>
      <c r="D62" s="2" t="n"/>
      <c r="E62" s="2" t="n"/>
      <c r="F62" s="2">
        <f>IF(A62="","",VALUE(LEFT(A62,FIND("/",A62&amp;"/")-1)))</f>
        <v/>
      </c>
      <c r="I62" s="2" t="n"/>
      <c r="J62" s="2" t="n"/>
      <c r="K62" s="2" t="n"/>
      <c r="L62" s="2" t="n"/>
      <c r="M62" s="2">
        <f>IF(I62="","",VALUE(LEFT(I62,FIND("/",I62&amp;"/")-1)))</f>
        <v/>
      </c>
    </row>
    <row r="63">
      <c r="A63" s="2" t="n"/>
      <c r="B63" s="2" t="n"/>
      <c r="C63" s="2" t="n"/>
      <c r="D63" s="2" t="n"/>
      <c r="E63" s="2" t="n"/>
      <c r="F63" s="2">
        <f>IF(A63="","",VALUE(LEFT(A63,FIND("/",A63&amp;"/")-1)))</f>
        <v/>
      </c>
      <c r="I63" s="2" t="n"/>
      <c r="J63" s="2" t="n"/>
      <c r="K63" s="2" t="n"/>
      <c r="L63" s="2" t="n"/>
      <c r="M63" s="2">
        <f>IF(I63="","",VALUE(LEFT(I63,FIND("/",I63&amp;"/")-1)))</f>
        <v/>
      </c>
    </row>
    <row r="64">
      <c r="A64" s="2" t="n"/>
      <c r="B64" s="2" t="n"/>
      <c r="C64" s="2" t="n"/>
      <c r="D64" s="2" t="n"/>
      <c r="E64" s="2" t="n"/>
      <c r="F64" s="2">
        <f>IF(A64="","",VALUE(LEFT(A64,FIND("/",A64&amp;"/")-1)))</f>
        <v/>
      </c>
      <c r="I64" s="2" t="n"/>
      <c r="J64" s="2" t="n"/>
      <c r="K64" s="2" t="n"/>
      <c r="L64" s="2" t="n"/>
      <c r="M64" s="2">
        <f>IF(I64="","",VALUE(LEFT(I64,FIND("/",I64&amp;"/")-1)))</f>
        <v/>
      </c>
    </row>
    <row r="65">
      <c r="A65" s="2" t="n"/>
      <c r="B65" s="2" t="n"/>
      <c r="C65" s="2" t="n"/>
      <c r="D65" s="2" t="n"/>
      <c r="E65" s="2" t="n"/>
      <c r="F65" s="2">
        <f>IF(A65="","",VALUE(LEFT(A65,FIND("/",A65&amp;"/")-1)))</f>
        <v/>
      </c>
      <c r="I65" s="2" t="n"/>
      <c r="J65" s="2" t="n"/>
      <c r="K65" s="2" t="n"/>
      <c r="L65" s="2" t="n"/>
      <c r="M65" s="2">
        <f>IF(I65="","",VALUE(LEFT(I65,FIND("/",I65&amp;"/")-1)))</f>
        <v/>
      </c>
    </row>
    <row r="66">
      <c r="A66" s="2" t="n"/>
      <c r="B66" s="2" t="n"/>
      <c r="C66" s="2" t="n"/>
      <c r="D66" s="2" t="n"/>
      <c r="E66" s="2" t="n"/>
      <c r="F66" s="2">
        <f>IF(A66="","",VALUE(LEFT(A66,FIND("/",A66&amp;"/")-1)))</f>
        <v/>
      </c>
      <c r="I66" s="2" t="n"/>
      <c r="J66" s="2" t="n"/>
      <c r="K66" s="2" t="n"/>
      <c r="L66" s="2" t="n"/>
      <c r="M66" s="2">
        <f>IF(I66="","",VALUE(LEFT(I66,FIND("/",I66&amp;"/")-1)))</f>
        <v/>
      </c>
    </row>
    <row r="67">
      <c r="A67" s="2" t="n"/>
      <c r="B67" s="2" t="n"/>
      <c r="C67" s="2" t="n"/>
      <c r="D67" s="2" t="n"/>
      <c r="E67" s="2" t="n"/>
      <c r="F67" s="2">
        <f>IF(A67="","",VALUE(LEFT(A67,FIND("/",A67&amp;"/")-1)))</f>
        <v/>
      </c>
      <c r="I67" s="2" t="n"/>
      <c r="J67" s="2" t="n"/>
      <c r="K67" s="2" t="n"/>
      <c r="L67" s="2" t="n"/>
      <c r="M67" s="2">
        <f>IF(I67="","",VALUE(LEFT(I67,FIND("/",I67&amp;"/")-1)))</f>
        <v/>
      </c>
    </row>
    <row r="68">
      <c r="A68" s="2" t="n"/>
      <c r="B68" s="2" t="n"/>
      <c r="C68" s="2" t="n"/>
      <c r="D68" s="2" t="n"/>
      <c r="E68" s="2" t="n"/>
      <c r="F68" s="2">
        <f>IF(A68="","",VALUE(LEFT(A68,FIND("/",A68&amp;"/")-1)))</f>
        <v/>
      </c>
      <c r="I68" s="2" t="n"/>
      <c r="J68" s="2" t="n"/>
      <c r="K68" s="2" t="n"/>
      <c r="L68" s="2" t="n"/>
      <c r="M68" s="2">
        <f>IF(I68="","",VALUE(LEFT(I68,FIND("/",I68&amp;"/")-1)))</f>
        <v/>
      </c>
    </row>
    <row r="69">
      <c r="A69" s="2" t="n"/>
      <c r="B69" s="2" t="n"/>
      <c r="C69" s="2" t="n"/>
      <c r="D69" s="2" t="n"/>
      <c r="E69" s="2" t="n"/>
      <c r="F69" s="2">
        <f>IF(A69="","",VALUE(LEFT(A69,FIND("/",A69&amp;"/")-1)))</f>
        <v/>
      </c>
      <c r="I69" s="2" t="n"/>
      <c r="J69" s="2" t="n"/>
      <c r="K69" s="2" t="n"/>
      <c r="L69" s="2" t="n"/>
      <c r="M69" s="2">
        <f>IF(I69="","",VALUE(LEFT(I69,FIND("/",I69&amp;"/")-1)))</f>
        <v/>
      </c>
    </row>
    <row r="70">
      <c r="A70" s="2" t="n"/>
      <c r="B70" s="2" t="n"/>
      <c r="C70" s="2" t="n"/>
      <c r="D70" s="2" t="n"/>
      <c r="E70" s="2" t="n"/>
      <c r="F70" s="2">
        <f>IF(A70="","",VALUE(LEFT(A70,FIND("/",A70&amp;"/")-1)))</f>
        <v/>
      </c>
      <c r="I70" s="2" t="n"/>
      <c r="J70" s="2" t="n"/>
      <c r="K70" s="2" t="n"/>
      <c r="L70" s="2" t="n"/>
      <c r="M70" s="2">
        <f>IF(I70="","",VALUE(LEFT(I70,FIND("/",I70&amp;"/")-1)))</f>
        <v/>
      </c>
    </row>
    <row r="71">
      <c r="A71" s="2" t="n"/>
      <c r="B71" s="2" t="n"/>
      <c r="C71" s="2" t="n"/>
      <c r="D71" s="2" t="n"/>
      <c r="E71" s="2" t="n"/>
      <c r="F71" s="2">
        <f>IF(A71="","",VALUE(LEFT(A71,FIND("/",A71&amp;"/")-1)))</f>
        <v/>
      </c>
      <c r="I71" s="2" t="n"/>
      <c r="J71" s="2" t="n"/>
      <c r="K71" s="2" t="n"/>
      <c r="L71" s="2" t="n"/>
      <c r="M71" s="2">
        <f>IF(I71="","",VALUE(LEFT(I71,FIND("/",I71&amp;"/")-1)))</f>
        <v/>
      </c>
    </row>
    <row r="72">
      <c r="A72" s="2" t="n"/>
      <c r="B72" s="2" t="n"/>
      <c r="C72" s="2" t="n"/>
      <c r="D72" s="2" t="n"/>
      <c r="E72" s="2" t="n"/>
      <c r="F72" s="2">
        <f>IF(A72="","",VALUE(LEFT(A72,FIND("/",A72&amp;"/")-1)))</f>
        <v/>
      </c>
      <c r="I72" s="2" t="n"/>
      <c r="J72" s="2" t="n"/>
      <c r="K72" s="2" t="n"/>
      <c r="L72" s="2" t="n"/>
      <c r="M72" s="2">
        <f>IF(I72="","",VALUE(LEFT(I72,FIND("/",I72&amp;"/")-1)))</f>
        <v/>
      </c>
    </row>
    <row r="73">
      <c r="A73" s="2" t="n"/>
      <c r="B73" s="2" t="n"/>
      <c r="C73" s="2" t="n"/>
      <c r="D73" s="2" t="n"/>
      <c r="E73" s="2" t="n"/>
      <c r="F73" s="2">
        <f>IF(A73="","",VALUE(LEFT(A73,FIND("/",A73&amp;"/")-1)))</f>
        <v/>
      </c>
      <c r="I73" s="2" t="n"/>
      <c r="J73" s="2" t="n"/>
      <c r="K73" s="2" t="n"/>
      <c r="L73" s="2" t="n"/>
      <c r="M73" s="2">
        <f>IF(I73="","",VALUE(LEFT(I73,FIND("/",I73&amp;"/")-1)))</f>
        <v/>
      </c>
    </row>
    <row r="74">
      <c r="A74" s="2" t="n"/>
      <c r="B74" s="2" t="n"/>
      <c r="C74" s="2" t="n"/>
      <c r="D74" s="2" t="n"/>
      <c r="E74" s="2" t="n"/>
      <c r="F74" s="2">
        <f>IF(A74="","",VALUE(LEFT(A74,FIND("/",A74&amp;"/")-1)))</f>
        <v/>
      </c>
      <c r="I74" s="2" t="n"/>
      <c r="J74" s="2" t="n"/>
      <c r="K74" s="2" t="n"/>
      <c r="L74" s="2" t="n"/>
      <c r="M74" s="2">
        <f>IF(I74="","",VALUE(LEFT(I74,FIND("/",I74&amp;"/")-1)))</f>
        <v/>
      </c>
    </row>
    <row r="75">
      <c r="A75" s="2" t="n"/>
      <c r="B75" s="2" t="n"/>
      <c r="C75" s="2" t="n"/>
      <c r="D75" s="2" t="n"/>
      <c r="E75" s="2" t="n"/>
      <c r="F75" s="2">
        <f>IF(A75="","",VALUE(LEFT(A75,FIND("/",A75&amp;"/")-1)))</f>
        <v/>
      </c>
      <c r="I75" s="2" t="n"/>
      <c r="J75" s="2" t="n"/>
      <c r="K75" s="2" t="n"/>
      <c r="L75" s="2" t="n"/>
      <c r="M75" s="2">
        <f>IF(I75="","",VALUE(LEFT(I75,FIND("/",I75&amp;"/")-1)))</f>
        <v/>
      </c>
    </row>
    <row r="76">
      <c r="A76" s="2" t="n"/>
      <c r="B76" s="2" t="n"/>
      <c r="C76" s="2" t="n"/>
      <c r="D76" s="2" t="n"/>
      <c r="E76" s="2" t="n"/>
      <c r="F76" s="2">
        <f>IF(A76="","",VALUE(LEFT(A76,FIND("/",A76&amp;"/")-1)))</f>
        <v/>
      </c>
      <c r="I76" s="2" t="n"/>
      <c r="J76" s="2" t="n"/>
      <c r="K76" s="2" t="n"/>
      <c r="L76" s="2" t="n"/>
      <c r="M76" s="2">
        <f>IF(I76="","",VALUE(LEFT(I76,FIND("/",I76&amp;"/")-1)))</f>
        <v/>
      </c>
    </row>
    <row r="77">
      <c r="A77" s="2" t="n"/>
      <c r="B77" s="2" t="n"/>
      <c r="C77" s="2" t="n"/>
      <c r="D77" s="2" t="n"/>
      <c r="E77" s="2" t="n"/>
      <c r="F77" s="2">
        <f>IF(A77="","",VALUE(LEFT(A77,FIND("/",A77&amp;"/")-1)))</f>
        <v/>
      </c>
      <c r="I77" s="2" t="n"/>
      <c r="J77" s="2" t="n"/>
      <c r="K77" s="2" t="n"/>
      <c r="L77" s="2" t="n"/>
      <c r="M77" s="2">
        <f>IF(I77="","",VALUE(LEFT(I77,FIND("/",I77&amp;"/")-1)))</f>
        <v/>
      </c>
    </row>
    <row r="78">
      <c r="A78" s="2" t="n"/>
      <c r="B78" s="2" t="n"/>
      <c r="C78" s="2" t="n"/>
      <c r="D78" s="2" t="n"/>
      <c r="E78" s="2" t="n"/>
      <c r="F78" s="2">
        <f>IF(A78="","",VALUE(LEFT(A78,FIND("/",A78&amp;"/")-1)))</f>
        <v/>
      </c>
      <c r="I78" s="2" t="n"/>
      <c r="J78" s="2" t="n"/>
      <c r="K78" s="2" t="n"/>
      <c r="L78" s="2" t="n"/>
      <c r="M78" s="2">
        <f>IF(I78="","",VALUE(LEFT(I78,FIND("/",I78&amp;"/")-1)))</f>
        <v/>
      </c>
    </row>
    <row r="79">
      <c r="A79" s="2" t="n"/>
      <c r="B79" s="2" t="n"/>
      <c r="C79" s="2" t="n"/>
      <c r="D79" s="2" t="n"/>
      <c r="E79" s="2" t="n"/>
      <c r="F79" s="2">
        <f>IF(A79="","",VALUE(LEFT(A79,FIND("/",A79&amp;"/")-1)))</f>
        <v/>
      </c>
      <c r="I79" s="2" t="n"/>
      <c r="J79" s="2" t="n"/>
      <c r="K79" s="2" t="n"/>
      <c r="L79" s="2" t="n"/>
      <c r="M79" s="2">
        <f>IF(I79="","",VALUE(LEFT(I79,FIND("/",I79&amp;"/")-1)))</f>
        <v/>
      </c>
    </row>
    <row r="80">
      <c r="A80" s="2" t="n"/>
      <c r="B80" s="2" t="n"/>
      <c r="C80" s="2" t="n"/>
      <c r="D80" s="2" t="n"/>
      <c r="E80" s="2" t="n"/>
      <c r="F80" s="2">
        <f>IF(A80="","",VALUE(LEFT(A80,FIND("/",A80&amp;"/")-1)))</f>
        <v/>
      </c>
      <c r="I80" s="2" t="n"/>
      <c r="J80" s="2" t="n"/>
      <c r="K80" s="2" t="n"/>
      <c r="L80" s="2" t="n"/>
      <c r="M80" s="2">
        <f>IF(I80="","",VALUE(LEFT(I80,FIND("/",I80&amp;"/")-1)))</f>
        <v/>
      </c>
    </row>
    <row r="81">
      <c r="A81" s="2" t="n"/>
      <c r="B81" s="2" t="n"/>
      <c r="C81" s="2" t="n"/>
      <c r="D81" s="2" t="n"/>
      <c r="E81" s="2" t="n"/>
      <c r="F81" s="2">
        <f>IF(A81="","",VALUE(LEFT(A81,FIND("/",A81&amp;"/")-1)))</f>
        <v/>
      </c>
      <c r="I81" s="2" t="n"/>
      <c r="J81" s="2" t="n"/>
      <c r="K81" s="2" t="n"/>
      <c r="L81" s="2" t="n"/>
      <c r="M81" s="2">
        <f>IF(I81="","",VALUE(LEFT(I81,FIND("/",I81&amp;"/")-1)))</f>
        <v/>
      </c>
    </row>
    <row r="82">
      <c r="A82" s="2" t="n"/>
      <c r="B82" s="2" t="n"/>
      <c r="C82" s="2" t="n"/>
      <c r="D82" s="2" t="n"/>
      <c r="E82" s="2" t="n"/>
      <c r="F82" s="2">
        <f>IF(A82="","",VALUE(LEFT(A82,FIND("/",A82&amp;"/")-1)))</f>
        <v/>
      </c>
      <c r="I82" s="2" t="n"/>
      <c r="J82" s="2" t="n"/>
      <c r="K82" s="2" t="n"/>
      <c r="L82" s="2" t="n"/>
      <c r="M82" s="2">
        <f>IF(I82="","",VALUE(LEFT(I82,FIND("/",I82&amp;"/")-1)))</f>
        <v/>
      </c>
    </row>
    <row r="83">
      <c r="A83" s="2" t="n"/>
      <c r="B83" s="2" t="n"/>
      <c r="C83" s="2" t="n"/>
      <c r="D83" s="2" t="n"/>
      <c r="E83" s="2" t="n"/>
      <c r="F83" s="2">
        <f>IF(A83="","",VALUE(LEFT(A83,FIND("/",A83&amp;"/")-1)))</f>
        <v/>
      </c>
      <c r="I83" s="2" t="n"/>
      <c r="J83" s="2" t="n"/>
      <c r="K83" s="2" t="n"/>
      <c r="L83" s="2" t="n"/>
      <c r="M83" s="2">
        <f>IF(I83="","",VALUE(LEFT(I83,FIND("/",I83&amp;"/")-1)))</f>
        <v/>
      </c>
    </row>
    <row r="84">
      <c r="A84" s="2" t="n"/>
      <c r="B84" s="2" t="n"/>
      <c r="C84" s="2" t="n"/>
      <c r="D84" s="2" t="n"/>
      <c r="E84" s="2" t="n"/>
      <c r="F84" s="2">
        <f>IF(A84="","",VALUE(LEFT(A84,FIND("/",A84&amp;"/")-1)))</f>
        <v/>
      </c>
      <c r="I84" s="2" t="n"/>
      <c r="J84" s="2" t="n"/>
      <c r="K84" s="2" t="n"/>
      <c r="L84" s="2" t="n"/>
      <c r="M84" s="2">
        <f>IF(I84="","",VALUE(LEFT(I84,FIND("/",I84&amp;"/")-1)))</f>
        <v/>
      </c>
    </row>
    <row r="85">
      <c r="A85" s="2" t="n"/>
      <c r="B85" s="2" t="n"/>
      <c r="C85" s="2" t="n"/>
      <c r="D85" s="2" t="n"/>
      <c r="E85" s="2" t="n"/>
      <c r="F85" s="2">
        <f>IF(A85="","",VALUE(LEFT(A85,FIND("/",A85&amp;"/")-1)))</f>
        <v/>
      </c>
      <c r="I85" s="2" t="n"/>
      <c r="J85" s="2" t="n"/>
      <c r="K85" s="2" t="n"/>
      <c r="L85" s="2" t="n"/>
      <c r="M85" s="2">
        <f>IF(I85="","",VALUE(LEFT(I85,FIND("/",I85&amp;"/")-1)))</f>
        <v/>
      </c>
    </row>
    <row r="86">
      <c r="A86" s="2" t="n"/>
      <c r="B86" s="2" t="n"/>
      <c r="C86" s="2" t="n"/>
      <c r="D86" s="2" t="n"/>
      <c r="E86" s="2" t="n"/>
      <c r="F86" s="2">
        <f>IF(A86="","",VALUE(LEFT(A86,FIND("/",A86&amp;"/")-1)))</f>
        <v/>
      </c>
      <c r="I86" s="2" t="n"/>
      <c r="J86" s="2" t="n"/>
      <c r="K86" s="2" t="n"/>
      <c r="L86" s="2" t="n"/>
      <c r="M86" s="2">
        <f>IF(I86="","",VALUE(LEFT(I86,FIND("/",I86&amp;"/")-1)))</f>
        <v/>
      </c>
    </row>
    <row r="87">
      <c r="A87" s="2" t="n"/>
      <c r="B87" s="2" t="n"/>
      <c r="C87" s="2" t="n"/>
      <c r="D87" s="2" t="n"/>
      <c r="E87" s="2" t="n"/>
      <c r="F87" s="2">
        <f>IF(A87="","",VALUE(LEFT(A87,FIND("/",A87&amp;"/")-1)))</f>
        <v/>
      </c>
      <c r="I87" s="2" t="n"/>
      <c r="J87" s="2" t="n"/>
      <c r="K87" s="2" t="n"/>
      <c r="L87" s="2" t="n"/>
      <c r="M87" s="2">
        <f>IF(I87="","",VALUE(LEFT(I87,FIND("/",I87&amp;"/")-1)))</f>
        <v/>
      </c>
    </row>
    <row r="88">
      <c r="A88" s="2" t="n"/>
      <c r="B88" s="2" t="n"/>
      <c r="C88" s="2" t="n"/>
      <c r="D88" s="2" t="n"/>
      <c r="E88" s="2" t="n"/>
      <c r="F88" s="2">
        <f>IF(A88="","",VALUE(LEFT(A88,FIND("/",A88&amp;"/")-1)))</f>
        <v/>
      </c>
      <c r="I88" s="2" t="n"/>
      <c r="J88" s="2" t="n"/>
      <c r="K88" s="2" t="n"/>
      <c r="L88" s="2" t="n"/>
      <c r="M88" s="2">
        <f>IF(I88="","",VALUE(LEFT(I88,FIND("/",I88&amp;"/")-1)))</f>
        <v/>
      </c>
    </row>
    <row r="89">
      <c r="A89" s="2" t="n"/>
      <c r="B89" s="2" t="n"/>
      <c r="C89" s="2" t="n"/>
      <c r="D89" s="2" t="n"/>
      <c r="E89" s="2" t="n"/>
      <c r="F89" s="2">
        <f>IF(A89="","",VALUE(LEFT(A89,FIND("/",A89&amp;"/")-1)))</f>
        <v/>
      </c>
      <c r="I89" s="2" t="n"/>
      <c r="J89" s="2" t="n"/>
      <c r="K89" s="2" t="n"/>
      <c r="L89" s="2" t="n"/>
      <c r="M89" s="2">
        <f>IF(I89="","",VALUE(LEFT(I89,FIND("/",I89&amp;"/")-1)))</f>
        <v/>
      </c>
    </row>
    <row r="90">
      <c r="A90" s="2" t="n"/>
      <c r="B90" s="2" t="n"/>
      <c r="C90" s="2" t="n"/>
      <c r="D90" s="2" t="n"/>
      <c r="E90" s="2" t="n"/>
      <c r="F90" s="2">
        <f>IF(A90="","",VALUE(LEFT(A90,FIND("/",A90&amp;"/")-1)))</f>
        <v/>
      </c>
      <c r="I90" s="2" t="n"/>
      <c r="J90" s="2" t="n"/>
      <c r="K90" s="2" t="n"/>
      <c r="L90" s="2" t="n"/>
      <c r="M90" s="2">
        <f>IF(I90="","",VALUE(LEFT(I90,FIND("/",I90&amp;"/")-1)))</f>
        <v/>
      </c>
    </row>
    <row r="91">
      <c r="A91" s="2" t="n"/>
      <c r="B91" s="2" t="n"/>
      <c r="C91" s="2" t="n"/>
      <c r="D91" s="2" t="n"/>
      <c r="E91" s="2" t="n"/>
      <c r="F91" s="2">
        <f>IF(A91="","",VALUE(LEFT(A91,FIND("/",A91&amp;"/")-1)))</f>
        <v/>
      </c>
      <c r="I91" s="2" t="n"/>
      <c r="J91" s="2" t="n"/>
      <c r="K91" s="2" t="n"/>
      <c r="L91" s="2" t="n"/>
      <c r="M91" s="2">
        <f>IF(I91="","",VALUE(LEFT(I91,FIND("/",I91&amp;"/")-1)))</f>
        <v/>
      </c>
    </row>
    <row r="92">
      <c r="A92" s="2" t="n"/>
      <c r="B92" s="2" t="n"/>
      <c r="C92" s="2" t="n"/>
      <c r="D92" s="2" t="n"/>
      <c r="E92" s="2" t="n"/>
      <c r="F92" s="2">
        <f>IF(A92="","",VALUE(LEFT(A92,FIND("/",A92&amp;"/")-1)))</f>
        <v/>
      </c>
      <c r="I92" s="2" t="n"/>
      <c r="J92" s="2" t="n"/>
      <c r="K92" s="2" t="n"/>
      <c r="L92" s="2" t="n"/>
      <c r="M92" s="2">
        <f>IF(I92="","",VALUE(LEFT(I92,FIND("/",I92&amp;"/")-1)))</f>
        <v/>
      </c>
    </row>
    <row r="93">
      <c r="A93" s="2" t="n"/>
      <c r="B93" s="2" t="n"/>
      <c r="C93" s="2" t="n"/>
      <c r="D93" s="2" t="n"/>
      <c r="E93" s="2" t="n"/>
      <c r="F93" s="2">
        <f>IF(A93="","",VALUE(LEFT(A93,FIND("/",A93&amp;"/")-1)))</f>
        <v/>
      </c>
      <c r="I93" s="2" t="n"/>
      <c r="J93" s="2" t="n"/>
      <c r="K93" s="2" t="n"/>
      <c r="L93" s="2" t="n"/>
      <c r="M93" s="2">
        <f>IF(I93="","",VALUE(LEFT(I93,FIND("/",I93&amp;"/")-1)))</f>
        <v/>
      </c>
    </row>
    <row r="94">
      <c r="A94" s="2" t="n"/>
      <c r="B94" s="2" t="n"/>
      <c r="C94" s="2" t="n"/>
      <c r="D94" s="2" t="n"/>
      <c r="E94" s="2" t="n"/>
      <c r="F94" s="2">
        <f>IF(A94="","",VALUE(LEFT(A94,FIND("/",A94&amp;"/")-1)))</f>
        <v/>
      </c>
      <c r="I94" s="2" t="n"/>
      <c r="J94" s="2" t="n"/>
      <c r="K94" s="2" t="n"/>
      <c r="L94" s="2" t="n"/>
      <c r="M94" s="2">
        <f>IF(I94="","",VALUE(LEFT(I94,FIND("/",I94&amp;"/")-1)))</f>
        <v/>
      </c>
    </row>
    <row r="95">
      <c r="A95" s="2" t="n"/>
      <c r="B95" s="2" t="n"/>
      <c r="C95" s="2" t="n"/>
      <c r="D95" s="2" t="n"/>
      <c r="E95" s="2" t="n"/>
      <c r="F95" s="2">
        <f>IF(A95="","",VALUE(LEFT(A95,FIND("/",A95&amp;"/")-1)))</f>
        <v/>
      </c>
      <c r="I95" s="2" t="n"/>
      <c r="J95" s="2" t="n"/>
      <c r="K95" s="2" t="n"/>
      <c r="L95" s="2" t="n"/>
      <c r="M95" s="2">
        <f>IF(I95="","",VALUE(LEFT(I95,FIND("/",I95&amp;"/")-1)))</f>
        <v/>
      </c>
    </row>
    <row r="96">
      <c r="A96" s="2" t="n"/>
      <c r="B96" s="2" t="n"/>
      <c r="C96" s="2" t="n"/>
      <c r="D96" s="2" t="n"/>
      <c r="E96" s="2" t="n"/>
      <c r="F96" s="2">
        <f>IF(A96="","",VALUE(LEFT(A96,FIND("/",A96&amp;"/")-1)))</f>
        <v/>
      </c>
      <c r="I96" s="2" t="n"/>
      <c r="J96" s="2" t="n"/>
      <c r="K96" s="2" t="n"/>
      <c r="L96" s="2" t="n"/>
      <c r="M96" s="2">
        <f>IF(I96="","",VALUE(LEFT(I96,FIND("/",I96&amp;"/")-1)))</f>
        <v/>
      </c>
    </row>
    <row r="97">
      <c r="A97" s="2" t="n"/>
      <c r="B97" s="2" t="n"/>
      <c r="C97" s="2" t="n"/>
      <c r="D97" s="2" t="n"/>
      <c r="E97" s="2" t="n"/>
      <c r="F97" s="2">
        <f>IF(A97="","",VALUE(LEFT(A97,FIND("/",A97&amp;"/")-1)))</f>
        <v/>
      </c>
      <c r="I97" s="2" t="n"/>
      <c r="J97" s="2" t="n"/>
      <c r="K97" s="2" t="n"/>
      <c r="L97" s="2" t="n"/>
      <c r="M97" s="2">
        <f>IF(I97="","",VALUE(LEFT(I97,FIND("/",I97&amp;"/")-1)))</f>
        <v/>
      </c>
    </row>
    <row r="98">
      <c r="A98" s="2" t="n"/>
      <c r="B98" s="2" t="n"/>
      <c r="C98" s="2" t="n"/>
      <c r="D98" s="2" t="n"/>
      <c r="E98" s="2" t="n"/>
      <c r="F98" s="2">
        <f>IF(A98="","",VALUE(LEFT(A98,FIND("/",A98&amp;"/")-1)))</f>
        <v/>
      </c>
      <c r="I98" s="2" t="n"/>
      <c r="J98" s="2" t="n"/>
      <c r="K98" s="2" t="n"/>
      <c r="L98" s="2" t="n"/>
      <c r="M98" s="2">
        <f>IF(I98="","",VALUE(LEFT(I98,FIND("/",I98&amp;"/")-1)))</f>
        <v/>
      </c>
    </row>
    <row r="99">
      <c r="A99" s="2" t="n"/>
      <c r="B99" s="2" t="n"/>
      <c r="C99" s="2" t="n"/>
      <c r="D99" s="2" t="n"/>
      <c r="E99" s="2" t="n"/>
      <c r="F99" s="2">
        <f>IF(A99="","",VALUE(LEFT(A99,FIND("/",A99&amp;"/")-1)))</f>
        <v/>
      </c>
      <c r="I99" s="2" t="n"/>
      <c r="J99" s="2" t="n"/>
      <c r="K99" s="2" t="n"/>
      <c r="L99" s="2" t="n"/>
      <c r="M99" s="2">
        <f>IF(I99="","",VALUE(LEFT(I99,FIND("/",I99&amp;"/")-1)))</f>
        <v/>
      </c>
    </row>
    <row r="100">
      <c r="A100" s="2" t="n"/>
      <c r="B100" s="2" t="n"/>
      <c r="C100" s="2" t="n"/>
      <c r="D100" s="2" t="n"/>
      <c r="E100" s="2" t="n"/>
      <c r="F100" s="2">
        <f>IF(A100="","",VALUE(LEFT(A100,FIND("/",A100&amp;"/")-1)))</f>
        <v/>
      </c>
      <c r="I100" s="2" t="n"/>
      <c r="J100" s="2" t="n"/>
      <c r="K100" s="2" t="n"/>
      <c r="L100" s="2" t="n"/>
      <c r="M100" s="2">
        <f>IF(I100="","",VALUE(LEFT(I100,FIND("/",I100&amp;"/")-1)))</f>
        <v/>
      </c>
    </row>
    <row r="101">
      <c r="A101" s="2" t="n"/>
      <c r="B101" s="2" t="n"/>
      <c r="C101" s="2" t="n"/>
      <c r="D101" s="2" t="n"/>
      <c r="E101" s="2" t="n"/>
      <c r="F101" s="2">
        <f>IF(A101="","",VALUE(LEFT(A101,FIND("/",A101&amp;"/")-1)))</f>
        <v/>
      </c>
      <c r="I101" s="2" t="n"/>
      <c r="J101" s="2" t="n"/>
      <c r="K101" s="2" t="n"/>
      <c r="L101" s="2" t="n"/>
      <c r="M101" s="2">
        <f>IF(I101="","",VALUE(LEFT(I101,FIND("/",I101&amp;"/")-1)))</f>
        <v/>
      </c>
    </row>
    <row r="102">
      <c r="A102" s="2" t="n"/>
      <c r="B102" s="2" t="n"/>
      <c r="C102" s="2" t="n"/>
      <c r="D102" s="2" t="n"/>
      <c r="E102" s="2" t="n"/>
      <c r="F102" s="2">
        <f>IF(A102="","",VALUE(LEFT(A102,FIND("/",A102&amp;"/")-1)))</f>
        <v/>
      </c>
      <c r="I102" s="2" t="n"/>
      <c r="J102" s="2" t="n"/>
      <c r="K102" s="2" t="n"/>
      <c r="L102" s="2" t="n"/>
      <c r="M102" s="2">
        <f>IF(I102="","",VALUE(LEFT(I102,FIND("/",I102&amp;"/")-1)))</f>
        <v/>
      </c>
    </row>
    <row r="103">
      <c r="A103" s="2" t="n"/>
      <c r="B103" s="2" t="n"/>
      <c r="C103" s="2" t="n"/>
      <c r="D103" s="2" t="n"/>
      <c r="E103" s="2" t="n"/>
      <c r="F103" s="2">
        <f>IF(A103="","",VALUE(LEFT(A103,FIND("/",A103&amp;"/")-1)))</f>
        <v/>
      </c>
      <c r="I103" s="2" t="n"/>
      <c r="J103" s="2" t="n"/>
      <c r="K103" s="2" t="n"/>
      <c r="L103" s="2" t="n"/>
      <c r="M103" s="2">
        <f>IF(I103="","",VALUE(LEFT(I103,FIND("/",I103&amp;"/")-1)))</f>
        <v/>
      </c>
    </row>
    <row r="104">
      <c r="A104" s="2" t="n"/>
      <c r="B104" s="2" t="n"/>
      <c r="C104" s="2" t="n"/>
      <c r="D104" s="2" t="n"/>
      <c r="E104" s="2" t="n"/>
      <c r="F104" s="2">
        <f>IF(A104="","",VALUE(LEFT(A104,FIND("/",A104&amp;"/")-1)))</f>
        <v/>
      </c>
      <c r="I104" s="2" t="n"/>
      <c r="J104" s="2" t="n"/>
      <c r="K104" s="2" t="n"/>
      <c r="L104" s="2" t="n"/>
      <c r="M104" s="2">
        <f>IF(I104="","",VALUE(LEFT(I104,FIND("/",I104&amp;"/")-1)))</f>
        <v/>
      </c>
    </row>
    <row r="105">
      <c r="A105" s="2" t="n"/>
      <c r="B105" s="2" t="n"/>
      <c r="C105" s="2" t="n"/>
      <c r="D105" s="2" t="n"/>
      <c r="E105" s="2" t="n"/>
      <c r="F105" s="2">
        <f>IF(A105="","",VALUE(LEFT(A105,FIND("/",A105&amp;"/")-1)))</f>
        <v/>
      </c>
      <c r="I105" s="2" t="n"/>
      <c r="J105" s="2" t="n"/>
      <c r="K105" s="2" t="n"/>
      <c r="L105" s="2" t="n"/>
      <c r="M105" s="2">
        <f>IF(I105="","",VALUE(LEFT(I105,FIND("/",I105&amp;"/")-1)))</f>
        <v/>
      </c>
    </row>
    <row r="106">
      <c r="A106" s="2" t="n"/>
      <c r="B106" s="2" t="n"/>
      <c r="C106" s="2" t="n"/>
      <c r="D106" s="2" t="n"/>
      <c r="E106" s="2" t="n"/>
      <c r="F106" s="2">
        <f>IF(A106="","",VALUE(LEFT(A106,FIND("/",A106&amp;"/")-1)))</f>
        <v/>
      </c>
      <c r="I106" s="2" t="n"/>
      <c r="J106" s="2" t="n"/>
      <c r="K106" s="2" t="n"/>
      <c r="L106" s="2" t="n"/>
      <c r="M106" s="2">
        <f>IF(I106="","",VALUE(LEFT(I106,FIND("/",I106&amp;"/")-1)))</f>
        <v/>
      </c>
    </row>
    <row r="107">
      <c r="A107" s="2" t="n"/>
      <c r="B107" s="2" t="n"/>
      <c r="C107" s="2" t="n"/>
      <c r="D107" s="2" t="n"/>
      <c r="E107" s="2" t="n"/>
      <c r="F107" s="2">
        <f>IF(A107="","",VALUE(LEFT(A107,FIND("/",A107&amp;"/")-1)))</f>
        <v/>
      </c>
      <c r="I107" s="2" t="n"/>
      <c r="J107" s="2" t="n"/>
      <c r="K107" s="2" t="n"/>
      <c r="L107" s="2" t="n"/>
      <c r="M107" s="2">
        <f>IF(I107="","",VALUE(LEFT(I107,FIND("/",I107&amp;"/")-1)))</f>
        <v/>
      </c>
    </row>
    <row r="108">
      <c r="A108" s="2" t="n"/>
      <c r="B108" s="2" t="n"/>
      <c r="C108" s="2" t="n"/>
      <c r="D108" s="2" t="n"/>
      <c r="E108" s="2" t="n"/>
      <c r="F108" s="2">
        <f>IF(A108="","",VALUE(LEFT(A108,FIND("/",A108&amp;"/")-1)))</f>
        <v/>
      </c>
      <c r="I108" s="2" t="n"/>
      <c r="J108" s="2" t="n"/>
      <c r="K108" s="2" t="n"/>
      <c r="L108" s="2" t="n"/>
      <c r="M108" s="2">
        <f>IF(I108="","",VALUE(LEFT(I108,FIND("/",I108&amp;"/")-1)))</f>
        <v/>
      </c>
    </row>
    <row r="109">
      <c r="A109" s="2" t="n"/>
      <c r="B109" s="2" t="n"/>
      <c r="C109" s="2" t="n"/>
      <c r="D109" s="2" t="n"/>
      <c r="E109" s="2" t="n"/>
      <c r="F109" s="2">
        <f>IF(A109="","",VALUE(LEFT(A109,FIND("/",A109&amp;"/")-1)))</f>
        <v/>
      </c>
      <c r="I109" s="2" t="n"/>
      <c r="J109" s="2" t="n"/>
      <c r="K109" s="2" t="n"/>
      <c r="L109" s="2" t="n"/>
      <c r="M109" s="2">
        <f>IF(I109="","",VALUE(LEFT(I109,FIND("/",I109&amp;"/")-1)))</f>
        <v/>
      </c>
    </row>
    <row r="110">
      <c r="A110" s="2" t="n"/>
      <c r="B110" s="2" t="n"/>
      <c r="C110" s="2" t="n"/>
      <c r="D110" s="2" t="n"/>
      <c r="E110" s="2" t="n"/>
      <c r="F110" s="2">
        <f>IF(A110="","",VALUE(LEFT(A110,FIND("/",A110&amp;"/")-1)))</f>
        <v/>
      </c>
      <c r="I110" s="2" t="n"/>
      <c r="J110" s="2" t="n"/>
      <c r="K110" s="2" t="n"/>
      <c r="L110" s="2" t="n"/>
      <c r="M110" s="2">
        <f>IF(I110="","",VALUE(LEFT(I110,FIND("/",I110&amp;"/")-1)))</f>
        <v/>
      </c>
    </row>
    <row r="111">
      <c r="A111" s="2" t="n"/>
      <c r="B111" s="2" t="n"/>
      <c r="C111" s="2" t="n"/>
      <c r="D111" s="2" t="n"/>
      <c r="E111" s="2" t="n"/>
      <c r="F111" s="2">
        <f>IF(A111="","",VALUE(LEFT(A111,FIND("/",A111&amp;"/")-1)))</f>
        <v/>
      </c>
      <c r="I111" s="2" t="n"/>
      <c r="J111" s="2" t="n"/>
      <c r="K111" s="2" t="n"/>
      <c r="L111" s="2" t="n"/>
      <c r="M111" s="2">
        <f>IF(I111="","",VALUE(LEFT(I111,FIND("/",I111&amp;"/")-1)))</f>
        <v/>
      </c>
    </row>
    <row r="112">
      <c r="A112" s="2" t="n"/>
      <c r="B112" s="2" t="n"/>
      <c r="C112" s="2" t="n"/>
      <c r="D112" s="2" t="n"/>
      <c r="E112" s="2" t="n"/>
      <c r="F112" s="2">
        <f>IF(A112="","",VALUE(LEFT(A112,FIND("/",A112&amp;"/")-1)))</f>
        <v/>
      </c>
      <c r="I112" s="2" t="n"/>
      <c r="J112" s="2" t="n"/>
      <c r="K112" s="2" t="n"/>
      <c r="L112" s="2" t="n"/>
      <c r="M112" s="2">
        <f>IF(I112="","",VALUE(LEFT(I112,FIND("/",I112&amp;"/")-1)))</f>
        <v/>
      </c>
    </row>
    <row r="113">
      <c r="A113" s="2" t="n"/>
      <c r="B113" s="2" t="n"/>
      <c r="C113" s="2" t="n"/>
      <c r="D113" s="2" t="n"/>
      <c r="E113" s="2" t="n"/>
      <c r="F113" s="2">
        <f>IF(A113="","",VALUE(LEFT(A113,FIND("/",A113&amp;"/")-1)))</f>
        <v/>
      </c>
      <c r="I113" s="2" t="n"/>
      <c r="J113" s="2" t="n"/>
      <c r="K113" s="2" t="n"/>
      <c r="L113" s="2" t="n"/>
      <c r="M113" s="2">
        <f>IF(I113="","",VALUE(LEFT(I113,FIND("/",I113&amp;"/")-1)))</f>
        <v/>
      </c>
    </row>
    <row r="114">
      <c r="A114" s="2" t="n"/>
      <c r="B114" s="2" t="n"/>
      <c r="C114" s="2" t="n"/>
      <c r="D114" s="2" t="n"/>
      <c r="E114" s="2" t="n"/>
      <c r="F114" s="2">
        <f>IF(A114="","",VALUE(LEFT(A114,FIND("/",A114&amp;"/")-1)))</f>
        <v/>
      </c>
      <c r="I114" s="2" t="n"/>
      <c r="J114" s="2" t="n"/>
      <c r="K114" s="2" t="n"/>
      <c r="L114" s="2" t="n"/>
      <c r="M114" s="2">
        <f>IF(I114="","",VALUE(LEFT(I114,FIND("/",I114&amp;"/")-1)))</f>
        <v/>
      </c>
    </row>
    <row r="115">
      <c r="A115" s="2" t="n"/>
      <c r="B115" s="2" t="n"/>
      <c r="C115" s="2" t="n"/>
      <c r="D115" s="2" t="n"/>
      <c r="E115" s="2" t="n"/>
      <c r="F115" s="2">
        <f>IF(A115="","",VALUE(LEFT(A115,FIND("/",A115&amp;"/")-1)))</f>
        <v/>
      </c>
      <c r="I115" s="2" t="n"/>
      <c r="J115" s="2" t="n"/>
      <c r="K115" s="2" t="n"/>
      <c r="L115" s="2" t="n"/>
      <c r="M115" s="2">
        <f>IF(I115="","",VALUE(LEFT(I115,FIND("/",I115&amp;"/")-1)))</f>
        <v/>
      </c>
    </row>
    <row r="116">
      <c r="A116" s="2" t="n"/>
      <c r="B116" s="2" t="n"/>
      <c r="C116" s="2" t="n"/>
      <c r="D116" s="2" t="n"/>
      <c r="E116" s="2" t="n"/>
      <c r="F116" s="2">
        <f>IF(A116="","",VALUE(LEFT(A116,FIND("/",A116&amp;"/")-1)))</f>
        <v/>
      </c>
      <c r="I116" s="2" t="n"/>
      <c r="J116" s="2" t="n"/>
      <c r="K116" s="2" t="n"/>
      <c r="L116" s="2" t="n"/>
      <c r="M116" s="2">
        <f>IF(I116="","",VALUE(LEFT(I116,FIND("/",I116&amp;"/")-1)))</f>
        <v/>
      </c>
    </row>
    <row r="117">
      <c r="A117" s="2" t="n"/>
      <c r="B117" s="2" t="n"/>
      <c r="C117" s="2" t="n"/>
      <c r="D117" s="2" t="n"/>
      <c r="E117" s="2" t="n"/>
      <c r="F117" s="2">
        <f>IF(A117="","",VALUE(LEFT(A117,FIND("/",A117&amp;"/")-1)))</f>
        <v/>
      </c>
      <c r="I117" s="2" t="n"/>
      <c r="J117" s="2" t="n"/>
      <c r="K117" s="2" t="n"/>
      <c r="L117" s="2" t="n"/>
      <c r="M117" s="2">
        <f>IF(I117="","",VALUE(LEFT(I117,FIND("/",I117&amp;"/")-1)))</f>
        <v/>
      </c>
    </row>
    <row r="118">
      <c r="A118" s="2" t="n"/>
      <c r="B118" s="2" t="n"/>
      <c r="C118" s="2" t="n"/>
      <c r="D118" s="2" t="n"/>
      <c r="E118" s="2" t="n"/>
      <c r="F118" s="2">
        <f>IF(A118="","",VALUE(LEFT(A118,FIND("/",A118&amp;"/")-1)))</f>
        <v/>
      </c>
      <c r="I118" s="2" t="n"/>
      <c r="J118" s="2" t="n"/>
      <c r="K118" s="2" t="n"/>
      <c r="L118" s="2" t="n"/>
      <c r="M118" s="2">
        <f>IF(I118="","",VALUE(LEFT(I118,FIND("/",I118&amp;"/")-1)))</f>
        <v/>
      </c>
    </row>
    <row r="119">
      <c r="A119" s="2" t="n"/>
      <c r="B119" s="2" t="n"/>
      <c r="C119" s="2" t="n"/>
      <c r="D119" s="2" t="n"/>
      <c r="E119" s="2" t="n"/>
      <c r="F119" s="2">
        <f>IF(A119="","",VALUE(LEFT(A119,FIND("/",A119&amp;"/")-1)))</f>
        <v/>
      </c>
      <c r="I119" s="2" t="n"/>
      <c r="J119" s="2" t="n"/>
      <c r="K119" s="2" t="n"/>
      <c r="L119" s="2" t="n"/>
      <c r="M119" s="2">
        <f>IF(I119="","",VALUE(LEFT(I119,FIND("/",I119&amp;"/")-1)))</f>
        <v/>
      </c>
    </row>
    <row r="120">
      <c r="A120" s="2" t="n"/>
      <c r="B120" s="2" t="n"/>
      <c r="C120" s="2" t="n"/>
      <c r="D120" s="2" t="n"/>
      <c r="E120" s="2" t="n"/>
      <c r="F120" s="2">
        <f>IF(A120="","",VALUE(LEFT(A120,FIND("/",A120&amp;"/")-1)))</f>
        <v/>
      </c>
      <c r="I120" s="2" t="n"/>
      <c r="J120" s="2" t="n"/>
      <c r="K120" s="2" t="n"/>
      <c r="L120" s="2" t="n"/>
      <c r="M120" s="2">
        <f>IF(I120="","",VALUE(LEFT(I120,FIND("/",I120&amp;"/")-1)))</f>
        <v/>
      </c>
    </row>
    <row r="121">
      <c r="A121" s="2" t="n"/>
      <c r="B121" s="2" t="n"/>
      <c r="C121" s="2" t="n"/>
      <c r="D121" s="2" t="n"/>
      <c r="E121" s="2" t="n"/>
      <c r="F121" s="2">
        <f>IF(A121="","",VALUE(LEFT(A121,FIND("/",A121&amp;"/")-1)))</f>
        <v/>
      </c>
      <c r="I121" s="2" t="n"/>
      <c r="J121" s="2" t="n"/>
      <c r="K121" s="2" t="n"/>
      <c r="L121" s="2" t="n"/>
      <c r="M121" s="2">
        <f>IF(I121="","",VALUE(LEFT(I121,FIND("/",I121&amp;"/")-1)))</f>
        <v/>
      </c>
    </row>
    <row r="122">
      <c r="A122" s="2" t="n"/>
      <c r="B122" s="2" t="n"/>
      <c r="C122" s="2" t="n"/>
      <c r="D122" s="2" t="n"/>
      <c r="E122" s="2" t="n"/>
      <c r="F122" s="2">
        <f>IF(A122="","",VALUE(LEFT(A122,FIND("/",A122&amp;"/")-1)))</f>
        <v/>
      </c>
      <c r="I122" s="2" t="n"/>
      <c r="J122" s="2" t="n"/>
      <c r="K122" s="2" t="n"/>
      <c r="L122" s="2" t="n"/>
      <c r="M122" s="2">
        <f>IF(I122="","",VALUE(LEFT(I122,FIND("/",I122&amp;"/")-1)))</f>
        <v/>
      </c>
    </row>
    <row r="123">
      <c r="A123" s="2" t="n"/>
      <c r="B123" s="2" t="n"/>
      <c r="C123" s="2" t="n"/>
      <c r="D123" s="2" t="n"/>
      <c r="E123" s="2" t="n"/>
      <c r="F123" s="2">
        <f>IF(A123="","",VALUE(LEFT(A123,FIND("/",A123&amp;"/")-1)))</f>
        <v/>
      </c>
      <c r="I123" s="2" t="n"/>
      <c r="J123" s="2" t="n"/>
      <c r="K123" s="2" t="n"/>
      <c r="L123" s="2" t="n"/>
      <c r="M123" s="2">
        <f>IF(I123="","",VALUE(LEFT(I123,FIND("/",I123&amp;"/")-1)))</f>
        <v/>
      </c>
    </row>
    <row r="124">
      <c r="A124" s="2" t="n"/>
      <c r="B124" s="2" t="n"/>
      <c r="C124" s="2" t="n"/>
      <c r="D124" s="2" t="n"/>
      <c r="E124" s="2" t="n"/>
      <c r="F124" s="2">
        <f>IF(A124="","",VALUE(LEFT(A124,FIND("/",A124&amp;"/")-1)))</f>
        <v/>
      </c>
      <c r="I124" s="2" t="n"/>
      <c r="J124" s="2" t="n"/>
      <c r="K124" s="2" t="n"/>
      <c r="L124" s="2" t="n"/>
      <c r="M124" s="2">
        <f>IF(I124="","",VALUE(LEFT(I124,FIND("/",I124&amp;"/")-1)))</f>
        <v/>
      </c>
    </row>
    <row r="125">
      <c r="A125" s="2" t="n"/>
      <c r="B125" s="2" t="n"/>
      <c r="C125" s="2" t="n"/>
      <c r="D125" s="2" t="n"/>
      <c r="E125" s="2" t="n"/>
      <c r="F125" s="2">
        <f>IF(A125="","",VALUE(LEFT(A125,FIND("/",A125&amp;"/")-1)))</f>
        <v/>
      </c>
      <c r="I125" s="2" t="n"/>
      <c r="J125" s="2" t="n"/>
      <c r="K125" s="2" t="n"/>
      <c r="L125" s="2" t="n"/>
      <c r="M125" s="2">
        <f>IF(I125="","",VALUE(LEFT(I125,FIND("/",I125&amp;"/")-1)))</f>
        <v/>
      </c>
    </row>
    <row r="126">
      <c r="A126" s="2" t="n"/>
      <c r="B126" s="2" t="n"/>
      <c r="C126" s="2" t="n"/>
      <c r="D126" s="2" t="n"/>
      <c r="E126" s="2" t="n"/>
      <c r="F126" s="2">
        <f>IF(A126="","",VALUE(LEFT(A126,FIND("/",A126&amp;"/")-1)))</f>
        <v/>
      </c>
      <c r="I126" s="2" t="n"/>
      <c r="J126" s="2" t="n"/>
      <c r="K126" s="2" t="n"/>
      <c r="L126" s="2" t="n"/>
      <c r="M126" s="2">
        <f>IF(I126="","",VALUE(LEFT(I126,FIND("/",I126&amp;"/")-1)))</f>
        <v/>
      </c>
    </row>
    <row r="127">
      <c r="A127" s="2" t="n"/>
      <c r="B127" s="2" t="n"/>
      <c r="C127" s="2" t="n"/>
      <c r="D127" s="2" t="n"/>
      <c r="E127" s="2" t="n"/>
      <c r="F127" s="2">
        <f>IF(A127="","",VALUE(LEFT(A127,FIND("/",A127&amp;"/")-1)))</f>
        <v/>
      </c>
      <c r="I127" s="2" t="n"/>
      <c r="J127" s="2" t="n"/>
      <c r="K127" s="2" t="n"/>
      <c r="L127" s="2" t="n"/>
      <c r="M127" s="2">
        <f>IF(I127="","",VALUE(LEFT(I127,FIND("/",I127&amp;"/")-1)))</f>
        <v/>
      </c>
    </row>
    <row r="128">
      <c r="A128" s="2" t="n"/>
      <c r="B128" s="2" t="n"/>
      <c r="C128" s="2" t="n"/>
      <c r="D128" s="2" t="n"/>
      <c r="E128" s="2" t="n"/>
      <c r="F128" s="2">
        <f>IF(A128="","",VALUE(LEFT(A128,FIND("/",A128&amp;"/")-1)))</f>
        <v/>
      </c>
      <c r="I128" s="2" t="n"/>
      <c r="J128" s="2" t="n"/>
      <c r="K128" s="2" t="n"/>
      <c r="L128" s="2" t="n"/>
      <c r="M128" s="2">
        <f>IF(I128="","",VALUE(LEFT(I128,FIND("/",I128&amp;"/")-1)))</f>
        <v/>
      </c>
    </row>
    <row r="129">
      <c r="A129" s="2" t="n"/>
      <c r="B129" s="2" t="n"/>
      <c r="C129" s="2" t="n"/>
      <c r="D129" s="2" t="n"/>
      <c r="E129" s="2" t="n"/>
      <c r="F129" s="2">
        <f>IF(A129="","",VALUE(LEFT(A129,FIND("/",A129&amp;"/")-1)))</f>
        <v/>
      </c>
      <c r="I129" s="2" t="n"/>
      <c r="J129" s="2" t="n"/>
      <c r="K129" s="2" t="n"/>
      <c r="L129" s="2" t="n"/>
      <c r="M129" s="2">
        <f>IF(I129="","",VALUE(LEFT(I129,FIND("/",I129&amp;"/")-1)))</f>
        <v/>
      </c>
    </row>
    <row r="130">
      <c r="A130" s="2" t="n"/>
      <c r="B130" s="2" t="n"/>
      <c r="C130" s="2" t="n"/>
      <c r="D130" s="2" t="n"/>
      <c r="E130" s="2" t="n"/>
      <c r="F130" s="2">
        <f>IF(A130="","",VALUE(LEFT(A130,FIND("/",A130&amp;"/")-1)))</f>
        <v/>
      </c>
      <c r="I130" s="2" t="n"/>
      <c r="J130" s="2" t="n"/>
      <c r="K130" s="2" t="n"/>
      <c r="L130" s="2" t="n"/>
      <c r="M130" s="2">
        <f>IF(I130="","",VALUE(LEFT(I130,FIND("/",I130&amp;"/")-1)))</f>
        <v/>
      </c>
    </row>
    <row r="131">
      <c r="A131" s="2" t="n"/>
      <c r="B131" s="2" t="n"/>
      <c r="C131" s="2" t="n"/>
      <c r="D131" s="2" t="n"/>
      <c r="E131" s="2" t="n"/>
      <c r="F131" s="2">
        <f>IF(A131="","",VALUE(LEFT(A131,FIND("/",A131&amp;"/")-1)))</f>
        <v/>
      </c>
      <c r="I131" s="2" t="n"/>
      <c r="J131" s="2" t="n"/>
      <c r="K131" s="2" t="n"/>
      <c r="L131" s="2" t="n"/>
      <c r="M131" s="2">
        <f>IF(I131="","",VALUE(LEFT(I131,FIND("/",I131&amp;"/")-1)))</f>
        <v/>
      </c>
    </row>
    <row r="132">
      <c r="A132" s="2" t="n"/>
      <c r="B132" s="2" t="n"/>
      <c r="C132" s="2" t="n"/>
      <c r="D132" s="2" t="n"/>
      <c r="E132" s="2" t="n"/>
      <c r="F132" s="2">
        <f>IF(A132="","",VALUE(LEFT(A132,FIND("/",A132&amp;"/")-1)))</f>
        <v/>
      </c>
      <c r="I132" s="2" t="n"/>
      <c r="J132" s="2" t="n"/>
      <c r="K132" s="2" t="n"/>
      <c r="L132" s="2" t="n"/>
      <c r="M132" s="2">
        <f>IF(I132="","",VALUE(LEFT(I132,FIND("/",I132&amp;"/")-1)))</f>
        <v/>
      </c>
    </row>
    <row r="133">
      <c r="A133" s="2" t="n"/>
      <c r="B133" s="2" t="n"/>
      <c r="C133" s="2" t="n"/>
      <c r="D133" s="2" t="n"/>
      <c r="E133" s="2" t="n"/>
      <c r="F133" s="2">
        <f>IF(A133="","",VALUE(LEFT(A133,FIND("/",A133&amp;"/")-1)))</f>
        <v/>
      </c>
      <c r="I133" s="2" t="n"/>
      <c r="J133" s="2" t="n"/>
      <c r="K133" s="2" t="n"/>
      <c r="L133" s="2" t="n"/>
      <c r="M133" s="2">
        <f>IF(I133="","",VALUE(LEFT(I133,FIND("/",I133&amp;"/")-1)))</f>
        <v/>
      </c>
    </row>
    <row r="134">
      <c r="A134" s="2" t="n"/>
      <c r="B134" s="2" t="n"/>
      <c r="C134" s="2" t="n"/>
      <c r="D134" s="2" t="n"/>
      <c r="E134" s="2" t="n"/>
      <c r="F134" s="2">
        <f>IF(A134="","",VALUE(LEFT(A134,FIND("/",A134&amp;"/")-1)))</f>
        <v/>
      </c>
      <c r="I134" s="2" t="n"/>
      <c r="J134" s="2" t="n"/>
      <c r="K134" s="2" t="n"/>
      <c r="L134" s="2" t="n"/>
      <c r="M134" s="2">
        <f>IF(I134="","",VALUE(LEFT(I134,FIND("/",I134&amp;"/")-1)))</f>
        <v/>
      </c>
    </row>
    <row r="135">
      <c r="A135" s="2" t="n"/>
      <c r="B135" s="2" t="n"/>
      <c r="C135" s="2" t="n"/>
      <c r="D135" s="2" t="n"/>
      <c r="E135" s="2" t="n"/>
      <c r="F135" s="2">
        <f>IF(A135="","",VALUE(LEFT(A135,FIND("/",A135&amp;"/")-1)))</f>
        <v/>
      </c>
      <c r="I135" s="2" t="n"/>
      <c r="J135" s="2" t="n"/>
      <c r="K135" s="2" t="n"/>
      <c r="L135" s="2" t="n"/>
      <c r="M135" s="2">
        <f>IF(I135="","",VALUE(LEFT(I135,FIND("/",I135&amp;"/")-1)))</f>
        <v/>
      </c>
    </row>
    <row r="136">
      <c r="A136" s="2" t="n"/>
      <c r="B136" s="2" t="n"/>
      <c r="C136" s="2" t="n"/>
      <c r="D136" s="2" t="n"/>
      <c r="E136" s="2" t="n"/>
      <c r="F136" s="2">
        <f>IF(A136="","",VALUE(LEFT(A136,FIND("/",A136&amp;"/")-1)))</f>
        <v/>
      </c>
      <c r="I136" s="2" t="n"/>
      <c r="J136" s="2" t="n"/>
      <c r="K136" s="2" t="n"/>
      <c r="L136" s="2" t="n"/>
      <c r="M136" s="2">
        <f>IF(I136="","",VALUE(LEFT(I136,FIND("/",I136&amp;"/")-1)))</f>
        <v/>
      </c>
    </row>
    <row r="137">
      <c r="A137" s="2" t="n"/>
      <c r="B137" s="2" t="n"/>
      <c r="C137" s="2" t="n"/>
      <c r="D137" s="2" t="n"/>
      <c r="E137" s="2" t="n"/>
      <c r="F137" s="2">
        <f>IF(A137="","",VALUE(LEFT(A137,FIND("/",A137&amp;"/")-1)))</f>
        <v/>
      </c>
      <c r="I137" s="2" t="n"/>
      <c r="J137" s="2" t="n"/>
      <c r="K137" s="2" t="n"/>
      <c r="L137" s="2" t="n"/>
      <c r="M137" s="2">
        <f>IF(I137="","",VALUE(LEFT(I137,FIND("/",I137&amp;"/")-1)))</f>
        <v/>
      </c>
    </row>
    <row r="138">
      <c r="A138" s="2" t="n"/>
      <c r="B138" s="2" t="n"/>
      <c r="C138" s="2" t="n"/>
      <c r="D138" s="2" t="n"/>
      <c r="E138" s="2" t="n"/>
      <c r="F138" s="2">
        <f>IF(A138="","",VALUE(LEFT(A138,FIND("/",A138&amp;"/")-1)))</f>
        <v/>
      </c>
      <c r="I138" s="2" t="n"/>
      <c r="J138" s="2" t="n"/>
      <c r="K138" s="2" t="n"/>
      <c r="L138" s="2" t="n"/>
      <c r="M138" s="2">
        <f>IF(I138="","",VALUE(LEFT(I138,FIND("/",I138&amp;"/")-1)))</f>
        <v/>
      </c>
    </row>
    <row r="139">
      <c r="A139" s="2" t="n"/>
      <c r="B139" s="2" t="n"/>
      <c r="C139" s="2" t="n"/>
      <c r="D139" s="2" t="n"/>
      <c r="E139" s="2" t="n"/>
      <c r="F139" s="2">
        <f>IF(A139="","",VALUE(LEFT(A139,FIND("/",A139&amp;"/")-1)))</f>
        <v/>
      </c>
      <c r="I139" s="2" t="n"/>
      <c r="J139" s="2" t="n"/>
      <c r="K139" s="2" t="n"/>
      <c r="L139" s="2" t="n"/>
      <c r="M139" s="2">
        <f>IF(I139="","",VALUE(LEFT(I139,FIND("/",I139&amp;"/")-1)))</f>
        <v/>
      </c>
    </row>
    <row r="140">
      <c r="A140" s="2" t="n"/>
      <c r="B140" s="2" t="n"/>
      <c r="C140" s="2" t="n"/>
      <c r="D140" s="2" t="n"/>
      <c r="E140" s="2" t="n"/>
      <c r="F140" s="2">
        <f>IF(A140="","",VALUE(LEFT(A140,FIND("/",A140&amp;"/")-1)))</f>
        <v/>
      </c>
      <c r="I140" s="2" t="n"/>
      <c r="J140" s="2" t="n"/>
      <c r="K140" s="2" t="n"/>
      <c r="L140" s="2" t="n"/>
      <c r="M140" s="2">
        <f>IF(I140="","",VALUE(LEFT(I140,FIND("/",I140&amp;"/")-1)))</f>
        <v/>
      </c>
    </row>
    <row r="141">
      <c r="A141" s="2" t="n"/>
      <c r="B141" s="2" t="n"/>
      <c r="C141" s="2" t="n"/>
      <c r="D141" s="2" t="n"/>
      <c r="E141" s="2" t="n"/>
      <c r="F141" s="2">
        <f>IF(A141="","",VALUE(LEFT(A141,FIND("/",A141&amp;"/")-1)))</f>
        <v/>
      </c>
      <c r="I141" s="2" t="n"/>
      <c r="J141" s="2" t="n"/>
      <c r="K141" s="2" t="n"/>
      <c r="L141" s="2" t="n"/>
      <c r="M141" s="2">
        <f>IF(I141="","",VALUE(LEFT(I141,FIND("/",I141&amp;"/")-1)))</f>
        <v/>
      </c>
    </row>
    <row r="142">
      <c r="A142" s="2" t="n"/>
      <c r="B142" s="2" t="n"/>
      <c r="C142" s="2" t="n"/>
      <c r="D142" s="2" t="n"/>
      <c r="E142" s="2" t="n"/>
      <c r="F142" s="2">
        <f>IF(A142="","",VALUE(LEFT(A142,FIND("/",A142&amp;"/")-1)))</f>
        <v/>
      </c>
      <c r="I142" s="2" t="n"/>
      <c r="J142" s="2" t="n"/>
      <c r="K142" s="2" t="n"/>
      <c r="L142" s="2" t="n"/>
      <c r="M142" s="2">
        <f>IF(I142="","",VALUE(LEFT(I142,FIND("/",I142&amp;"/")-1)))</f>
        <v/>
      </c>
    </row>
    <row r="143">
      <c r="A143" s="2" t="n"/>
      <c r="B143" s="2" t="n"/>
      <c r="C143" s="2" t="n"/>
      <c r="D143" s="2" t="n"/>
      <c r="E143" s="2" t="n"/>
      <c r="F143" s="2">
        <f>IF(A143="","",VALUE(LEFT(A143,FIND("/",A143&amp;"/")-1)))</f>
        <v/>
      </c>
      <c r="I143" s="2" t="n"/>
      <c r="J143" s="2" t="n"/>
      <c r="K143" s="2" t="n"/>
      <c r="L143" s="2" t="n"/>
      <c r="M143" s="2">
        <f>IF(I143="","",VALUE(LEFT(I143,FIND("/",I143&amp;"/")-1)))</f>
        <v/>
      </c>
    </row>
    <row r="144">
      <c r="A144" s="2" t="n"/>
      <c r="B144" s="2" t="n"/>
      <c r="C144" s="2" t="n"/>
      <c r="D144" s="2" t="n"/>
      <c r="E144" s="2" t="n"/>
      <c r="F144" s="2">
        <f>IF(A144="","",VALUE(LEFT(A144,FIND("/",A144&amp;"/")-1)))</f>
        <v/>
      </c>
      <c r="I144" s="2" t="n"/>
      <c r="J144" s="2" t="n"/>
      <c r="K144" s="2" t="n"/>
      <c r="L144" s="2" t="n"/>
      <c r="M144" s="2">
        <f>IF(I144="","",VALUE(LEFT(I144,FIND("/",I144&amp;"/")-1)))</f>
        <v/>
      </c>
    </row>
    <row r="145">
      <c r="A145" s="2" t="n"/>
      <c r="B145" s="2" t="n"/>
      <c r="C145" s="2" t="n"/>
      <c r="D145" s="2" t="n"/>
      <c r="E145" s="2" t="n"/>
      <c r="F145" s="2">
        <f>IF(A145="","",VALUE(LEFT(A145,FIND("/",A145&amp;"/")-1)))</f>
        <v/>
      </c>
      <c r="I145" s="2" t="n"/>
      <c r="J145" s="2" t="n"/>
      <c r="K145" s="2" t="n"/>
      <c r="L145" s="2" t="n"/>
      <c r="M145" s="2">
        <f>IF(I145="","",VALUE(LEFT(I145,FIND("/",I145&amp;"/")-1)))</f>
        <v/>
      </c>
    </row>
    <row r="146">
      <c r="A146" s="2" t="n"/>
      <c r="B146" s="2" t="n"/>
      <c r="C146" s="2" t="n"/>
      <c r="D146" s="2" t="n"/>
      <c r="E146" s="2" t="n"/>
      <c r="F146" s="2">
        <f>IF(A146="","",VALUE(LEFT(A146,FIND("/",A146&amp;"/")-1)))</f>
        <v/>
      </c>
      <c r="I146" s="2" t="n"/>
      <c r="J146" s="2" t="n"/>
      <c r="K146" s="2" t="n"/>
      <c r="L146" s="2" t="n"/>
      <c r="M146" s="2">
        <f>IF(I146="","",VALUE(LEFT(I146,FIND("/",I146&amp;"/")-1)))</f>
        <v/>
      </c>
    </row>
    <row r="147">
      <c r="A147" s="2" t="n"/>
      <c r="B147" s="2" t="n"/>
      <c r="C147" s="2" t="n"/>
      <c r="D147" s="2" t="n"/>
      <c r="E147" s="2" t="n"/>
      <c r="F147" s="2">
        <f>IF(A147="","",VALUE(LEFT(A147,FIND("/",A147&amp;"/")-1)))</f>
        <v/>
      </c>
      <c r="I147" s="2" t="n"/>
      <c r="J147" s="2" t="n"/>
      <c r="K147" s="2" t="n"/>
      <c r="L147" s="2" t="n"/>
      <c r="M147" s="2">
        <f>IF(I147="","",VALUE(LEFT(I147,FIND("/",I147&amp;"/")-1)))</f>
        <v/>
      </c>
    </row>
    <row r="148">
      <c r="A148" s="2" t="n"/>
      <c r="B148" s="2" t="n"/>
      <c r="C148" s="2" t="n"/>
      <c r="D148" s="2" t="n"/>
      <c r="E148" s="2" t="n"/>
      <c r="F148" s="2">
        <f>IF(A148="","",VALUE(LEFT(A148,FIND("/",A148&amp;"/")-1)))</f>
        <v/>
      </c>
      <c r="I148" s="2" t="n"/>
      <c r="J148" s="2" t="n"/>
      <c r="K148" s="2" t="n"/>
      <c r="L148" s="2" t="n"/>
      <c r="M148" s="2">
        <f>IF(I148="","",VALUE(LEFT(I148,FIND("/",I148&amp;"/")-1)))</f>
        <v/>
      </c>
    </row>
    <row r="149">
      <c r="A149" s="2" t="n"/>
      <c r="B149" s="2" t="n"/>
      <c r="C149" s="2" t="n"/>
      <c r="D149" s="2" t="n"/>
      <c r="E149" s="2" t="n"/>
      <c r="F149" s="2">
        <f>IF(A149="","",VALUE(LEFT(A149,FIND("/",A149&amp;"/")-1)))</f>
        <v/>
      </c>
      <c r="I149" s="2" t="n"/>
      <c r="J149" s="2" t="n"/>
      <c r="K149" s="2" t="n"/>
      <c r="L149" s="2" t="n"/>
      <c r="M149" s="2">
        <f>IF(I149="","",VALUE(LEFT(I149,FIND("/",I149&amp;"/")-1)))</f>
        <v/>
      </c>
    </row>
    <row r="150">
      <c r="A150" s="2" t="n"/>
      <c r="B150" s="2" t="n"/>
      <c r="C150" s="2" t="n"/>
      <c r="D150" s="2" t="n"/>
      <c r="E150" s="2" t="n"/>
      <c r="F150" s="2">
        <f>IF(A150="","",VALUE(LEFT(A150,FIND("/",A150&amp;"/")-1)))</f>
        <v/>
      </c>
      <c r="I150" s="2" t="n"/>
      <c r="J150" s="2" t="n"/>
      <c r="K150" s="2" t="n"/>
      <c r="L150" s="2" t="n"/>
      <c r="M150" s="2">
        <f>IF(I150="","",VALUE(LEFT(I150,FIND("/",I150&amp;"/")-1)))</f>
        <v/>
      </c>
    </row>
    <row r="151">
      <c r="A151" s="2" t="n"/>
      <c r="B151" s="2" t="n"/>
      <c r="C151" s="2" t="n"/>
      <c r="D151" s="2" t="n"/>
      <c r="E151" s="2" t="n"/>
      <c r="F151" s="2">
        <f>IF(A151="","",VALUE(LEFT(A151,FIND("/",A151&amp;"/")-1)))</f>
        <v/>
      </c>
      <c r="I151" s="2" t="n"/>
      <c r="J151" s="2" t="n"/>
      <c r="K151" s="2" t="n"/>
      <c r="L151" s="2" t="n"/>
      <c r="M151" s="2">
        <f>IF(I151="","",VALUE(LEFT(I151,FIND("/",I151&amp;"/")-1)))</f>
        <v/>
      </c>
    </row>
    <row r="152">
      <c r="A152" s="2" t="n"/>
      <c r="B152" s="2" t="n"/>
      <c r="C152" s="2" t="n"/>
      <c r="D152" s="2" t="n"/>
      <c r="E152" s="2" t="n"/>
      <c r="F152" s="2">
        <f>IF(A152="","",VALUE(LEFT(A152,FIND("/",A152&amp;"/")-1)))</f>
        <v/>
      </c>
      <c r="I152" s="2" t="n"/>
      <c r="J152" s="2" t="n"/>
      <c r="K152" s="2" t="n"/>
      <c r="L152" s="2" t="n"/>
      <c r="M152" s="2">
        <f>IF(I152="","",VALUE(LEFT(I152,FIND("/",I152&amp;"/")-1)))</f>
        <v/>
      </c>
    </row>
    <row r="153">
      <c r="A153" s="2" t="n"/>
      <c r="B153" s="2" t="n"/>
      <c r="C153" s="2" t="n"/>
      <c r="D153" s="2" t="n"/>
      <c r="E153" s="2" t="n"/>
      <c r="F153" s="2">
        <f>IF(A153="","",VALUE(LEFT(A153,FIND("/",A153&amp;"/")-1)))</f>
        <v/>
      </c>
      <c r="I153" s="2" t="n"/>
      <c r="J153" s="2" t="n"/>
      <c r="K153" s="2" t="n"/>
      <c r="L153" s="2" t="n"/>
      <c r="M153" s="2">
        <f>IF(I153="","",VALUE(LEFT(I153,FIND("/",I153&amp;"/")-1)))</f>
        <v/>
      </c>
    </row>
    <row r="154">
      <c r="A154" s="2" t="n"/>
      <c r="B154" s="2" t="n"/>
      <c r="C154" s="2" t="n"/>
      <c r="D154" s="2" t="n"/>
      <c r="E154" s="2" t="n"/>
      <c r="F154" s="2">
        <f>IF(A154="","",VALUE(LEFT(A154,FIND("/",A154&amp;"/")-1)))</f>
        <v/>
      </c>
      <c r="I154" s="2" t="n"/>
      <c r="J154" s="2" t="n"/>
      <c r="K154" s="2" t="n"/>
      <c r="L154" s="2" t="n"/>
      <c r="M154" s="2">
        <f>IF(I154="","",VALUE(LEFT(I154,FIND("/",I154&amp;"/")-1)))</f>
        <v/>
      </c>
    </row>
    <row r="155">
      <c r="A155" s="2" t="n"/>
      <c r="B155" s="2" t="n"/>
      <c r="C155" s="2" t="n"/>
      <c r="D155" s="2" t="n"/>
      <c r="E155" s="2" t="n"/>
      <c r="F155" s="2">
        <f>IF(A155="","",VALUE(LEFT(A155,FIND("/",A155&amp;"/")-1)))</f>
        <v/>
      </c>
      <c r="I155" s="2" t="n"/>
      <c r="J155" s="2" t="n"/>
      <c r="K155" s="2" t="n"/>
      <c r="L155" s="2" t="n"/>
      <c r="M155" s="2">
        <f>IF(I155="","",VALUE(LEFT(I155,FIND("/",I155&amp;"/")-1)))</f>
        <v/>
      </c>
    </row>
    <row r="156">
      <c r="A156" s="2" t="n"/>
      <c r="B156" s="2" t="n"/>
      <c r="C156" s="2" t="n"/>
      <c r="D156" s="2" t="n"/>
      <c r="E156" s="2" t="n"/>
      <c r="F156" s="2">
        <f>IF(A156="","",VALUE(LEFT(A156,FIND("/",A156&amp;"/")-1)))</f>
        <v/>
      </c>
      <c r="I156" s="2" t="n"/>
      <c r="J156" s="2" t="n"/>
      <c r="K156" s="2" t="n"/>
      <c r="L156" s="2" t="n"/>
      <c r="M156" s="2">
        <f>IF(I156="","",VALUE(LEFT(I156,FIND("/",I156&amp;"/")-1)))</f>
        <v/>
      </c>
    </row>
    <row r="157">
      <c r="A157" s="2" t="n"/>
      <c r="B157" s="2" t="n"/>
      <c r="C157" s="2" t="n"/>
      <c r="D157" s="2" t="n"/>
      <c r="E157" s="2" t="n"/>
      <c r="F157" s="2">
        <f>IF(A157="","",VALUE(LEFT(A157,FIND("/",A157&amp;"/")-1)))</f>
        <v/>
      </c>
      <c r="I157" s="2" t="n"/>
      <c r="J157" s="2" t="n"/>
      <c r="K157" s="2" t="n"/>
      <c r="L157" s="2" t="n"/>
      <c r="M157" s="2">
        <f>IF(I157="","",VALUE(LEFT(I157,FIND("/",I157&amp;"/")-1)))</f>
        <v/>
      </c>
    </row>
    <row r="158">
      <c r="A158" s="2" t="n"/>
      <c r="B158" s="2" t="n"/>
      <c r="C158" s="2" t="n"/>
      <c r="D158" s="2" t="n"/>
      <c r="E158" s="2" t="n"/>
      <c r="F158" s="2">
        <f>IF(A158="","",VALUE(LEFT(A158,FIND("/",A158&amp;"/")-1)))</f>
        <v/>
      </c>
      <c r="I158" s="2" t="n"/>
      <c r="J158" s="2" t="n"/>
      <c r="K158" s="2" t="n"/>
      <c r="L158" s="2" t="n"/>
      <c r="M158" s="2">
        <f>IF(I158="","",VALUE(LEFT(I158,FIND("/",I158&amp;"/")-1)))</f>
        <v/>
      </c>
    </row>
    <row r="159">
      <c r="A159" s="2" t="n"/>
      <c r="B159" s="2" t="n"/>
      <c r="C159" s="2" t="n"/>
      <c r="D159" s="2" t="n"/>
      <c r="E159" s="2" t="n"/>
      <c r="F159" s="2">
        <f>IF(A159="","",VALUE(LEFT(A159,FIND("/",A159&amp;"/")-1)))</f>
        <v/>
      </c>
      <c r="I159" s="2" t="n"/>
      <c r="J159" s="2" t="n"/>
      <c r="K159" s="2" t="n"/>
      <c r="L159" s="2" t="n"/>
      <c r="M159" s="2">
        <f>IF(I159="","",VALUE(LEFT(I159,FIND("/",I159&amp;"/")-1)))</f>
        <v/>
      </c>
    </row>
    <row r="160">
      <c r="A160" s="2" t="n"/>
      <c r="B160" s="2" t="n"/>
      <c r="C160" s="2" t="n"/>
      <c r="D160" s="2" t="n"/>
      <c r="E160" s="2" t="n"/>
      <c r="F160" s="2">
        <f>IF(A160="","",VALUE(LEFT(A160,FIND("/",A160&amp;"/")-1)))</f>
        <v/>
      </c>
      <c r="I160" s="2" t="n"/>
      <c r="J160" s="2" t="n"/>
      <c r="K160" s="2" t="n"/>
      <c r="L160" s="2" t="n"/>
      <c r="M160" s="2">
        <f>IF(I160="","",VALUE(LEFT(I160,FIND("/",I160&amp;"/")-1)))</f>
        <v/>
      </c>
    </row>
    <row r="161">
      <c r="A161" s="2" t="n"/>
      <c r="B161" s="2" t="n"/>
      <c r="C161" s="2" t="n"/>
      <c r="D161" s="2" t="n"/>
      <c r="E161" s="2" t="n"/>
      <c r="F161" s="2">
        <f>IF(A161="","",VALUE(LEFT(A161,FIND("/",A161&amp;"/")-1)))</f>
        <v/>
      </c>
      <c r="I161" s="2" t="n"/>
      <c r="J161" s="2" t="n"/>
      <c r="K161" s="2" t="n"/>
      <c r="L161" s="2" t="n"/>
      <c r="M161" s="2">
        <f>IF(I161="","",VALUE(LEFT(I161,FIND("/",I161&amp;"/")-1)))</f>
        <v/>
      </c>
    </row>
    <row r="162">
      <c r="A162" s="2" t="n"/>
      <c r="B162" s="2" t="n"/>
      <c r="C162" s="2" t="n"/>
      <c r="D162" s="2" t="n"/>
      <c r="E162" s="2" t="n"/>
      <c r="F162" s="2">
        <f>IF(A162="","",VALUE(LEFT(A162,FIND("/",A162&amp;"/")-1)))</f>
        <v/>
      </c>
      <c r="I162" s="2" t="n"/>
      <c r="J162" s="2" t="n"/>
      <c r="K162" s="2" t="n"/>
      <c r="L162" s="2" t="n"/>
      <c r="M162" s="2">
        <f>IF(I162="","",VALUE(LEFT(I162,FIND("/",I162&amp;"/")-1)))</f>
        <v/>
      </c>
    </row>
    <row r="163">
      <c r="A163" s="2" t="n"/>
      <c r="B163" s="2" t="n"/>
      <c r="C163" s="2" t="n"/>
      <c r="D163" s="2" t="n"/>
      <c r="E163" s="2" t="n"/>
      <c r="F163" s="2">
        <f>IF(A163="","",VALUE(LEFT(A163,FIND("/",A163&amp;"/")-1)))</f>
        <v/>
      </c>
      <c r="I163" s="2" t="n"/>
      <c r="J163" s="2" t="n"/>
      <c r="K163" s="2" t="n"/>
      <c r="L163" s="2" t="n"/>
      <c r="M163" s="2">
        <f>IF(I163="","",VALUE(LEFT(I163,FIND("/",I163&amp;"/")-1)))</f>
        <v/>
      </c>
    </row>
    <row r="164">
      <c r="A164" s="2" t="n"/>
      <c r="B164" s="2" t="n"/>
      <c r="C164" s="2" t="n"/>
      <c r="D164" s="2" t="n"/>
      <c r="E164" s="2" t="n"/>
      <c r="F164" s="2">
        <f>IF(A164="","",VALUE(LEFT(A164,FIND("/",A164&amp;"/")-1)))</f>
        <v/>
      </c>
      <c r="I164" s="2" t="n"/>
      <c r="J164" s="2" t="n"/>
      <c r="K164" s="2" t="n"/>
      <c r="L164" s="2" t="n"/>
      <c r="M164" s="2">
        <f>IF(I164="","",VALUE(LEFT(I164,FIND("/",I164&amp;"/")-1)))</f>
        <v/>
      </c>
    </row>
    <row r="165">
      <c r="A165" s="2" t="n"/>
      <c r="B165" s="2" t="n"/>
      <c r="C165" s="2" t="n"/>
      <c r="D165" s="2" t="n"/>
      <c r="E165" s="2" t="n"/>
      <c r="F165" s="2">
        <f>IF(A165="","",VALUE(LEFT(A165,FIND("/",A165&amp;"/")-1)))</f>
        <v/>
      </c>
      <c r="I165" s="2" t="n"/>
      <c r="J165" s="2" t="n"/>
      <c r="K165" s="2" t="n"/>
      <c r="L165" s="2" t="n"/>
      <c r="M165" s="2">
        <f>IF(I165="","",VALUE(LEFT(I165,FIND("/",I165&amp;"/")-1)))</f>
        <v/>
      </c>
    </row>
    <row r="166">
      <c r="A166" s="2" t="n"/>
      <c r="B166" s="2" t="n"/>
      <c r="C166" s="2" t="n"/>
      <c r="D166" s="2" t="n"/>
      <c r="E166" s="2" t="n"/>
      <c r="F166" s="2">
        <f>IF(A166="","",VALUE(LEFT(A166,FIND("/",A166&amp;"/")-1)))</f>
        <v/>
      </c>
      <c r="I166" s="2" t="n"/>
      <c r="J166" s="2" t="n"/>
      <c r="K166" s="2" t="n"/>
      <c r="L166" s="2" t="n"/>
      <c r="M166" s="2">
        <f>IF(I166="","",VALUE(LEFT(I166,FIND("/",I166&amp;"/")-1)))</f>
        <v/>
      </c>
    </row>
    <row r="167">
      <c r="A167" s="2" t="n"/>
      <c r="B167" s="2" t="n"/>
      <c r="C167" s="2" t="n"/>
      <c r="D167" s="2" t="n"/>
      <c r="E167" s="2" t="n"/>
      <c r="F167" s="2">
        <f>IF(A167="","",VALUE(LEFT(A167,FIND("/",A167&amp;"/")-1)))</f>
        <v/>
      </c>
      <c r="I167" s="2" t="n"/>
      <c r="J167" s="2" t="n"/>
      <c r="K167" s="2" t="n"/>
      <c r="L167" s="2" t="n"/>
      <c r="M167" s="2">
        <f>IF(I167="","",VALUE(LEFT(I167,FIND("/",I167&amp;"/")-1)))</f>
        <v/>
      </c>
    </row>
    <row r="168">
      <c r="A168" s="2" t="n"/>
      <c r="B168" s="2" t="n"/>
      <c r="C168" s="2" t="n"/>
      <c r="D168" s="2" t="n"/>
      <c r="E168" s="2" t="n"/>
      <c r="F168" s="2">
        <f>IF(A168="","",VALUE(LEFT(A168,FIND("/",A168&amp;"/")-1)))</f>
        <v/>
      </c>
      <c r="I168" s="2" t="n"/>
      <c r="J168" s="2" t="n"/>
      <c r="K168" s="2" t="n"/>
      <c r="L168" s="2" t="n"/>
      <c r="M168" s="2">
        <f>IF(I168="","",VALUE(LEFT(I168,FIND("/",I168&amp;"/")-1)))</f>
        <v/>
      </c>
    </row>
    <row r="169">
      <c r="A169" s="2" t="n"/>
      <c r="B169" s="2" t="n"/>
      <c r="C169" s="2" t="n"/>
      <c r="D169" s="2" t="n"/>
      <c r="E169" s="2" t="n"/>
      <c r="F169" s="2">
        <f>IF(A169="","",VALUE(LEFT(A169,FIND("/",A169&amp;"/")-1)))</f>
        <v/>
      </c>
      <c r="I169" s="2" t="n"/>
      <c r="J169" s="2" t="n"/>
      <c r="K169" s="2" t="n"/>
      <c r="L169" s="2" t="n"/>
      <c r="M169" s="2">
        <f>IF(I169="","",VALUE(LEFT(I169,FIND("/",I169&amp;"/")-1)))</f>
        <v/>
      </c>
    </row>
    <row r="170">
      <c r="A170" s="2" t="n"/>
      <c r="B170" s="2" t="n"/>
      <c r="C170" s="2" t="n"/>
      <c r="D170" s="2" t="n"/>
      <c r="E170" s="2" t="n"/>
      <c r="F170" s="2">
        <f>IF(A170="","",VALUE(LEFT(A170,FIND("/",A170&amp;"/")-1)))</f>
        <v/>
      </c>
      <c r="I170" s="2" t="n"/>
      <c r="J170" s="2" t="n"/>
      <c r="K170" s="2" t="n"/>
      <c r="L170" s="2" t="n"/>
      <c r="M170" s="2">
        <f>IF(I170="","",VALUE(LEFT(I170,FIND("/",I170&amp;"/")-1)))</f>
        <v/>
      </c>
    </row>
    <row r="171">
      <c r="A171" s="2" t="n"/>
      <c r="B171" s="2" t="n"/>
      <c r="C171" s="2" t="n"/>
      <c r="D171" s="2" t="n"/>
      <c r="E171" s="2" t="n"/>
      <c r="F171" s="2">
        <f>IF(A171="","",VALUE(LEFT(A171,FIND("/",A171&amp;"/")-1)))</f>
        <v/>
      </c>
      <c r="I171" s="2" t="n"/>
      <c r="J171" s="2" t="n"/>
      <c r="K171" s="2" t="n"/>
      <c r="L171" s="2" t="n"/>
      <c r="M171" s="2">
        <f>IF(I171="","",VALUE(LEFT(I171,FIND("/",I171&amp;"/")-1)))</f>
        <v/>
      </c>
    </row>
    <row r="172">
      <c r="A172" s="2" t="n"/>
      <c r="B172" s="2" t="n"/>
      <c r="C172" s="2" t="n"/>
      <c r="D172" s="2" t="n"/>
      <c r="E172" s="2" t="n"/>
      <c r="F172" s="2">
        <f>IF(A172="","",VALUE(LEFT(A172,FIND("/",A172&amp;"/")-1)))</f>
        <v/>
      </c>
      <c r="I172" s="2" t="n"/>
      <c r="J172" s="2" t="n"/>
      <c r="K172" s="2" t="n"/>
      <c r="L172" s="2" t="n"/>
      <c r="M172" s="2">
        <f>IF(I172="","",VALUE(LEFT(I172,FIND("/",I172&amp;"/")-1)))</f>
        <v/>
      </c>
    </row>
    <row r="173">
      <c r="A173" s="2" t="n"/>
      <c r="B173" s="2" t="n"/>
      <c r="C173" s="2" t="n"/>
      <c r="D173" s="2" t="n"/>
      <c r="E173" s="2" t="n"/>
      <c r="F173" s="2">
        <f>IF(A173="","",VALUE(LEFT(A173,FIND("/",A173&amp;"/")-1)))</f>
        <v/>
      </c>
      <c r="I173" s="2" t="n"/>
      <c r="J173" s="2" t="n"/>
      <c r="K173" s="2" t="n"/>
      <c r="L173" s="2" t="n"/>
      <c r="M173" s="2">
        <f>IF(I173="","",VALUE(LEFT(I173,FIND("/",I173&amp;"/")-1)))</f>
        <v/>
      </c>
    </row>
    <row r="174">
      <c r="A174" s="2" t="n"/>
      <c r="B174" s="2" t="n"/>
      <c r="C174" s="2" t="n"/>
      <c r="D174" s="2" t="n"/>
      <c r="E174" s="2" t="n"/>
      <c r="F174" s="2">
        <f>IF(A174="","",VALUE(LEFT(A174,FIND("/",A174&amp;"/")-1)))</f>
        <v/>
      </c>
      <c r="I174" s="2" t="n"/>
      <c r="J174" s="2" t="n"/>
      <c r="K174" s="2" t="n"/>
      <c r="L174" s="2" t="n"/>
      <c r="M174" s="2">
        <f>IF(I174="","",VALUE(LEFT(I174,FIND("/",I174&amp;"/")-1)))</f>
        <v/>
      </c>
    </row>
    <row r="175">
      <c r="A175" s="2" t="n"/>
      <c r="B175" s="2" t="n"/>
      <c r="C175" s="2" t="n"/>
      <c r="D175" s="2" t="n"/>
      <c r="E175" s="2" t="n"/>
      <c r="F175" s="2">
        <f>IF(A175="","",VALUE(LEFT(A175,FIND("/",A175&amp;"/")-1)))</f>
        <v/>
      </c>
      <c r="I175" s="2" t="n"/>
      <c r="J175" s="2" t="n"/>
      <c r="K175" s="2" t="n"/>
      <c r="L175" s="2" t="n"/>
      <c r="M175" s="2">
        <f>IF(I175="","",VALUE(LEFT(I175,FIND("/",I175&amp;"/")-1)))</f>
        <v/>
      </c>
    </row>
    <row r="176">
      <c r="A176" s="2" t="n"/>
      <c r="B176" s="2" t="n"/>
      <c r="C176" s="2" t="n"/>
      <c r="D176" s="2" t="n"/>
      <c r="E176" s="2" t="n"/>
      <c r="F176" s="2">
        <f>IF(A176="","",VALUE(LEFT(A176,FIND("/",A176&amp;"/")-1)))</f>
        <v/>
      </c>
      <c r="I176" s="2" t="n"/>
      <c r="J176" s="2" t="n"/>
      <c r="K176" s="2" t="n"/>
      <c r="L176" s="2" t="n"/>
      <c r="M176" s="2">
        <f>IF(I176="","",VALUE(LEFT(I176,FIND("/",I176&amp;"/")-1)))</f>
        <v/>
      </c>
    </row>
    <row r="177">
      <c r="A177" s="2" t="n"/>
      <c r="B177" s="2" t="n"/>
      <c r="C177" s="2" t="n"/>
      <c r="D177" s="2" t="n"/>
      <c r="E177" s="2" t="n"/>
      <c r="F177" s="2">
        <f>IF(A177="","",VALUE(LEFT(A177,FIND("/",A177&amp;"/")-1)))</f>
        <v/>
      </c>
      <c r="I177" s="2" t="n"/>
      <c r="J177" s="2" t="n"/>
      <c r="K177" s="2" t="n"/>
      <c r="L177" s="2" t="n"/>
      <c r="M177" s="2">
        <f>IF(I177="","",VALUE(LEFT(I177,FIND("/",I177&amp;"/")-1)))</f>
        <v/>
      </c>
    </row>
    <row r="178">
      <c r="A178" s="2" t="n"/>
      <c r="B178" s="2" t="n"/>
      <c r="C178" s="2" t="n"/>
      <c r="D178" s="2" t="n"/>
      <c r="E178" s="2" t="n"/>
      <c r="F178" s="2">
        <f>IF(A178="","",VALUE(LEFT(A178,FIND("/",A178&amp;"/")-1)))</f>
        <v/>
      </c>
      <c r="I178" s="2" t="n"/>
      <c r="J178" s="2" t="n"/>
      <c r="K178" s="2" t="n"/>
      <c r="L178" s="2" t="n"/>
      <c r="M178" s="2">
        <f>IF(I178="","",VALUE(LEFT(I178,FIND("/",I178&amp;"/")-1)))</f>
        <v/>
      </c>
    </row>
    <row r="179">
      <c r="A179" s="2" t="n"/>
      <c r="B179" s="2" t="n"/>
      <c r="C179" s="2" t="n"/>
      <c r="D179" s="2" t="n"/>
      <c r="E179" s="2" t="n"/>
      <c r="F179" s="2">
        <f>IF(A179="","",VALUE(LEFT(A179,FIND("/",A179&amp;"/")-1)))</f>
        <v/>
      </c>
      <c r="I179" s="2" t="n"/>
      <c r="J179" s="2" t="n"/>
      <c r="K179" s="2" t="n"/>
      <c r="L179" s="2" t="n"/>
      <c r="M179" s="2">
        <f>IF(I179="","",VALUE(LEFT(I179,FIND("/",I179&amp;"/")-1)))</f>
        <v/>
      </c>
    </row>
    <row r="180">
      <c r="A180" s="2" t="n"/>
      <c r="B180" s="2" t="n"/>
      <c r="C180" s="2" t="n"/>
      <c r="D180" s="2" t="n"/>
      <c r="E180" s="2" t="n"/>
      <c r="F180" s="2">
        <f>IF(A180="","",VALUE(LEFT(A180,FIND("/",A180&amp;"/")-1)))</f>
        <v/>
      </c>
      <c r="I180" s="2" t="n"/>
      <c r="J180" s="2" t="n"/>
      <c r="K180" s="2" t="n"/>
      <c r="L180" s="2" t="n"/>
      <c r="M180" s="2">
        <f>IF(I180="","",VALUE(LEFT(I180,FIND("/",I180&amp;"/")-1)))</f>
        <v/>
      </c>
    </row>
    <row r="181">
      <c r="A181" s="2" t="n"/>
      <c r="B181" s="2" t="n"/>
      <c r="C181" s="2" t="n"/>
      <c r="D181" s="2" t="n"/>
      <c r="E181" s="2" t="n"/>
      <c r="F181" s="2">
        <f>IF(A181="","",VALUE(LEFT(A181,FIND("/",A181&amp;"/")-1)))</f>
        <v/>
      </c>
      <c r="I181" s="2" t="n"/>
      <c r="J181" s="2" t="n"/>
      <c r="K181" s="2" t="n"/>
      <c r="L181" s="2" t="n"/>
      <c r="M181" s="2">
        <f>IF(I181="","",VALUE(LEFT(I181,FIND("/",I181&amp;"/")-1)))</f>
        <v/>
      </c>
    </row>
    <row r="182">
      <c r="A182" s="2" t="n"/>
      <c r="B182" s="2" t="n"/>
      <c r="C182" s="2" t="n"/>
      <c r="D182" s="2" t="n"/>
      <c r="E182" s="2" t="n"/>
      <c r="F182" s="2">
        <f>IF(A182="","",VALUE(LEFT(A182,FIND("/",A182&amp;"/")-1)))</f>
        <v/>
      </c>
      <c r="I182" s="2" t="n"/>
      <c r="J182" s="2" t="n"/>
      <c r="K182" s="2" t="n"/>
      <c r="L182" s="2" t="n"/>
      <c r="M182" s="2">
        <f>IF(I182="","",VALUE(LEFT(I182,FIND("/",I182&amp;"/")-1)))</f>
        <v/>
      </c>
    </row>
    <row r="183">
      <c r="A183" s="2" t="n"/>
      <c r="B183" s="2" t="n"/>
      <c r="C183" s="2" t="n"/>
      <c r="D183" s="2" t="n"/>
      <c r="E183" s="2" t="n"/>
      <c r="F183" s="2">
        <f>IF(A183="","",VALUE(LEFT(A183,FIND("/",A183&amp;"/")-1)))</f>
        <v/>
      </c>
      <c r="I183" s="2" t="n"/>
      <c r="J183" s="2" t="n"/>
      <c r="K183" s="2" t="n"/>
      <c r="L183" s="2" t="n"/>
      <c r="M183" s="2">
        <f>IF(I183="","",VALUE(LEFT(I183,FIND("/",I183&amp;"/")-1)))</f>
        <v/>
      </c>
    </row>
    <row r="184">
      <c r="A184" s="2" t="n"/>
      <c r="B184" s="2" t="n"/>
      <c r="C184" s="2" t="n"/>
      <c r="D184" s="2" t="n"/>
      <c r="E184" s="2" t="n"/>
      <c r="F184" s="2">
        <f>IF(A184="","",VALUE(LEFT(A184,FIND("/",A184&amp;"/")-1)))</f>
        <v/>
      </c>
      <c r="I184" s="2" t="n"/>
      <c r="J184" s="2" t="n"/>
      <c r="K184" s="2" t="n"/>
      <c r="L184" s="2" t="n"/>
      <c r="M184" s="2">
        <f>IF(I184="","",VALUE(LEFT(I184,FIND("/",I184&amp;"/")-1)))</f>
        <v/>
      </c>
    </row>
    <row r="185">
      <c r="A185" s="2" t="n"/>
      <c r="B185" s="2" t="n"/>
      <c r="C185" s="2" t="n"/>
      <c r="D185" s="2" t="n"/>
      <c r="E185" s="2" t="n"/>
      <c r="F185" s="2">
        <f>IF(A185="","",VALUE(LEFT(A185,FIND("/",A185&amp;"/")-1)))</f>
        <v/>
      </c>
      <c r="I185" s="2" t="n"/>
      <c r="J185" s="2" t="n"/>
      <c r="K185" s="2" t="n"/>
      <c r="L185" s="2" t="n"/>
      <c r="M185" s="2">
        <f>IF(I185="","",VALUE(LEFT(I185,FIND("/",I185&amp;"/")-1)))</f>
        <v/>
      </c>
    </row>
    <row r="186">
      <c r="A186" s="2" t="n"/>
      <c r="B186" s="2" t="n"/>
      <c r="C186" s="2" t="n"/>
      <c r="D186" s="2" t="n"/>
      <c r="E186" s="2" t="n"/>
      <c r="F186" s="2">
        <f>IF(A186="","",VALUE(LEFT(A186,FIND("/",A186&amp;"/")-1)))</f>
        <v/>
      </c>
      <c r="I186" s="2" t="n"/>
      <c r="J186" s="2" t="n"/>
      <c r="K186" s="2" t="n"/>
      <c r="L186" s="2" t="n"/>
      <c r="M186" s="2">
        <f>IF(I186="","",VALUE(LEFT(I186,FIND("/",I186&amp;"/")-1)))</f>
        <v/>
      </c>
    </row>
    <row r="187">
      <c r="A187" s="2" t="n"/>
      <c r="B187" s="2" t="n"/>
      <c r="C187" s="2" t="n"/>
      <c r="D187" s="2" t="n"/>
      <c r="E187" s="2" t="n"/>
      <c r="F187" s="2">
        <f>IF(A187="","",VALUE(LEFT(A187,FIND("/",A187&amp;"/")-1)))</f>
        <v/>
      </c>
      <c r="I187" s="2" t="n"/>
      <c r="J187" s="2" t="n"/>
      <c r="K187" s="2" t="n"/>
      <c r="L187" s="2" t="n"/>
      <c r="M187" s="2">
        <f>IF(I187="","",VALUE(LEFT(I187,FIND("/",I187&amp;"/")-1)))</f>
        <v/>
      </c>
    </row>
    <row r="188">
      <c r="A188" s="2" t="n"/>
      <c r="B188" s="2" t="n"/>
      <c r="C188" s="2" t="n"/>
      <c r="D188" s="2" t="n"/>
      <c r="E188" s="2" t="n"/>
      <c r="F188" s="2">
        <f>IF(A188="","",VALUE(LEFT(A188,FIND("/",A188&amp;"/")-1)))</f>
        <v/>
      </c>
      <c r="I188" s="2" t="n"/>
      <c r="J188" s="2" t="n"/>
      <c r="K188" s="2" t="n"/>
      <c r="L188" s="2" t="n"/>
      <c r="M188" s="2">
        <f>IF(I188="","",VALUE(LEFT(I188,FIND("/",I188&amp;"/")-1)))</f>
        <v/>
      </c>
    </row>
    <row r="189">
      <c r="A189" s="2" t="n"/>
      <c r="B189" s="2" t="n"/>
      <c r="C189" s="2" t="n"/>
      <c r="D189" s="2" t="n"/>
      <c r="E189" s="2" t="n"/>
      <c r="F189" s="2">
        <f>IF(A189="","",VALUE(LEFT(A189,FIND("/",A189&amp;"/")-1)))</f>
        <v/>
      </c>
      <c r="I189" s="2" t="n"/>
      <c r="J189" s="2" t="n"/>
      <c r="K189" s="2" t="n"/>
      <c r="L189" s="2" t="n"/>
      <c r="M189" s="2">
        <f>IF(I189="","",VALUE(LEFT(I189,FIND("/",I189&amp;"/")-1)))</f>
        <v/>
      </c>
    </row>
    <row r="190">
      <c r="A190" s="2" t="n"/>
      <c r="B190" s="2" t="n"/>
      <c r="C190" s="2" t="n"/>
      <c r="D190" s="2" t="n"/>
      <c r="E190" s="2" t="n"/>
      <c r="F190" s="2">
        <f>IF(A190="","",VALUE(LEFT(A190,FIND("/",A190&amp;"/")-1)))</f>
        <v/>
      </c>
      <c r="I190" s="2" t="n"/>
      <c r="J190" s="2" t="n"/>
      <c r="K190" s="2" t="n"/>
      <c r="L190" s="2" t="n"/>
      <c r="M190" s="2">
        <f>IF(I190="","",VALUE(LEFT(I190,FIND("/",I190&amp;"/")-1)))</f>
        <v/>
      </c>
    </row>
    <row r="191">
      <c r="A191" s="2" t="n"/>
      <c r="B191" s="2" t="n"/>
      <c r="C191" s="2" t="n"/>
      <c r="D191" s="2" t="n"/>
      <c r="E191" s="2" t="n"/>
      <c r="F191" s="2">
        <f>IF(A191="","",VALUE(LEFT(A191,FIND("/",A191&amp;"/")-1)))</f>
        <v/>
      </c>
      <c r="I191" s="2" t="n"/>
      <c r="J191" s="2" t="n"/>
      <c r="K191" s="2" t="n"/>
      <c r="L191" s="2" t="n"/>
      <c r="M191" s="2">
        <f>IF(I191="","",VALUE(LEFT(I191,FIND("/",I191&amp;"/")-1)))</f>
        <v/>
      </c>
    </row>
    <row r="192">
      <c r="A192" s="2" t="n"/>
      <c r="B192" s="2" t="n"/>
      <c r="C192" s="2" t="n"/>
      <c r="D192" s="2" t="n"/>
      <c r="E192" s="2" t="n"/>
      <c r="F192" s="2">
        <f>IF(A192="","",VALUE(LEFT(A192,FIND("/",A192&amp;"/")-1)))</f>
        <v/>
      </c>
      <c r="I192" s="2" t="n"/>
      <c r="J192" s="2" t="n"/>
      <c r="K192" s="2" t="n"/>
      <c r="L192" s="2" t="n"/>
      <c r="M192" s="2">
        <f>IF(I192="","",VALUE(LEFT(I192,FIND("/",I192&amp;"/")-1)))</f>
        <v/>
      </c>
    </row>
    <row r="193">
      <c r="A193" s="2" t="n"/>
      <c r="B193" s="2" t="n"/>
      <c r="C193" s="2" t="n"/>
      <c r="D193" s="2" t="n"/>
      <c r="E193" s="2" t="n"/>
      <c r="F193" s="2">
        <f>IF(A193="","",VALUE(LEFT(A193,FIND("/",A193&amp;"/")-1)))</f>
        <v/>
      </c>
      <c r="I193" s="2" t="n"/>
      <c r="J193" s="2" t="n"/>
      <c r="K193" s="2" t="n"/>
      <c r="L193" s="2" t="n"/>
      <c r="M193" s="2">
        <f>IF(I193="","",VALUE(LEFT(I193,FIND("/",I193&amp;"/")-1)))</f>
        <v/>
      </c>
    </row>
    <row r="194">
      <c r="A194" s="2" t="n"/>
      <c r="B194" s="2" t="n"/>
      <c r="C194" s="2" t="n"/>
      <c r="D194" s="2" t="n"/>
      <c r="E194" s="2" t="n"/>
      <c r="F194" s="2">
        <f>IF(A194="","",VALUE(LEFT(A194,FIND("/",A194&amp;"/")-1)))</f>
        <v/>
      </c>
      <c r="I194" s="2" t="n"/>
      <c r="J194" s="2" t="n"/>
      <c r="K194" s="2" t="n"/>
      <c r="L194" s="2" t="n"/>
      <c r="M194" s="2">
        <f>IF(I194="","",VALUE(LEFT(I194,FIND("/",I194&amp;"/")-1)))</f>
        <v/>
      </c>
    </row>
    <row r="195">
      <c r="A195" s="2" t="n"/>
      <c r="B195" s="2" t="n"/>
      <c r="C195" s="2" t="n"/>
      <c r="D195" s="2" t="n"/>
      <c r="E195" s="2" t="n"/>
      <c r="F195" s="2">
        <f>IF(A195="","",VALUE(LEFT(A195,FIND("/",A195&amp;"/")-1)))</f>
        <v/>
      </c>
      <c r="I195" s="2" t="n"/>
      <c r="J195" s="2" t="n"/>
      <c r="K195" s="2" t="n"/>
      <c r="L195" s="2" t="n"/>
      <c r="M195" s="2">
        <f>IF(I195="","",VALUE(LEFT(I195,FIND("/",I195&amp;"/")-1)))</f>
        <v/>
      </c>
    </row>
    <row r="196">
      <c r="A196" s="2" t="n"/>
      <c r="B196" s="2" t="n"/>
      <c r="C196" s="2" t="n"/>
      <c r="D196" s="2" t="n"/>
      <c r="E196" s="2" t="n"/>
      <c r="F196" s="2">
        <f>IF(A196="","",VALUE(LEFT(A196,FIND("/",A196&amp;"/")-1)))</f>
        <v/>
      </c>
      <c r="I196" s="2" t="n"/>
      <c r="J196" s="2" t="n"/>
      <c r="K196" s="2" t="n"/>
      <c r="L196" s="2" t="n"/>
      <c r="M196" s="2">
        <f>IF(I196="","",VALUE(LEFT(I196,FIND("/",I196&amp;"/")-1)))</f>
        <v/>
      </c>
    </row>
    <row r="197">
      <c r="A197" s="2" t="n"/>
      <c r="B197" s="2" t="n"/>
      <c r="C197" s="2" t="n"/>
      <c r="D197" s="2" t="n"/>
      <c r="E197" s="2" t="n"/>
      <c r="F197" s="2">
        <f>IF(A197="","",VALUE(LEFT(A197,FIND("/",A197&amp;"/")-1)))</f>
        <v/>
      </c>
      <c r="I197" s="2" t="n"/>
      <c r="J197" s="2" t="n"/>
      <c r="K197" s="2" t="n"/>
      <c r="L197" s="2" t="n"/>
      <c r="M197" s="2">
        <f>IF(I197="","",VALUE(LEFT(I197,FIND("/",I197&amp;"/")-1)))</f>
        <v/>
      </c>
    </row>
    <row r="198">
      <c r="A198" s="2" t="n"/>
      <c r="B198" s="2" t="n"/>
      <c r="C198" s="2" t="n"/>
      <c r="D198" s="2" t="n"/>
      <c r="E198" s="2" t="n"/>
      <c r="F198" s="2">
        <f>IF(A198="","",VALUE(LEFT(A198,FIND("/",A198&amp;"/")-1)))</f>
        <v/>
      </c>
      <c r="I198" s="2" t="n"/>
      <c r="J198" s="2" t="n"/>
      <c r="K198" s="2" t="n"/>
      <c r="L198" s="2" t="n"/>
      <c r="M198" s="2">
        <f>IF(I198="","",VALUE(LEFT(I198,FIND("/",I198&amp;"/")-1)))</f>
        <v/>
      </c>
    </row>
    <row r="199">
      <c r="A199" s="2" t="n"/>
      <c r="B199" s="2" t="n"/>
      <c r="C199" s="2" t="n"/>
      <c r="D199" s="2" t="n"/>
      <c r="E199" s="2" t="n"/>
      <c r="F199" s="2">
        <f>IF(A199="","",VALUE(LEFT(A199,FIND("/",A199&amp;"/")-1)))</f>
        <v/>
      </c>
      <c r="I199" s="2" t="n"/>
      <c r="J199" s="2" t="n"/>
      <c r="K199" s="2" t="n"/>
      <c r="L199" s="2" t="n"/>
      <c r="M199" s="2">
        <f>IF(I199="","",VALUE(LEFT(I199,FIND("/",I199&amp;"/")-1)))</f>
        <v/>
      </c>
    </row>
    <row r="200">
      <c r="A200" s="2" t="n"/>
      <c r="B200" s="2" t="n"/>
      <c r="C200" s="2" t="n"/>
      <c r="D200" s="2" t="n"/>
      <c r="E200" s="2" t="n"/>
      <c r="F200" s="2">
        <f>IF(A200="","",VALUE(LEFT(A200,FIND("/",A200&amp;"/")-1)))</f>
        <v/>
      </c>
      <c r="I200" s="2" t="n"/>
      <c r="J200" s="2" t="n"/>
      <c r="K200" s="2" t="n"/>
      <c r="L200" s="2" t="n"/>
      <c r="M200" s="2">
        <f>IF(I200="","",VALUE(LEFT(I200,FIND("/",I200&amp;"/")-1)))</f>
        <v/>
      </c>
    </row>
    <row r="201">
      <c r="A201" s="2" t="n"/>
      <c r="B201" s="2" t="n"/>
      <c r="C201" s="2" t="n"/>
      <c r="D201" s="2" t="n"/>
      <c r="E201" s="2" t="n"/>
      <c r="F201" s="2">
        <f>IF(A201="","",VALUE(LEFT(A201,FIND("/",A201&amp;"/")-1)))</f>
        <v/>
      </c>
      <c r="I201" s="2" t="n"/>
      <c r="J201" s="2" t="n"/>
      <c r="K201" s="2" t="n"/>
      <c r="L201" s="2" t="n"/>
      <c r="M201" s="2">
        <f>IF(I201="","",VALUE(LEFT(I201,FIND("/",I201&amp;"/")-1)))</f>
        <v/>
      </c>
    </row>
    <row r="202">
      <c r="A202" s="2" t="n"/>
      <c r="B202" s="2" t="n"/>
      <c r="C202" s="2" t="n"/>
      <c r="D202" s="2" t="n"/>
      <c r="E202" s="2" t="n"/>
      <c r="F202" s="2">
        <f>IF(A202="","",VALUE(LEFT(A202,FIND("/",A202&amp;"/")-1)))</f>
        <v/>
      </c>
      <c r="I202" s="2" t="n"/>
      <c r="J202" s="2" t="n"/>
      <c r="K202" s="2" t="n"/>
      <c r="L202" s="2" t="n"/>
      <c r="M202" s="2">
        <f>IF(I202="","",VALUE(LEFT(I202,FIND("/",I202&amp;"/")-1)))</f>
        <v/>
      </c>
    </row>
    <row r="203">
      <c r="A203" s="2" t="n"/>
      <c r="B203" s="2" t="n"/>
      <c r="C203" s="2" t="n"/>
      <c r="D203" s="2" t="n"/>
      <c r="E203" s="2" t="n"/>
      <c r="F203" s="2">
        <f>IF(A203="","",VALUE(LEFT(A203,FIND("/",A203&amp;"/")-1)))</f>
        <v/>
      </c>
      <c r="I203" s="2" t="n"/>
      <c r="J203" s="2" t="n"/>
      <c r="K203" s="2" t="n"/>
      <c r="L203" s="2" t="n"/>
      <c r="M203" s="2">
        <f>IF(I203="","",VALUE(LEFT(I203,FIND("/",I203&amp;"/")-1)))</f>
        <v/>
      </c>
    </row>
    <row r="204">
      <c r="A204" s="2" t="n"/>
      <c r="B204" s="2" t="n"/>
      <c r="C204" s="2" t="n"/>
      <c r="D204" s="2" t="n"/>
      <c r="E204" s="2" t="n"/>
      <c r="F204" s="2">
        <f>IF(A204="","",VALUE(LEFT(A204,FIND("/",A204&amp;"/")-1)))</f>
        <v/>
      </c>
      <c r="I204" s="2" t="n"/>
      <c r="J204" s="2" t="n"/>
      <c r="K204" s="2" t="n"/>
      <c r="L204" s="2" t="n"/>
      <c r="M204" s="2">
        <f>IF(I204="","",VALUE(LEFT(I204,FIND("/",I204&amp;"/")-1)))</f>
        <v/>
      </c>
    </row>
  </sheetData>
  <mergeCells count="4">
    <mergeCell ref="A3:F3"/>
    <mergeCell ref="I3:M3"/>
    <mergeCell ref="A2:M2"/>
    <mergeCell ref="A1:M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hidden="1" width="13" customWidth="1" min="6" max="6"/>
    <col width="2" customWidth="1" min="7" max="7"/>
    <col width="2" customWidth="1" min="8" max="8"/>
    <col width="22" customWidth="1" min="9" max="9"/>
    <col width="12" customWidth="1" min="10" max="10"/>
    <col width="12" customWidth="1" min="11" max="11"/>
    <col width="14" customWidth="1" min="12" max="12"/>
    <col hidden="1" width="13" customWidth="1" min="13" max="13"/>
  </cols>
  <sheetData>
    <row r="1">
      <c r="A1" s="1" t="inlineStr">
        <is>
          <t>SYNTHESE — Calcul automatique</t>
        </is>
      </c>
    </row>
    <row r="2">
      <c r="A2" s="2">
        <f>"Avec FY : "&amp;COUNTA(SAISIE!$A$5:$A$204)&amp;" cas | "&amp;SUMPRODUCT(--(MOD(ROW($F$5:$F$244)-5,12)=0)*($F$5:$F$244&lt;&gt;""))&amp;" noeud(s)  ||  "&amp;"Sans FY : "&amp;COUNTA(SAISIE!$I$5:$I$204)&amp;" cas | "&amp;SUMPRODUCT(--(MOD(ROW($M$5:$M$244)-5,12)=0)*($M$5:$M$244&lt;&gt;""))&amp;" noeud(s)"</f>
        <v/>
      </c>
    </row>
    <row r="3">
      <c r="A3" s="1" t="inlineStr">
        <is>
          <t>SYNTHESE — AVEC FY</t>
        </is>
      </c>
      <c r="I3" s="1" t="inlineStr">
        <is>
          <t>SYNTHESE — SANS FY</t>
        </is>
      </c>
    </row>
    <row r="4">
      <c r="A4" s="3" t="inlineStr">
        <is>
          <t>Nom du cas</t>
        </is>
      </c>
      <c r="B4" s="3" t="inlineStr">
        <is>
          <t>FX [daN]</t>
        </is>
      </c>
      <c r="C4" s="3" t="inlineStr">
        <is>
          <t>FY [daN]</t>
        </is>
      </c>
      <c r="D4" s="3" t="inlineStr">
        <is>
          <t>FZ [daN]</t>
        </is>
      </c>
      <c r="E4" s="3" t="inlineStr">
        <is>
          <t>Note</t>
        </is>
      </c>
      <c r="I4" s="3" t="inlineStr">
        <is>
          <t>Nom du cas</t>
        </is>
      </c>
      <c r="J4" s="3" t="inlineStr">
        <is>
          <t>FX [daN]</t>
        </is>
      </c>
      <c r="K4" s="3" t="inlineStr">
        <is>
          <t>FZ [daN]</t>
        </is>
      </c>
      <c r="L4" s="3" t="inlineStr">
        <is>
          <t>Note</t>
        </is>
      </c>
    </row>
    <row r="5">
      <c r="A5" s="5">
        <f>IF($F$5="","","Noeud "&amp;$F$5)</f>
        <v/>
      </c>
      <c r="B5" s="5" t="n"/>
      <c r="C5" s="5" t="n"/>
      <c r="D5" s="5" t="n"/>
      <c r="E5" s="5" t="n"/>
      <c r="F5">
        <f>IFERROR(INDEX(SAISIE!$F$5:$F$204,AGGREGATE(15,6,ROW(SAISIE!$F$5:$F$204)-ROW(SAISIE!$F$5)+1/(SAISIE!$F$5:$F$204&lt;&gt;"")/(COUNTIF($F$4:$F4,SAISIE!$F$5:$F$204)=0),1)),"")</f>
        <v/>
      </c>
      <c r="I5" s="5">
        <f>IF($M$5="","","Noeud "&amp;$M$5)</f>
        <v/>
      </c>
      <c r="J5" s="5" t="n"/>
      <c r="K5" s="5" t="n"/>
      <c r="L5" s="5" t="n"/>
      <c r="M5">
        <f>IFERROR(INDEX(SAISIE!$M$5:$M$204,AGGREGATE(15,6,ROW(SAISIE!$M$5:$M$204)-ROW(SAISIE!$M$5)+1/(SAISIE!$M$5:$M$204&lt;&gt;"")/(COUNTIF($M$4:$M4,SAISIE!$M$5:$M$204)=0),1)),"")</f>
        <v/>
      </c>
    </row>
    <row r="6">
      <c r="A6" s="6">
        <f>IF(OR($F$5="",NOT(TRUE)),"","Couverture")</f>
        <v/>
      </c>
      <c r="B6" s="7">
        <f>IF($F$5="","",IFERROR(IFERROR(LOOKUP(2,1/((SAISIE!$F$5:$F$204=$F$5)*(LEFT(SAISIE!$B$5:$B$204,2)="G ")),SAISIE!$C$5:$C$204),LOOKUP(2,1/((SAISIE!$F$5:$F$204=$F$5)*(ISNUMBER(SEARCH("Couverture",SAISIE!$B$5:$B$204)))),SAISIE!$C$5:$C$204)),"-"))</f>
        <v/>
      </c>
      <c r="C6" s="7">
        <f>IF($F$5="","",IFERROR(IFERROR(LOOKUP(2,1/((SAISIE!$F$5:$F$204=$F$5)*(LEFT(SAISIE!$B$5:$B$204,2)="G ")),SAISIE!$D$5:$D$204),LOOKUP(2,1/((SAISIE!$F$5:$F$204=$F$5)*(ISNUMBER(SEARCH("Couverture",SAISIE!$B$5:$B$204)))),SAISIE!$D$5:$D$204)),"-"))</f>
        <v/>
      </c>
      <c r="D6" s="7">
        <f>IF($F$5="","",IFERROR(IFERROR(LOOKUP(2,1/((SAISIE!$F$5:$F$204=$F$5)*(LEFT(SAISIE!$B$5:$B$204,2)="G ")),SAISIE!$E$5:$E$204),LOOKUP(2,1/((SAISIE!$F$5:$F$204=$F$5)*(ISNUMBER(SEARCH("Couverture",SAISIE!$B$5:$B$204)))),SAISIE!$E$5:$E$204)),"-"))</f>
        <v/>
      </c>
      <c r="E6" s="7">
        <f>IF($F$5="","",IF(OR(D6="",D6="-"),"",IF(D6&gt;0,"(soulevement)",IF(D6&lt;0,"(compression)","-"))))</f>
        <v/>
      </c>
      <c r="I6" s="6">
        <f>IF(OR($M$5="",NOT(TRUE)),"","Couverture")</f>
        <v/>
      </c>
      <c r="J6" s="7">
        <f>IF($M$5="","",IFERROR(IFERROR(LOOKUP(2,1/((SAISIE!$M$5:$M$204=$M$5)*(LEFT(SAISIE!$J$5:$J$204,2)="G ")),SAISIE!$K$5:$K$204),LOOKUP(2,1/((SAISIE!$M$5:$M$204=$M$5)*(ISNUMBER(SEARCH("Couverture",SAISIE!$J$5:$J$204)))),SAISIE!$K$5:$K$204)),"-"))</f>
        <v/>
      </c>
      <c r="K6" s="7">
        <f>IF($M$5="","",IFERROR(IFERROR(LOOKUP(2,1/((SAISIE!$M$5:$M$204=$M$5)*(LEFT(SAISIE!$J$5:$J$204,2)="G ")),SAISIE!$L$5:$L$204),LOOKUP(2,1/((SAISIE!$M$5:$M$204=$M$5)*(ISNUMBER(SEARCH("Couverture",SAISIE!$J$5:$J$204)))),SAISIE!$L$5:$L$204)),"-"))</f>
        <v/>
      </c>
      <c r="L6" s="7">
        <f>IF($M$5="","",IF(OR(K6="",K6="-"),"",IF(K6&gt;0,"(soulevement)",IF(K6&lt;0,"(compression)","-"))))</f>
        <v/>
      </c>
    </row>
    <row r="7">
      <c r="A7" s="6">
        <f>IF(OR($F$5="",NOT(COUNTIFS(SAISIE!$B$5:$B$204,"*Vent G/D*",SAISIE!$F$5:$F$204,$F$5)&gt;0)),"","Vent G/D")</f>
        <v/>
      </c>
      <c r="B7" s="7">
        <f>IF(OR($F$5="",NOT(COUNTIFS(SAISIE!$B$5:$B$204,"*Vent G/D*",SAISIE!$F$5:$F$204,$F$5)&gt;0)),"",IFERROR(IF(MINIFS(SAISIE!$E$5:$E$204,SAISIE!$B$5:$B$204,"*Vent G/D*",SAISIE!$F$5:$F$204,$F$5)&gt;=0,MAXIFS(SAISIE!$C$5:$C$204,SAISIE!$B$5:$B$204,"*Vent G/D*",SAISIE!$F$5:$F$204,$F$5),INDEX(SAISIE!$C$5:$C$204,MATCH(MINIFS(SAISIE!$E$5:$E$204,SAISIE!$B$5:$B$204,"*Vent G/D*",SAISIE!$F$5:$F$204,$F$5),SAISIE!$E$5:$E$204,0))),"-"))</f>
        <v/>
      </c>
      <c r="C7" s="7">
        <f>IF(OR($F$5="",NOT(COUNTIFS(SAISIE!$B$5:$B$204,"*Vent G/D*",SAISIE!$F$5:$F$204,$F$5)&gt;0)),"",IFERROR(IF(MINIFS(SAISIE!$E$5:$E$204,SAISIE!$B$5:$B$204,"*Vent G/D*",SAISIE!$F$5:$F$204,$F$5)&gt;=0,INDEX(SAISIE!$D$5:$D$204,MATCH(MAXIFS(SAISIE!$C$5:$C$204,SAISIE!$B$5:$B$204,"*Vent G/D*",SAISIE!$F$5:$F$204,$F$5),SAISIE!$C$5:$C$204,0)),INDEX(SAISIE!$D$5:$D$204,MATCH(MINIFS(SAISIE!$E$5:$E$204,SAISIE!$B$5:$B$204,"*Vent G/D*",SAISIE!$F$5:$F$204,$F$5),SAISIE!$E$5:$E$204,0))),"-"))</f>
        <v/>
      </c>
      <c r="D7" s="7">
        <f>IF(OR($F$5="",NOT(COUNTIFS(SAISIE!$B$5:$B$204,"*Vent G/D*",SAISIE!$F$5:$F$204,$F$5)&gt;0)),"",IFERROR(IF(MINIFS(SAISIE!$E$5:$E$204,SAISIE!$B$5:$B$204,"*Vent G/D*",SAISIE!$F$5:$F$204,$F$5)&gt;=0,0,MINIFS(SAISIE!$E$5:$E$204,SAISIE!$B$5:$B$204,"*Vent G/D*",SAISIE!$F$5:$F$204,$F$5)),"-"))</f>
        <v/>
      </c>
      <c r="E7" s="7">
        <f>IF($F$5="","",IF(OR(D7="",D7="-"),"",IF(D7&gt;0,"(soulevement)",IF(D7&lt;0,"(compression)","-"))))</f>
        <v/>
      </c>
      <c r="I7" s="6">
        <f>IF(OR($M$5="",NOT(COUNTIFS(SAISIE!$J$5:$J$204,"*Vent G/D*",SAISIE!$M$5:$M$204,$M$5)&gt;0)),"","Vent G/D")</f>
        <v/>
      </c>
      <c r="J7" s="7">
        <f>IF(OR($M$5="",NOT(COUNTIFS(SAISIE!$J$5:$J$204,"*Vent G/D*",SAISIE!$M$5:$M$204,$M$5)&gt;0)),"",IFERROR(IF(MINIFS(SAISIE!$L$5:$L$204,SAISIE!$J$5:$J$204,"*Vent G/D*",SAISIE!$M$5:$M$204,$M$5)&gt;=0,MAXIFS(SAISIE!$K$5:$K$204,SAISIE!$J$5:$J$204,"*Vent G/D*",SAISIE!$M$5:$M$204,$M$5),INDEX(SAISIE!$K$5:$K$204,MATCH(MINIFS(SAISIE!$L$5:$L$204,SAISIE!$J$5:$J$204,"*Vent G/D*",SAISIE!$M$5:$M$204,$M$5),SAISIE!$L$5:$L$204,0))),"-"))</f>
        <v/>
      </c>
      <c r="K7" s="7">
        <f>IF(OR($M$5="",NOT(COUNTIFS(SAISIE!$J$5:$J$204,"*Vent G/D*",SAISIE!$M$5:$M$204,$M$5)&gt;0)),"",IFERROR(IF(MINIFS(SAISIE!$L$5:$L$204,SAISIE!$J$5:$J$204,"*Vent G/D*",SAISIE!$M$5:$M$204,$M$5)&gt;=0,0,MINIFS(SAISIE!$L$5:$L$204,SAISIE!$J$5:$J$204,"*Vent G/D*",SAISIE!$M$5:$M$204,$M$5)),"-"))</f>
        <v/>
      </c>
      <c r="L7" s="7">
        <f>IF($M$5="","",IF(OR(K7="",K7="-"),"",IF(K7&gt;0,"(soulevement)",IF(K7&lt;0,"(compression)","-"))))</f>
        <v/>
      </c>
    </row>
    <row r="8">
      <c r="A8" s="6">
        <f>IF(OR($F$5="",NOT(MAXIFS(SAISIE!$E$5:$E$204,SAISIE!$B$5:$B$204,"*Vent G/D*",SAISIE!$F$5:$F$204,$F$5)&gt;0)),"","Vent G/D")</f>
        <v/>
      </c>
      <c r="B8" s="7">
        <f>IF(OR($F$5="",NOT(MAXIFS(SAISIE!$E$5:$E$204,SAISIE!$B$5:$B$204,"*Vent G/D*",SAISIE!$F$5:$F$204,$F$5)&gt;0)),"",IFERROR(INDEX(SAISIE!$C$5:$C$204,MATCH(MAXIFS(SAISIE!$E$5:$E$204,SAISIE!$B$5:$B$204,"*Vent G/D*",SAISIE!$F$5:$F$204,$F$5),SAISIE!$E$5:$E$204,0)),"-"))</f>
        <v/>
      </c>
      <c r="C8" s="7">
        <f>IF(OR($F$5="",NOT(MAXIFS(SAISIE!$E$5:$E$204,SAISIE!$B$5:$B$204,"*Vent G/D*",SAISIE!$F$5:$F$204,$F$5)&gt;0)),"",IFERROR(INDEX(SAISIE!$D$5:$D$204,MATCH(MAXIFS(SAISIE!$E$5:$E$204,SAISIE!$B$5:$B$204,"*Vent G/D*",SAISIE!$F$5:$F$204,$F$5),SAISIE!$E$5:$E$204,0)),"-"))</f>
        <v/>
      </c>
      <c r="D8" s="7">
        <f>IF(OR($F$5="",NOT(MAXIFS(SAISIE!$E$5:$E$204,SAISIE!$B$5:$B$204,"*Vent G/D*",SAISIE!$F$5:$F$204,$F$5)&gt;0)),"",IFERROR(MAXIFS(SAISIE!$E$5:$E$204,SAISIE!$B$5:$B$204,"*Vent G/D*",SAISIE!$F$5:$F$204,$F$5),"-"))</f>
        <v/>
      </c>
      <c r="E8" s="7">
        <f>IF($F$5="","",IF(OR(D8="",D8="-"),"",IF(D8&gt;0,"(soulevement)",IF(D8&lt;0,"(compression)","-"))))</f>
        <v/>
      </c>
      <c r="I8" s="6">
        <f>IF(OR($M$5="",NOT(MAXIFS(SAISIE!$L$5:$L$204,SAISIE!$J$5:$J$204,"*Vent G/D*",SAISIE!$M$5:$M$204,$M$5)&gt;0)),"","Vent G/D")</f>
        <v/>
      </c>
      <c r="J8" s="7">
        <f>IF(OR($M$5="",NOT(MAXIFS(SAISIE!$L$5:$L$204,SAISIE!$J$5:$J$204,"*Vent G/D*",SAISIE!$M$5:$M$204,$M$5)&gt;0)),"",IFERROR(INDEX(SAISIE!$K$5:$K$204,MATCH(MAXIFS(SAISIE!$L$5:$L$204,SAISIE!$J$5:$J$204,"*Vent G/D*",SAISIE!$M$5:$M$204,$M$5),SAISIE!$L$5:$L$204,0)),"-"))</f>
        <v/>
      </c>
      <c r="K8" s="7">
        <f>IF(OR($M$5="",NOT(MAXIFS(SAISIE!$L$5:$L$204,SAISIE!$J$5:$J$204,"*Vent G/D*",SAISIE!$M$5:$M$204,$M$5)&gt;0)),"",IFERROR(MAXIFS(SAISIE!$L$5:$L$204,SAISIE!$J$5:$J$204,"*Vent G/D*",SAISIE!$M$5:$M$204,$M$5),"-"))</f>
        <v/>
      </c>
      <c r="L8" s="7">
        <f>IF($M$5="","",IF(OR(K8="",K8="-"),"",IF(K8&gt;0,"(soulevement)",IF(K8&lt;0,"(compression)","-"))))</f>
        <v/>
      </c>
    </row>
    <row r="9">
      <c r="A9" s="6">
        <f>IF(OR($F$5="",NOT(COUNTIFS(SAISIE!$B$5:$B$204,"*Vent D/G*",SAISIE!$F$5:$F$204,$F$5)&gt;0)),"","Vent D/G")</f>
        <v/>
      </c>
      <c r="B9" s="7">
        <f>IF(OR($F$5="",NOT(COUNTIFS(SAISIE!$B$5:$B$204,"*Vent D/G*",SAISIE!$F$5:$F$204,$F$5)&gt;0)),"",IFERROR(IF(MINIFS(SAISIE!$E$5:$E$204,SAISIE!$B$5:$B$204,"*Vent D/G*",SAISIE!$F$5:$F$204,$F$5)&gt;=0,MAXIFS(SAISIE!$C$5:$C$204,SAISIE!$B$5:$B$204,"*Vent D/G*",SAISIE!$F$5:$F$204,$F$5),INDEX(SAISIE!$C$5:$C$204,MATCH(MINIFS(SAISIE!$E$5:$E$204,SAISIE!$B$5:$B$204,"*Vent D/G*",SAISIE!$F$5:$F$204,$F$5),SAISIE!$E$5:$E$204,0))),"-"))</f>
        <v/>
      </c>
      <c r="C9" s="7">
        <f>IF(OR($F$5="",NOT(COUNTIFS(SAISIE!$B$5:$B$204,"*Vent D/G*",SAISIE!$F$5:$F$204,$F$5)&gt;0)),"",IFERROR(IF(MINIFS(SAISIE!$E$5:$E$204,SAISIE!$B$5:$B$204,"*Vent D/G*",SAISIE!$F$5:$F$204,$F$5)&gt;=0,INDEX(SAISIE!$D$5:$D$204,MATCH(MAXIFS(SAISIE!$C$5:$C$204,SAISIE!$B$5:$B$204,"*Vent D/G*",SAISIE!$F$5:$F$204,$F$5),SAISIE!$C$5:$C$204,0)),INDEX(SAISIE!$D$5:$D$204,MATCH(MINIFS(SAISIE!$E$5:$E$204,SAISIE!$B$5:$B$204,"*Vent D/G*",SAISIE!$F$5:$F$204,$F$5),SAISIE!$E$5:$E$204,0))),"-"))</f>
        <v/>
      </c>
      <c r="D9" s="7">
        <f>IF(OR($F$5="",NOT(COUNTIFS(SAISIE!$B$5:$B$204,"*Vent D/G*",SAISIE!$F$5:$F$204,$F$5)&gt;0)),"",IFERROR(IF(MINIFS(SAISIE!$E$5:$E$204,SAISIE!$B$5:$B$204,"*Vent D/G*",SAISIE!$F$5:$F$204,$F$5)&gt;=0,0,MINIFS(SAISIE!$E$5:$E$204,SAISIE!$B$5:$B$204,"*Vent D/G*",SAISIE!$F$5:$F$204,$F$5)),"-"))</f>
        <v/>
      </c>
      <c r="E9" s="7">
        <f>IF($F$5="","",IF(OR(D9="",D9="-"),"",IF(D9&gt;0,"(soulevement)",IF(D9&lt;0,"(compression)","-"))))</f>
        <v/>
      </c>
      <c r="I9" s="6">
        <f>IF(OR($M$5="",NOT(COUNTIFS(SAISIE!$J$5:$J$204,"*Vent D/G*",SAISIE!$M$5:$M$204,$M$5)&gt;0)),"","Vent D/G")</f>
        <v/>
      </c>
      <c r="J9" s="7">
        <f>IF(OR($M$5="",NOT(COUNTIFS(SAISIE!$J$5:$J$204,"*Vent D/G*",SAISIE!$M$5:$M$204,$M$5)&gt;0)),"",IFERROR(IF(MINIFS(SAISIE!$L$5:$L$204,SAISIE!$J$5:$J$204,"*Vent D/G*",SAISIE!$M$5:$M$204,$M$5)&gt;=0,MAXIFS(SAISIE!$K$5:$K$204,SAISIE!$J$5:$J$204,"*Vent D/G*",SAISIE!$M$5:$M$204,$M$5),INDEX(SAISIE!$K$5:$K$204,MATCH(MINIFS(SAISIE!$L$5:$L$204,SAISIE!$J$5:$J$204,"*Vent D/G*",SAISIE!$M$5:$M$204,$M$5),SAISIE!$L$5:$L$204,0))),"-"))</f>
        <v/>
      </c>
      <c r="K9" s="7">
        <f>IF(OR($M$5="",NOT(COUNTIFS(SAISIE!$J$5:$J$204,"*Vent D/G*",SAISIE!$M$5:$M$204,$M$5)&gt;0)),"",IFERROR(IF(MINIFS(SAISIE!$L$5:$L$204,SAISIE!$J$5:$J$204,"*Vent D/G*",SAISIE!$M$5:$M$204,$M$5)&gt;=0,0,MINIFS(SAISIE!$L$5:$L$204,SAISIE!$J$5:$J$204,"*Vent D/G*",SAISIE!$M$5:$M$204,$M$5)),"-"))</f>
        <v/>
      </c>
      <c r="L9" s="7">
        <f>IF($M$5="","",IF(OR(K9="",K9="-"),"",IF(K9&gt;0,"(soulevement)",IF(K9&lt;0,"(compression)","-"))))</f>
        <v/>
      </c>
    </row>
    <row r="10">
      <c r="A10" s="6">
        <f>IF(OR($F$5="",NOT(MAXIFS(SAISIE!$E$5:$E$204,SAISIE!$B$5:$B$204,"*Vent D/G*",SAISIE!$F$5:$F$204,$F$5)&gt;0)),"","Vent D/G")</f>
        <v/>
      </c>
      <c r="B10" s="7">
        <f>IF(OR($F$5="",NOT(MAXIFS(SAISIE!$E$5:$E$204,SAISIE!$B$5:$B$204,"*Vent D/G*",SAISIE!$F$5:$F$204,$F$5)&gt;0)),"",IFERROR(INDEX(SAISIE!$C$5:$C$204,MATCH(MAXIFS(SAISIE!$E$5:$E$204,SAISIE!$B$5:$B$204,"*Vent D/G*",SAISIE!$F$5:$F$204,$F$5),SAISIE!$E$5:$E$204,0)),"-"))</f>
        <v/>
      </c>
      <c r="C10" s="7">
        <f>IF(OR($F$5="",NOT(MAXIFS(SAISIE!$E$5:$E$204,SAISIE!$B$5:$B$204,"*Vent D/G*",SAISIE!$F$5:$F$204,$F$5)&gt;0)),"",IFERROR(INDEX(SAISIE!$D$5:$D$204,MATCH(MAXIFS(SAISIE!$E$5:$E$204,SAISIE!$B$5:$B$204,"*Vent D/G*",SAISIE!$F$5:$F$204,$F$5),SAISIE!$E$5:$E$204,0)),"-"))</f>
        <v/>
      </c>
      <c r="D10" s="7">
        <f>IF(OR($F$5="",NOT(MAXIFS(SAISIE!$E$5:$E$204,SAISIE!$B$5:$B$204,"*Vent D/G*",SAISIE!$F$5:$F$204,$F$5)&gt;0)),"",IFERROR(MAXIFS(SAISIE!$E$5:$E$204,SAISIE!$B$5:$B$204,"*Vent D/G*",SAISIE!$F$5:$F$204,$F$5),"-"))</f>
        <v/>
      </c>
      <c r="E10" s="7">
        <f>IF($F$5="","",IF(OR(D10="",D10="-"),"",IF(D10&gt;0,"(soulevement)",IF(D10&lt;0,"(compression)","-"))))</f>
        <v/>
      </c>
      <c r="I10" s="6">
        <f>IF(OR($M$5="",NOT(MAXIFS(SAISIE!$L$5:$L$204,SAISIE!$J$5:$J$204,"*Vent D/G*",SAISIE!$M$5:$M$204,$M$5)&gt;0)),"","Vent D/G")</f>
        <v/>
      </c>
      <c r="J10" s="7">
        <f>IF(OR($M$5="",NOT(MAXIFS(SAISIE!$L$5:$L$204,SAISIE!$J$5:$J$204,"*Vent D/G*",SAISIE!$M$5:$M$204,$M$5)&gt;0)),"",IFERROR(INDEX(SAISIE!$K$5:$K$204,MATCH(MAXIFS(SAISIE!$L$5:$L$204,SAISIE!$J$5:$J$204,"*Vent D/G*",SAISIE!$M$5:$M$204,$M$5),SAISIE!$L$5:$L$204,0)),"-"))</f>
        <v/>
      </c>
      <c r="K10" s="7">
        <f>IF(OR($M$5="",NOT(MAXIFS(SAISIE!$L$5:$L$204,SAISIE!$J$5:$J$204,"*Vent D/G*",SAISIE!$M$5:$M$204,$M$5)&gt;0)),"",IFERROR(MAXIFS(SAISIE!$L$5:$L$204,SAISIE!$J$5:$J$204,"*Vent D/G*",SAISIE!$M$5:$M$204,$M$5),"-"))</f>
        <v/>
      </c>
      <c r="L10" s="7">
        <f>IF($M$5="","",IF(OR(K10="",K10="-"),"",IF(K10&gt;0,"(soulevement)",IF(K10&lt;0,"(compression)","-"))))</f>
        <v/>
      </c>
    </row>
    <row r="11">
      <c r="A11" s="6">
        <f>IF(OR($F$5="",NOT(COUNTIFS(SAISIE!$B$5:$B$204,"*Vent Av./Arr.*",SAISIE!$F$5:$F$204,$F$5)&gt;0)),"","Vent Av./Arr.")</f>
        <v/>
      </c>
      <c r="B11" s="7">
        <f>IF(OR($F$5="",NOT(COUNTIFS(SAISIE!$B$5:$B$204,"*Vent Av./Arr.*",SAISIE!$F$5:$F$204,$F$5)&gt;0)),"",IFERROR(IF(MINIFS(SAISIE!$E$5:$E$204,SAISIE!$B$5:$B$204,"*Vent Av./Arr.*",SAISIE!$F$5:$F$204,$F$5)&gt;=0,MAXIFS(SAISIE!$C$5:$C$204,SAISIE!$B$5:$B$204,"*Vent Av./Arr.*",SAISIE!$F$5:$F$204,$F$5),INDEX(SAISIE!$C$5:$C$204,MATCH(MINIFS(SAISIE!$E$5:$E$204,SAISIE!$B$5:$B$204,"*Vent Av./Arr.*",SAISIE!$F$5:$F$204,$F$5),SAISIE!$E$5:$E$204,0))),"-"))</f>
        <v/>
      </c>
      <c r="C11" s="7">
        <f>IF(OR($F$5="",NOT(COUNTIFS(SAISIE!$B$5:$B$204,"*Vent Av./Arr.*",SAISIE!$F$5:$F$204,$F$5)&gt;0)),"",IFERROR(IF(MINIFS(SAISIE!$E$5:$E$204,SAISIE!$B$5:$B$204,"*Vent Av./Arr.*",SAISIE!$F$5:$F$204,$F$5)&gt;=0,INDEX(SAISIE!$D$5:$D$204,MATCH(MAXIFS(SAISIE!$C$5:$C$204,SAISIE!$B$5:$B$204,"*Vent Av./Arr.*",SAISIE!$F$5:$F$204,$F$5),SAISIE!$C$5:$C$204,0)),INDEX(SAISIE!$D$5:$D$204,MATCH(MINIFS(SAISIE!$E$5:$E$204,SAISIE!$B$5:$B$204,"*Vent Av./Arr.*",SAISIE!$F$5:$F$204,$F$5),SAISIE!$E$5:$E$204,0))),"-"))</f>
        <v/>
      </c>
      <c r="D11" s="7">
        <f>IF(OR($F$5="",NOT(COUNTIFS(SAISIE!$B$5:$B$204,"*Vent Av./Arr.*",SAISIE!$F$5:$F$204,$F$5)&gt;0)),"",IFERROR(IF(MINIFS(SAISIE!$E$5:$E$204,SAISIE!$B$5:$B$204,"*Vent Av./Arr.*",SAISIE!$F$5:$F$204,$F$5)&gt;=0,0,MINIFS(SAISIE!$E$5:$E$204,SAISIE!$B$5:$B$204,"*Vent Av./Arr.*",SAISIE!$F$5:$F$204,$F$5)),"-"))</f>
        <v/>
      </c>
      <c r="E11" s="7">
        <f>IF($F$5="","",IF(OR(D11="",D11="-"),"",IF(D11&gt;0,"(soulevement)",IF(D11&lt;0,"(compression)","-"))))</f>
        <v/>
      </c>
      <c r="I11" s="6">
        <f>IF(OR($M$5="",NOT(COUNTIFS(SAISIE!$J$5:$J$204,"*Vent Av./Arr.*",SAISIE!$M$5:$M$204,$M$5)&gt;0)),"","Vent Av./Arr.")</f>
        <v/>
      </c>
      <c r="J11" s="7">
        <f>IF(OR($M$5="",NOT(COUNTIFS(SAISIE!$J$5:$J$204,"*Vent Av./Arr.*",SAISIE!$M$5:$M$204,$M$5)&gt;0)),"",IFERROR(IF(MINIFS(SAISIE!$L$5:$L$204,SAISIE!$J$5:$J$204,"*Vent Av./Arr.*",SAISIE!$M$5:$M$204,$M$5)&gt;=0,MAXIFS(SAISIE!$K$5:$K$204,SAISIE!$J$5:$J$204,"*Vent Av./Arr.*",SAISIE!$M$5:$M$204,$M$5),INDEX(SAISIE!$K$5:$K$204,MATCH(MINIFS(SAISIE!$L$5:$L$204,SAISIE!$J$5:$J$204,"*Vent Av./Arr.*",SAISIE!$M$5:$M$204,$M$5),SAISIE!$L$5:$L$204,0))),"-"))</f>
        <v/>
      </c>
      <c r="K11" s="7">
        <f>IF(OR($M$5="",NOT(COUNTIFS(SAISIE!$J$5:$J$204,"*Vent Av./Arr.*",SAISIE!$M$5:$M$204,$M$5)&gt;0)),"",IFERROR(IF(MINIFS(SAISIE!$L$5:$L$204,SAISIE!$J$5:$J$204,"*Vent Av./Arr.*",SAISIE!$M$5:$M$204,$M$5)&gt;=0,0,MINIFS(SAISIE!$L$5:$L$204,SAISIE!$J$5:$J$204,"*Vent Av./Arr.*",SAISIE!$M$5:$M$204,$M$5)),"-"))</f>
        <v/>
      </c>
      <c r="L11" s="7">
        <f>IF($M$5="","",IF(OR(K11="",K11="-"),"",IF(K11&gt;0,"(soulevement)",IF(K11&lt;0,"(compression)","-"))))</f>
        <v/>
      </c>
    </row>
    <row r="12">
      <c r="A12" s="6">
        <f>IF(OR($F$5="",NOT(MAXIFS(SAISIE!$E$5:$E$204,SAISIE!$B$5:$B$204,"*Vent Av./Arr.*",SAISIE!$F$5:$F$204,$F$5)&gt;0)),"","Vent Av./Arr.")</f>
        <v/>
      </c>
      <c r="B12" s="7">
        <f>IF(OR($F$5="",NOT(MAXIFS(SAISIE!$E$5:$E$204,SAISIE!$B$5:$B$204,"*Vent Av./Arr.*",SAISIE!$F$5:$F$204,$F$5)&gt;0)),"",IFERROR(INDEX(SAISIE!$C$5:$C$204,MATCH(MAXIFS(SAISIE!$E$5:$E$204,SAISIE!$B$5:$B$204,"*Vent Av./Arr.*",SAISIE!$F$5:$F$204,$F$5),SAISIE!$E$5:$E$204,0)),"-"))</f>
        <v/>
      </c>
      <c r="C12" s="7">
        <f>IF(OR($F$5="",NOT(MAXIFS(SAISIE!$E$5:$E$204,SAISIE!$B$5:$B$204,"*Vent Av./Arr.*",SAISIE!$F$5:$F$204,$F$5)&gt;0)),"",IFERROR(INDEX(SAISIE!$D$5:$D$204,MATCH(MAXIFS(SAISIE!$E$5:$E$204,SAISIE!$B$5:$B$204,"*Vent Av./Arr.*",SAISIE!$F$5:$F$204,$F$5),SAISIE!$E$5:$E$204,0)),"-"))</f>
        <v/>
      </c>
      <c r="D12" s="7">
        <f>IF(OR($F$5="",NOT(MAXIFS(SAISIE!$E$5:$E$204,SAISIE!$B$5:$B$204,"*Vent Av./Arr.*",SAISIE!$F$5:$F$204,$F$5)&gt;0)),"",IFERROR(MAXIFS(SAISIE!$E$5:$E$204,SAISIE!$B$5:$B$204,"*Vent Av./Arr.*",SAISIE!$F$5:$F$204,$F$5),"-"))</f>
        <v/>
      </c>
      <c r="E12" s="7">
        <f>IF($F$5="","",IF(OR(D12="",D12="-"),"",IF(D12&gt;0,"(soulevement)",IF(D12&lt;0,"(compression)","-"))))</f>
        <v/>
      </c>
      <c r="I12" s="6">
        <f>IF(OR($M$5="",NOT(MAXIFS(SAISIE!$L$5:$L$204,SAISIE!$J$5:$J$204,"*Vent Av./Arr.*",SAISIE!$M$5:$M$204,$M$5)&gt;0)),"","Vent Av./Arr.")</f>
        <v/>
      </c>
      <c r="J12" s="7">
        <f>IF(OR($M$5="",NOT(MAXIFS(SAISIE!$L$5:$L$204,SAISIE!$J$5:$J$204,"*Vent Av./Arr.*",SAISIE!$M$5:$M$204,$M$5)&gt;0)),"",IFERROR(INDEX(SAISIE!$K$5:$K$204,MATCH(MAXIFS(SAISIE!$L$5:$L$204,SAISIE!$J$5:$J$204,"*Vent Av./Arr.*",SAISIE!$M$5:$M$204,$M$5),SAISIE!$L$5:$L$204,0)),"-"))</f>
        <v/>
      </c>
      <c r="K12" s="7">
        <f>IF(OR($M$5="",NOT(MAXIFS(SAISIE!$L$5:$L$204,SAISIE!$J$5:$J$204,"*Vent Av./Arr.*",SAISIE!$M$5:$M$204,$M$5)&gt;0)),"",IFERROR(MAXIFS(SAISIE!$L$5:$L$204,SAISIE!$J$5:$J$204,"*Vent Av./Arr.*",SAISIE!$M$5:$M$204,$M$5),"-"))</f>
        <v/>
      </c>
      <c r="L12" s="7">
        <f>IF($M$5="","",IF(OR(K12="",K12="-"),"",IF(K12&gt;0,"(soulevement)",IF(K12&lt;0,"(compression)","-"))))</f>
        <v/>
      </c>
    </row>
    <row r="13">
      <c r="A13" s="6">
        <f>IF(OR($F$5="",NOT(COUNTIFS(SAISIE!$B$5:$B$204,"*Vent Arr./Av.*",SAISIE!$F$5:$F$204,$F$5)&gt;0)),"","Vent Arr./Av.")</f>
        <v/>
      </c>
      <c r="B13" s="7">
        <f>IF(OR($F$5="",NOT(COUNTIFS(SAISIE!$B$5:$B$204,"*Vent Arr./Av.*",SAISIE!$F$5:$F$204,$F$5)&gt;0)),"",IFERROR(IF(MINIFS(SAISIE!$E$5:$E$204,SAISIE!$B$5:$B$204,"*Vent Arr./Av.*",SAISIE!$F$5:$F$204,$F$5)&gt;=0,MAXIFS(SAISIE!$C$5:$C$204,SAISIE!$B$5:$B$204,"*Vent Arr./Av.*",SAISIE!$F$5:$F$204,$F$5),INDEX(SAISIE!$C$5:$C$204,MATCH(MINIFS(SAISIE!$E$5:$E$204,SAISIE!$B$5:$B$204,"*Vent Arr./Av.*",SAISIE!$F$5:$F$204,$F$5),SAISIE!$E$5:$E$204,0))),"-"))</f>
        <v/>
      </c>
      <c r="C13" s="7">
        <f>IF(OR($F$5="",NOT(COUNTIFS(SAISIE!$B$5:$B$204,"*Vent Arr./Av.*",SAISIE!$F$5:$F$204,$F$5)&gt;0)),"",IFERROR(IF(MINIFS(SAISIE!$E$5:$E$204,SAISIE!$B$5:$B$204,"*Vent Arr./Av.*",SAISIE!$F$5:$F$204,$F$5)&gt;=0,INDEX(SAISIE!$D$5:$D$204,MATCH(MAXIFS(SAISIE!$C$5:$C$204,SAISIE!$B$5:$B$204,"*Vent Arr./Av.*",SAISIE!$F$5:$F$204,$F$5),SAISIE!$C$5:$C$204,0)),INDEX(SAISIE!$D$5:$D$204,MATCH(MINIFS(SAISIE!$E$5:$E$204,SAISIE!$B$5:$B$204,"*Vent Arr./Av.*",SAISIE!$F$5:$F$204,$F$5),SAISIE!$E$5:$E$204,0))),"-"))</f>
        <v/>
      </c>
      <c r="D13" s="7">
        <f>IF(OR($F$5="",NOT(COUNTIFS(SAISIE!$B$5:$B$204,"*Vent Arr./Av.*",SAISIE!$F$5:$F$204,$F$5)&gt;0)),"",IFERROR(IF(MINIFS(SAISIE!$E$5:$E$204,SAISIE!$B$5:$B$204,"*Vent Arr./Av.*",SAISIE!$F$5:$F$204,$F$5)&gt;=0,0,MINIFS(SAISIE!$E$5:$E$204,SAISIE!$B$5:$B$204,"*Vent Arr./Av.*",SAISIE!$F$5:$F$204,$F$5)),"-"))</f>
        <v/>
      </c>
      <c r="E13" s="7">
        <f>IF($F$5="","",IF(OR(D13="",D13="-"),"",IF(D13&gt;0,"(soulevement)",IF(D13&lt;0,"(compression)","-"))))</f>
        <v/>
      </c>
      <c r="I13" s="6">
        <f>IF(OR($M$5="",NOT(COUNTIFS(SAISIE!$J$5:$J$204,"*Vent Arr./Av.*",SAISIE!$M$5:$M$204,$M$5)&gt;0)),"","Vent Arr./Av.")</f>
        <v/>
      </c>
      <c r="J13" s="7">
        <f>IF(OR($M$5="",NOT(COUNTIFS(SAISIE!$J$5:$J$204,"*Vent Arr./Av.*",SAISIE!$M$5:$M$204,$M$5)&gt;0)),"",IFERROR(IF(MINIFS(SAISIE!$L$5:$L$204,SAISIE!$J$5:$J$204,"*Vent Arr./Av.*",SAISIE!$M$5:$M$204,$M$5)&gt;=0,MAXIFS(SAISIE!$K$5:$K$204,SAISIE!$J$5:$J$204,"*Vent Arr./Av.*",SAISIE!$M$5:$M$204,$M$5),INDEX(SAISIE!$K$5:$K$204,MATCH(MINIFS(SAISIE!$L$5:$L$204,SAISIE!$J$5:$J$204,"*Vent Arr./Av.*",SAISIE!$M$5:$M$204,$M$5),SAISIE!$L$5:$L$204,0))),"-"))</f>
        <v/>
      </c>
      <c r="K13" s="7">
        <f>IF(OR($M$5="",NOT(COUNTIFS(SAISIE!$J$5:$J$204,"*Vent Arr./Av.*",SAISIE!$M$5:$M$204,$M$5)&gt;0)),"",IFERROR(IF(MINIFS(SAISIE!$L$5:$L$204,SAISIE!$J$5:$J$204,"*Vent Arr./Av.*",SAISIE!$M$5:$M$204,$M$5)&gt;=0,0,MINIFS(SAISIE!$L$5:$L$204,SAISIE!$J$5:$J$204,"*Vent Arr./Av.*",SAISIE!$M$5:$M$204,$M$5)),"-"))</f>
        <v/>
      </c>
      <c r="L13" s="7">
        <f>IF($M$5="","",IF(OR(K13="",K13="-"),"",IF(K13&gt;0,"(soulevement)",IF(K13&lt;0,"(compression)","-"))))</f>
        <v/>
      </c>
    </row>
    <row r="14">
      <c r="A14" s="6">
        <f>IF(OR($F$5="",NOT(MAXIFS(SAISIE!$E$5:$E$204,SAISIE!$B$5:$B$204,"*Vent Arr./Av.*",SAISIE!$F$5:$F$204,$F$5)&gt;0)),"","Vent Arr./Av.")</f>
        <v/>
      </c>
      <c r="B14" s="7">
        <f>IF(OR($F$5="",NOT(MAXIFS(SAISIE!$E$5:$E$204,SAISIE!$B$5:$B$204,"*Vent Arr./Av.*",SAISIE!$F$5:$F$204,$F$5)&gt;0)),"",IFERROR(INDEX(SAISIE!$C$5:$C$204,MATCH(MAXIFS(SAISIE!$E$5:$E$204,SAISIE!$B$5:$B$204,"*Vent Arr./Av.*",SAISIE!$F$5:$F$204,$F$5),SAISIE!$E$5:$E$204,0)),"-"))</f>
        <v/>
      </c>
      <c r="C14" s="7">
        <f>IF(OR($F$5="",NOT(MAXIFS(SAISIE!$E$5:$E$204,SAISIE!$B$5:$B$204,"*Vent Arr./Av.*",SAISIE!$F$5:$F$204,$F$5)&gt;0)),"",IFERROR(INDEX(SAISIE!$D$5:$D$204,MATCH(MAXIFS(SAISIE!$E$5:$E$204,SAISIE!$B$5:$B$204,"*Vent Arr./Av.*",SAISIE!$F$5:$F$204,$F$5),SAISIE!$E$5:$E$204,0)),"-"))</f>
        <v/>
      </c>
      <c r="D14" s="7">
        <f>IF(OR($F$5="",NOT(MAXIFS(SAISIE!$E$5:$E$204,SAISIE!$B$5:$B$204,"*Vent Arr./Av.*",SAISIE!$F$5:$F$204,$F$5)&gt;0)),"",IFERROR(MAXIFS(SAISIE!$E$5:$E$204,SAISIE!$B$5:$B$204,"*Vent Arr./Av.*",SAISIE!$F$5:$F$204,$F$5),"-"))</f>
        <v/>
      </c>
      <c r="E14" s="7">
        <f>IF($F$5="","",IF(OR(D14="",D14="-"),"",IF(D14&gt;0,"(soulevement)",IF(D14&lt;0,"(compression)","-"))))</f>
        <v/>
      </c>
      <c r="I14" s="6">
        <f>IF(OR($M$5="",NOT(MAXIFS(SAISIE!$L$5:$L$204,SAISIE!$J$5:$J$204,"*Vent Arr./Av.*",SAISIE!$M$5:$M$204,$M$5)&gt;0)),"","Vent Arr./Av.")</f>
        <v/>
      </c>
      <c r="J14" s="7">
        <f>IF(OR($M$5="",NOT(MAXIFS(SAISIE!$L$5:$L$204,SAISIE!$J$5:$J$204,"*Vent Arr./Av.*",SAISIE!$M$5:$M$204,$M$5)&gt;0)),"",IFERROR(INDEX(SAISIE!$K$5:$K$204,MATCH(MAXIFS(SAISIE!$L$5:$L$204,SAISIE!$J$5:$J$204,"*Vent Arr./Av.*",SAISIE!$M$5:$M$204,$M$5),SAISIE!$L$5:$L$204,0)),"-"))</f>
        <v/>
      </c>
      <c r="K14" s="7">
        <f>IF(OR($M$5="",NOT(MAXIFS(SAISIE!$L$5:$L$204,SAISIE!$J$5:$J$204,"*Vent Arr./Av.*",SAISIE!$M$5:$M$204,$M$5)&gt;0)),"",IFERROR(MAXIFS(SAISIE!$L$5:$L$204,SAISIE!$J$5:$J$204,"*Vent Arr./Av.*",SAISIE!$M$5:$M$204,$M$5),"-"))</f>
        <v/>
      </c>
      <c r="L14" s="7">
        <f>IF($M$5="","",IF(OR(K14="",K14="-"),"",IF(K14&gt;0,"(soulevement)",IF(K14&lt;0,"(compression)","-"))))</f>
        <v/>
      </c>
    </row>
    <row r="15">
      <c r="A15" s="6">
        <f>IF(OR($F$5="",NOT(TRUE)),"","Neige normale")</f>
        <v/>
      </c>
      <c r="B15" s="7">
        <f>IF($F$5="","",IFERROR(INDEX(SAISIE!$C$5:$C$204,MATCH(MINIFS(SAISIE!$E$5:$E$204,SAISIE!$B$5:$B$204,"*Neige*",SAISIE!$B$5:$B$204,"&lt;&gt;*accidentel*",SAISIE!$F$5:$F$204,$F$5),SAISIE!$E$5:$E$204,0)),"-"))</f>
        <v/>
      </c>
      <c r="C15" s="7">
        <f>IF($F$5="","",IFERROR(INDEX(SAISIE!$D$5:$D$204,MATCH(MINIFS(SAISIE!$E$5:$E$204,SAISIE!$B$5:$B$204,"*Neige*",SAISIE!$B$5:$B$204,"&lt;&gt;*accidentel*",SAISIE!$F$5:$F$204,$F$5),SAISIE!$E$5:$E$204,0)),"-"))</f>
        <v/>
      </c>
      <c r="D15" s="7">
        <f>IF($F$5="","",IFERROR(INDEX(SAISIE!$E$5:$E$204,MATCH(MINIFS(SAISIE!$E$5:$E$204,SAISIE!$B$5:$B$204,"*Neige*",SAISIE!$B$5:$B$204,"&lt;&gt;*accidentel*",SAISIE!$F$5:$F$204,$F$5),SAISIE!$E$5:$E$204,0)),"-"))</f>
        <v/>
      </c>
      <c r="E15" s="7">
        <f>IF($F$5="","",IF(OR(D15="",D15="-"),"",IF(D15&gt;0,"(soulevement)",IF(D15&lt;0,"(compression)","-"))))</f>
        <v/>
      </c>
      <c r="I15" s="6">
        <f>IF(OR($M$5="",NOT(TRUE)),"","Neige normale")</f>
        <v/>
      </c>
      <c r="J15" s="7">
        <f>IF($M$5="","",IFERROR(INDEX(SAISIE!$K$5:$K$204,MATCH(MINIFS(SAISIE!$L$5:$L$204,SAISIE!$J$5:$J$204,"*Neige*",SAISIE!$J$5:$J$204,"&lt;&gt;*accidentel*",SAISIE!$M$5:$M$204,$M$5),SAISIE!$L$5:$L$204,0)),"-"))</f>
        <v/>
      </c>
      <c r="K15" s="7">
        <f>IF($M$5="","",IFERROR(INDEX(SAISIE!$L$5:$L$204,MATCH(MINIFS(SAISIE!$L$5:$L$204,SAISIE!$J$5:$J$204,"*Neige*",SAISIE!$J$5:$J$204,"&lt;&gt;*accidentel*",SAISIE!$M$5:$M$204,$M$5),SAISIE!$L$5:$L$204,0)),"-"))</f>
        <v/>
      </c>
      <c r="L15" s="7">
        <f>IF($M$5="","",IF(OR(K15="",K15="-"),"",IF(K15&gt;0,"(soulevement)",IF(K15&lt;0,"(compression)","-"))))</f>
        <v/>
      </c>
    </row>
    <row r="16">
      <c r="A16" s="6">
        <f>IF(OR($F$5="",NOT(TRUE)),"","Neige accidentelle")</f>
        <v/>
      </c>
      <c r="B16" s="7">
        <f>IF($F$5="","",IFERROR(LOOKUP(2,1/((SAISIE!$F$5:$F$204=$F$5)*(ISNUMBER(SEARCH("accidentel",SAISIE!$B$5:$B$204)))),SAISIE!$C$5:$C$204),"-"))</f>
        <v/>
      </c>
      <c r="C16" s="7">
        <f>IF($F$5="","",IFERROR(LOOKUP(2,1/((SAISIE!$F$5:$F$204=$F$5)*(ISNUMBER(SEARCH("accidentel",SAISIE!$B$5:$B$204)))),SAISIE!$D$5:$D$204),"-"))</f>
        <v/>
      </c>
      <c r="D16" s="7">
        <f>IF($F$5="","",IFERROR(LOOKUP(2,1/((SAISIE!$F$5:$F$204=$F$5)*(ISNUMBER(SEARCH("accidentel",SAISIE!$B$5:$B$204)))),SAISIE!$E$5:$E$204),"-"))</f>
        <v/>
      </c>
      <c r="E16" s="7">
        <f>IF($F$5="","",IF(OR(D16="",D16="-"),"",IF(D16&gt;0,"(soulevement)",IF(D16&lt;0,"(compression)","-"))))</f>
        <v/>
      </c>
      <c r="I16" s="6">
        <f>IF(OR($M$5="",NOT(TRUE)),"","Neige accidentelle")</f>
        <v/>
      </c>
      <c r="J16" s="7">
        <f>IF($M$5="","",IFERROR(LOOKUP(2,1/((SAISIE!$M$5:$M$204=$M$5)*(ISNUMBER(SEARCH("accidentel",SAISIE!$J$5:$J$204)))),SAISIE!$K$5:$K$204),"-"))</f>
        <v/>
      </c>
      <c r="K16" s="7">
        <f>IF($M$5="","",IFERROR(LOOKUP(2,1/((SAISIE!$M$5:$M$204=$M$5)*(ISNUMBER(SEARCH("accidentel",SAISIE!$J$5:$J$204)))),SAISIE!$L$5:$L$204),"-"))</f>
        <v/>
      </c>
      <c r="L16" s="7">
        <f>IF($M$5="","",IF(OR(K16="",K16="-"),"",IF(K16&gt;0,"(soulevement)",IF(K16&lt;0,"(compression)","-"))))</f>
        <v/>
      </c>
    </row>
    <row r="17">
      <c r="A17" s="5">
        <f>IF($F$17="","","Noeud "&amp;$F$17)</f>
        <v/>
      </c>
      <c r="B17" s="5" t="n"/>
      <c r="C17" s="5" t="n"/>
      <c r="D17" s="5" t="n"/>
      <c r="E17" s="5" t="n"/>
      <c r="F17">
        <f>IFERROR(INDEX(SAISIE!$F$5:$F$204,AGGREGATE(15,6,ROW(SAISIE!$F$5:$F$204)-ROW(SAISIE!$F$5)+1/(SAISIE!$F$5:$F$204&lt;&gt;"")/(COUNTIF($F$4:F16,SAISIE!$F$5:$F$204)=0),1)),"")</f>
        <v/>
      </c>
      <c r="I17" s="5">
        <f>IF($M$17="","","Noeud "&amp;$M$17)</f>
        <v/>
      </c>
      <c r="J17" s="5" t="n"/>
      <c r="K17" s="5" t="n"/>
      <c r="L17" s="5" t="n"/>
      <c r="M17">
        <f>IFERROR(INDEX(SAISIE!$M$5:$M$204,AGGREGATE(15,6,ROW(SAISIE!$M$5:$M$204)-ROW(SAISIE!$M$5)+1/(SAISIE!$M$5:$M$204&lt;&gt;"")/(COUNTIF($M$4:M16,SAISIE!$M$5:$M$204)=0),1)),"")</f>
        <v/>
      </c>
    </row>
    <row r="18">
      <c r="A18" s="6">
        <f>IF(OR($F$17="",NOT(TRUE)),"","Couverture")</f>
        <v/>
      </c>
      <c r="B18" s="7">
        <f>IF($F$17="","",IFERROR(IFERROR(LOOKUP(2,1/((SAISIE!$F$5:$F$204=$F$17)*(LEFT(SAISIE!$B$5:$B$204,2)="G ")),SAISIE!$C$5:$C$204),LOOKUP(2,1/((SAISIE!$F$5:$F$204=$F$17)*(ISNUMBER(SEARCH("Couverture",SAISIE!$B$5:$B$204)))),SAISIE!$C$5:$C$204)),"-"))</f>
        <v/>
      </c>
      <c r="C18" s="7">
        <f>IF($F$17="","",IFERROR(IFERROR(LOOKUP(2,1/((SAISIE!$F$5:$F$204=$F$17)*(LEFT(SAISIE!$B$5:$B$204,2)="G ")),SAISIE!$D$5:$D$204),LOOKUP(2,1/((SAISIE!$F$5:$F$204=$F$17)*(ISNUMBER(SEARCH("Couverture",SAISIE!$B$5:$B$204)))),SAISIE!$D$5:$D$204)),"-"))</f>
        <v/>
      </c>
      <c r="D18" s="7">
        <f>IF($F$17="","",IFERROR(IFERROR(LOOKUP(2,1/((SAISIE!$F$5:$F$204=$F$17)*(LEFT(SAISIE!$B$5:$B$204,2)="G ")),SAISIE!$E$5:$E$204),LOOKUP(2,1/((SAISIE!$F$5:$F$204=$F$17)*(ISNUMBER(SEARCH("Couverture",SAISIE!$B$5:$B$204)))),SAISIE!$E$5:$E$204)),"-"))</f>
        <v/>
      </c>
      <c r="E18" s="7">
        <f>IF($F$17="","",IF(OR(D18="",D18="-"),"",IF(D18&gt;0,"(soulevement)",IF(D18&lt;0,"(compression)","-"))))</f>
        <v/>
      </c>
      <c r="I18" s="6">
        <f>IF(OR($M$17="",NOT(TRUE)),"","Couverture")</f>
        <v/>
      </c>
      <c r="J18" s="7">
        <f>IF($M$17="","",IFERROR(IFERROR(LOOKUP(2,1/((SAISIE!$M$5:$M$204=$M$17)*(LEFT(SAISIE!$J$5:$J$204,2)="G ")),SAISIE!$K$5:$K$204),LOOKUP(2,1/((SAISIE!$M$5:$M$204=$M$17)*(ISNUMBER(SEARCH("Couverture",SAISIE!$J$5:$J$204)))),SAISIE!$K$5:$K$204)),"-"))</f>
        <v/>
      </c>
      <c r="K18" s="7">
        <f>IF($M$17="","",IFERROR(IFERROR(LOOKUP(2,1/((SAISIE!$M$5:$M$204=$M$17)*(LEFT(SAISIE!$J$5:$J$204,2)="G ")),SAISIE!$L$5:$L$204),LOOKUP(2,1/((SAISIE!$M$5:$M$204=$M$17)*(ISNUMBER(SEARCH("Couverture",SAISIE!$J$5:$J$204)))),SAISIE!$L$5:$L$204)),"-"))</f>
        <v/>
      </c>
      <c r="L18" s="7">
        <f>IF($M$17="","",IF(OR(K18="",K18="-"),"",IF(K18&gt;0,"(soulevement)",IF(K18&lt;0,"(compression)","-"))))</f>
        <v/>
      </c>
    </row>
    <row r="19">
      <c r="A19" s="6">
        <f>IF(OR($F$17="",NOT(COUNTIFS(SAISIE!$B$5:$B$204,"*Vent G/D*",SAISIE!$F$5:$F$204,$F$17)&gt;0)),"","Vent G/D")</f>
        <v/>
      </c>
      <c r="B19" s="7">
        <f>IF(OR($F$17="",NOT(COUNTIFS(SAISIE!$B$5:$B$204,"*Vent G/D*",SAISIE!$F$5:$F$204,$F$17)&gt;0)),"",IFERROR(IF(MINIFS(SAISIE!$E$5:$E$204,SAISIE!$B$5:$B$204,"*Vent G/D*",SAISIE!$F$5:$F$204,$F$17)&gt;=0,MAXIFS(SAISIE!$C$5:$C$204,SAISIE!$B$5:$B$204,"*Vent G/D*",SAISIE!$F$5:$F$204,$F$17),INDEX(SAISIE!$C$5:$C$204,MATCH(MINIFS(SAISIE!$E$5:$E$204,SAISIE!$B$5:$B$204,"*Vent G/D*",SAISIE!$F$5:$F$204,$F$17),SAISIE!$E$5:$E$204,0))),"-"))</f>
        <v/>
      </c>
      <c r="C19" s="7">
        <f>IF(OR($F$17="",NOT(COUNTIFS(SAISIE!$B$5:$B$204,"*Vent G/D*",SAISIE!$F$5:$F$204,$F$17)&gt;0)),"",IFERROR(IF(MINIFS(SAISIE!$E$5:$E$204,SAISIE!$B$5:$B$204,"*Vent G/D*",SAISIE!$F$5:$F$204,$F$17)&gt;=0,INDEX(SAISIE!$D$5:$D$204,MATCH(MAXIFS(SAISIE!$C$5:$C$204,SAISIE!$B$5:$B$204,"*Vent G/D*",SAISIE!$F$5:$F$204,$F$17),SAISIE!$C$5:$C$204,0)),INDEX(SAISIE!$D$5:$D$204,MATCH(MINIFS(SAISIE!$E$5:$E$204,SAISIE!$B$5:$B$204,"*Vent G/D*",SAISIE!$F$5:$F$204,$F$17),SAISIE!$E$5:$E$204,0))),"-"))</f>
        <v/>
      </c>
      <c r="D19" s="7">
        <f>IF(OR($F$17="",NOT(COUNTIFS(SAISIE!$B$5:$B$204,"*Vent G/D*",SAISIE!$F$5:$F$204,$F$17)&gt;0)),"",IFERROR(IF(MINIFS(SAISIE!$E$5:$E$204,SAISIE!$B$5:$B$204,"*Vent G/D*",SAISIE!$F$5:$F$204,$F$17)&gt;=0,0,MINIFS(SAISIE!$E$5:$E$204,SAISIE!$B$5:$B$204,"*Vent G/D*",SAISIE!$F$5:$F$204,$F$17)),"-"))</f>
        <v/>
      </c>
      <c r="E19" s="7">
        <f>IF($F$17="","",IF(OR(D19="",D19="-"),"",IF(D19&gt;0,"(soulevement)",IF(D19&lt;0,"(compression)","-"))))</f>
        <v/>
      </c>
      <c r="I19" s="6">
        <f>IF(OR($M$17="",NOT(COUNTIFS(SAISIE!$J$5:$J$204,"*Vent G/D*",SAISIE!$M$5:$M$204,$M$17)&gt;0)),"","Vent G/D")</f>
        <v/>
      </c>
      <c r="J19" s="7">
        <f>IF(OR($M$17="",NOT(COUNTIFS(SAISIE!$J$5:$J$204,"*Vent G/D*",SAISIE!$M$5:$M$204,$M$17)&gt;0)),"",IFERROR(IF(MINIFS(SAISIE!$L$5:$L$204,SAISIE!$J$5:$J$204,"*Vent G/D*",SAISIE!$M$5:$M$204,$M$17)&gt;=0,MAXIFS(SAISIE!$K$5:$K$204,SAISIE!$J$5:$J$204,"*Vent G/D*",SAISIE!$M$5:$M$204,$M$17),INDEX(SAISIE!$K$5:$K$204,MATCH(MINIFS(SAISIE!$L$5:$L$204,SAISIE!$J$5:$J$204,"*Vent G/D*",SAISIE!$M$5:$M$204,$M$17),SAISIE!$L$5:$L$204,0))),"-"))</f>
        <v/>
      </c>
      <c r="K19" s="7">
        <f>IF(OR($M$17="",NOT(COUNTIFS(SAISIE!$J$5:$J$204,"*Vent G/D*",SAISIE!$M$5:$M$204,$M$17)&gt;0)),"",IFERROR(IF(MINIFS(SAISIE!$L$5:$L$204,SAISIE!$J$5:$J$204,"*Vent G/D*",SAISIE!$M$5:$M$204,$M$17)&gt;=0,0,MINIFS(SAISIE!$L$5:$L$204,SAISIE!$J$5:$J$204,"*Vent G/D*",SAISIE!$M$5:$M$204,$M$17)),"-"))</f>
        <v/>
      </c>
      <c r="L19" s="7">
        <f>IF($M$17="","",IF(OR(K19="",K19="-"),"",IF(K19&gt;0,"(soulevement)",IF(K19&lt;0,"(compression)","-"))))</f>
        <v/>
      </c>
    </row>
    <row r="20">
      <c r="A20" s="6">
        <f>IF(OR($F$17="",NOT(MAXIFS(SAISIE!$E$5:$E$204,SAISIE!$B$5:$B$204,"*Vent G/D*",SAISIE!$F$5:$F$204,$F$17)&gt;0)),"","Vent G/D")</f>
        <v/>
      </c>
      <c r="B20" s="7">
        <f>IF(OR($F$17="",NOT(MAXIFS(SAISIE!$E$5:$E$204,SAISIE!$B$5:$B$204,"*Vent G/D*",SAISIE!$F$5:$F$204,$F$17)&gt;0)),"",IFERROR(INDEX(SAISIE!$C$5:$C$204,MATCH(MAXIFS(SAISIE!$E$5:$E$204,SAISIE!$B$5:$B$204,"*Vent G/D*",SAISIE!$F$5:$F$204,$F$17),SAISIE!$E$5:$E$204,0)),"-"))</f>
        <v/>
      </c>
      <c r="C20" s="7">
        <f>IF(OR($F$17="",NOT(MAXIFS(SAISIE!$E$5:$E$204,SAISIE!$B$5:$B$204,"*Vent G/D*",SAISIE!$F$5:$F$204,$F$17)&gt;0)),"",IFERROR(INDEX(SAISIE!$D$5:$D$204,MATCH(MAXIFS(SAISIE!$E$5:$E$204,SAISIE!$B$5:$B$204,"*Vent G/D*",SAISIE!$F$5:$F$204,$F$17),SAISIE!$E$5:$E$204,0)),"-"))</f>
        <v/>
      </c>
      <c r="D20" s="7">
        <f>IF(OR($F$17="",NOT(MAXIFS(SAISIE!$E$5:$E$204,SAISIE!$B$5:$B$204,"*Vent G/D*",SAISIE!$F$5:$F$204,$F$17)&gt;0)),"",IFERROR(MAXIFS(SAISIE!$E$5:$E$204,SAISIE!$B$5:$B$204,"*Vent G/D*",SAISIE!$F$5:$F$204,$F$17),"-"))</f>
        <v/>
      </c>
      <c r="E20" s="7">
        <f>IF($F$17="","",IF(OR(D20="",D20="-"),"",IF(D20&gt;0,"(soulevement)",IF(D20&lt;0,"(compression)","-"))))</f>
        <v/>
      </c>
      <c r="I20" s="6">
        <f>IF(OR($M$17="",NOT(MAXIFS(SAISIE!$L$5:$L$204,SAISIE!$J$5:$J$204,"*Vent G/D*",SAISIE!$M$5:$M$204,$M$17)&gt;0)),"","Vent G/D")</f>
        <v/>
      </c>
      <c r="J20" s="7">
        <f>IF(OR($M$17="",NOT(MAXIFS(SAISIE!$L$5:$L$204,SAISIE!$J$5:$J$204,"*Vent G/D*",SAISIE!$M$5:$M$204,$M$17)&gt;0)),"",IFERROR(INDEX(SAISIE!$K$5:$K$204,MATCH(MAXIFS(SAISIE!$L$5:$L$204,SAISIE!$J$5:$J$204,"*Vent G/D*",SAISIE!$M$5:$M$204,$M$17),SAISIE!$L$5:$L$204,0)),"-"))</f>
        <v/>
      </c>
      <c r="K20" s="7">
        <f>IF(OR($M$17="",NOT(MAXIFS(SAISIE!$L$5:$L$204,SAISIE!$J$5:$J$204,"*Vent G/D*",SAISIE!$M$5:$M$204,$M$17)&gt;0)),"",IFERROR(MAXIFS(SAISIE!$L$5:$L$204,SAISIE!$J$5:$J$204,"*Vent G/D*",SAISIE!$M$5:$M$204,$M$17),"-"))</f>
        <v/>
      </c>
      <c r="L20" s="7">
        <f>IF($M$17="","",IF(OR(K20="",K20="-"),"",IF(K20&gt;0,"(soulevement)",IF(K20&lt;0,"(compression)","-"))))</f>
        <v/>
      </c>
    </row>
    <row r="21">
      <c r="A21" s="6">
        <f>IF(OR($F$17="",NOT(COUNTIFS(SAISIE!$B$5:$B$204,"*Vent D/G*",SAISIE!$F$5:$F$204,$F$17)&gt;0)),"","Vent D/G")</f>
        <v/>
      </c>
      <c r="B21" s="7">
        <f>IF(OR($F$17="",NOT(COUNTIFS(SAISIE!$B$5:$B$204,"*Vent D/G*",SAISIE!$F$5:$F$204,$F$17)&gt;0)),"",IFERROR(IF(MINIFS(SAISIE!$E$5:$E$204,SAISIE!$B$5:$B$204,"*Vent D/G*",SAISIE!$F$5:$F$204,$F$17)&gt;=0,MAXIFS(SAISIE!$C$5:$C$204,SAISIE!$B$5:$B$204,"*Vent D/G*",SAISIE!$F$5:$F$204,$F$17),INDEX(SAISIE!$C$5:$C$204,MATCH(MINIFS(SAISIE!$E$5:$E$204,SAISIE!$B$5:$B$204,"*Vent D/G*",SAISIE!$F$5:$F$204,$F$17),SAISIE!$E$5:$E$204,0))),"-"))</f>
        <v/>
      </c>
      <c r="C21" s="7">
        <f>IF(OR($F$17="",NOT(COUNTIFS(SAISIE!$B$5:$B$204,"*Vent D/G*",SAISIE!$F$5:$F$204,$F$17)&gt;0)),"",IFERROR(IF(MINIFS(SAISIE!$E$5:$E$204,SAISIE!$B$5:$B$204,"*Vent D/G*",SAISIE!$F$5:$F$204,$F$17)&gt;=0,INDEX(SAISIE!$D$5:$D$204,MATCH(MAXIFS(SAISIE!$C$5:$C$204,SAISIE!$B$5:$B$204,"*Vent D/G*",SAISIE!$F$5:$F$204,$F$17),SAISIE!$C$5:$C$204,0)),INDEX(SAISIE!$D$5:$D$204,MATCH(MINIFS(SAISIE!$E$5:$E$204,SAISIE!$B$5:$B$204,"*Vent D/G*",SAISIE!$F$5:$F$204,$F$17),SAISIE!$E$5:$E$204,0))),"-"))</f>
        <v/>
      </c>
      <c r="D21" s="7">
        <f>IF(OR($F$17="",NOT(COUNTIFS(SAISIE!$B$5:$B$204,"*Vent D/G*",SAISIE!$F$5:$F$204,$F$17)&gt;0)),"",IFERROR(IF(MINIFS(SAISIE!$E$5:$E$204,SAISIE!$B$5:$B$204,"*Vent D/G*",SAISIE!$F$5:$F$204,$F$17)&gt;=0,0,MINIFS(SAISIE!$E$5:$E$204,SAISIE!$B$5:$B$204,"*Vent D/G*",SAISIE!$F$5:$F$204,$F$17)),"-"))</f>
        <v/>
      </c>
      <c r="E21" s="7">
        <f>IF($F$17="","",IF(OR(D21="",D21="-"),"",IF(D21&gt;0,"(soulevement)",IF(D21&lt;0,"(compression)","-"))))</f>
        <v/>
      </c>
      <c r="I21" s="6">
        <f>IF(OR($M$17="",NOT(COUNTIFS(SAISIE!$J$5:$J$204,"*Vent D/G*",SAISIE!$M$5:$M$204,$M$17)&gt;0)),"","Vent D/G")</f>
        <v/>
      </c>
      <c r="J21" s="7">
        <f>IF(OR($M$17="",NOT(COUNTIFS(SAISIE!$J$5:$J$204,"*Vent D/G*",SAISIE!$M$5:$M$204,$M$17)&gt;0)),"",IFERROR(IF(MINIFS(SAISIE!$L$5:$L$204,SAISIE!$J$5:$J$204,"*Vent D/G*",SAISIE!$M$5:$M$204,$M$17)&gt;=0,MAXIFS(SAISIE!$K$5:$K$204,SAISIE!$J$5:$J$204,"*Vent D/G*",SAISIE!$M$5:$M$204,$M$17),INDEX(SAISIE!$K$5:$K$204,MATCH(MINIFS(SAISIE!$L$5:$L$204,SAISIE!$J$5:$J$204,"*Vent D/G*",SAISIE!$M$5:$M$204,$M$17),SAISIE!$L$5:$L$204,0))),"-"))</f>
        <v/>
      </c>
      <c r="K21" s="7">
        <f>IF(OR($M$17="",NOT(COUNTIFS(SAISIE!$J$5:$J$204,"*Vent D/G*",SAISIE!$M$5:$M$204,$M$17)&gt;0)),"",IFERROR(IF(MINIFS(SAISIE!$L$5:$L$204,SAISIE!$J$5:$J$204,"*Vent D/G*",SAISIE!$M$5:$M$204,$M$17)&gt;=0,0,MINIFS(SAISIE!$L$5:$L$204,SAISIE!$J$5:$J$204,"*Vent D/G*",SAISIE!$M$5:$M$204,$M$17)),"-"))</f>
        <v/>
      </c>
      <c r="L21" s="7">
        <f>IF($M$17="","",IF(OR(K21="",K21="-"),"",IF(K21&gt;0,"(soulevement)",IF(K21&lt;0,"(compression)","-"))))</f>
        <v/>
      </c>
    </row>
    <row r="22">
      <c r="A22" s="6">
        <f>IF(OR($F$17="",NOT(MAXIFS(SAISIE!$E$5:$E$204,SAISIE!$B$5:$B$204,"*Vent D/G*",SAISIE!$F$5:$F$204,$F$17)&gt;0)),"","Vent D/G")</f>
        <v/>
      </c>
      <c r="B22" s="7">
        <f>IF(OR($F$17="",NOT(MAXIFS(SAISIE!$E$5:$E$204,SAISIE!$B$5:$B$204,"*Vent D/G*",SAISIE!$F$5:$F$204,$F$17)&gt;0)),"",IFERROR(INDEX(SAISIE!$C$5:$C$204,MATCH(MAXIFS(SAISIE!$E$5:$E$204,SAISIE!$B$5:$B$204,"*Vent D/G*",SAISIE!$F$5:$F$204,$F$17),SAISIE!$E$5:$E$204,0)),"-"))</f>
        <v/>
      </c>
      <c r="C22" s="7">
        <f>IF(OR($F$17="",NOT(MAXIFS(SAISIE!$E$5:$E$204,SAISIE!$B$5:$B$204,"*Vent D/G*",SAISIE!$F$5:$F$204,$F$17)&gt;0)),"",IFERROR(INDEX(SAISIE!$D$5:$D$204,MATCH(MAXIFS(SAISIE!$E$5:$E$204,SAISIE!$B$5:$B$204,"*Vent D/G*",SAISIE!$F$5:$F$204,$F$17),SAISIE!$E$5:$E$204,0)),"-"))</f>
        <v/>
      </c>
      <c r="D22" s="7">
        <f>IF(OR($F$17="",NOT(MAXIFS(SAISIE!$E$5:$E$204,SAISIE!$B$5:$B$204,"*Vent D/G*",SAISIE!$F$5:$F$204,$F$17)&gt;0)),"",IFERROR(MAXIFS(SAISIE!$E$5:$E$204,SAISIE!$B$5:$B$204,"*Vent D/G*",SAISIE!$F$5:$F$204,$F$17),"-"))</f>
        <v/>
      </c>
      <c r="E22" s="7">
        <f>IF($F$17="","",IF(OR(D22="",D22="-"),"",IF(D22&gt;0,"(soulevement)",IF(D22&lt;0,"(compression)","-"))))</f>
        <v/>
      </c>
      <c r="I22" s="6">
        <f>IF(OR($M$17="",NOT(MAXIFS(SAISIE!$L$5:$L$204,SAISIE!$J$5:$J$204,"*Vent D/G*",SAISIE!$M$5:$M$204,$M$17)&gt;0)),"","Vent D/G")</f>
        <v/>
      </c>
      <c r="J22" s="7">
        <f>IF(OR($M$17="",NOT(MAXIFS(SAISIE!$L$5:$L$204,SAISIE!$J$5:$J$204,"*Vent D/G*",SAISIE!$M$5:$M$204,$M$17)&gt;0)),"",IFERROR(INDEX(SAISIE!$K$5:$K$204,MATCH(MAXIFS(SAISIE!$L$5:$L$204,SAISIE!$J$5:$J$204,"*Vent D/G*",SAISIE!$M$5:$M$204,$M$17),SAISIE!$L$5:$L$204,0)),"-"))</f>
        <v/>
      </c>
      <c r="K22" s="7">
        <f>IF(OR($M$17="",NOT(MAXIFS(SAISIE!$L$5:$L$204,SAISIE!$J$5:$J$204,"*Vent D/G*",SAISIE!$M$5:$M$204,$M$17)&gt;0)),"",IFERROR(MAXIFS(SAISIE!$L$5:$L$204,SAISIE!$J$5:$J$204,"*Vent D/G*",SAISIE!$M$5:$M$204,$M$17),"-"))</f>
        <v/>
      </c>
      <c r="L22" s="7">
        <f>IF($M$17="","",IF(OR(K22="",K22="-"),"",IF(K22&gt;0,"(soulevement)",IF(K22&lt;0,"(compression)","-"))))</f>
        <v/>
      </c>
    </row>
    <row r="23">
      <c r="A23" s="6">
        <f>IF(OR($F$17="",NOT(COUNTIFS(SAISIE!$B$5:$B$204,"*Vent Av./Arr.*",SAISIE!$F$5:$F$204,$F$17)&gt;0)),"","Vent Av./Arr.")</f>
        <v/>
      </c>
      <c r="B23" s="7">
        <f>IF(OR($F$17="",NOT(COUNTIFS(SAISIE!$B$5:$B$204,"*Vent Av./Arr.*",SAISIE!$F$5:$F$204,$F$17)&gt;0)),"",IFERROR(IF(MINIFS(SAISIE!$E$5:$E$204,SAISIE!$B$5:$B$204,"*Vent Av./Arr.*",SAISIE!$F$5:$F$204,$F$17)&gt;=0,MAXIFS(SAISIE!$C$5:$C$204,SAISIE!$B$5:$B$204,"*Vent Av./Arr.*",SAISIE!$F$5:$F$204,$F$17),INDEX(SAISIE!$C$5:$C$204,MATCH(MINIFS(SAISIE!$E$5:$E$204,SAISIE!$B$5:$B$204,"*Vent Av./Arr.*",SAISIE!$F$5:$F$204,$F$17),SAISIE!$E$5:$E$204,0))),"-"))</f>
        <v/>
      </c>
      <c r="C23" s="7">
        <f>IF(OR($F$17="",NOT(COUNTIFS(SAISIE!$B$5:$B$204,"*Vent Av./Arr.*",SAISIE!$F$5:$F$204,$F$17)&gt;0)),"",IFERROR(IF(MINIFS(SAISIE!$E$5:$E$204,SAISIE!$B$5:$B$204,"*Vent Av./Arr.*",SAISIE!$F$5:$F$204,$F$17)&gt;=0,INDEX(SAISIE!$D$5:$D$204,MATCH(MAXIFS(SAISIE!$C$5:$C$204,SAISIE!$B$5:$B$204,"*Vent Av./Arr.*",SAISIE!$F$5:$F$204,$F$17),SAISIE!$C$5:$C$204,0)),INDEX(SAISIE!$D$5:$D$204,MATCH(MINIFS(SAISIE!$E$5:$E$204,SAISIE!$B$5:$B$204,"*Vent Av./Arr.*",SAISIE!$F$5:$F$204,$F$17),SAISIE!$E$5:$E$204,0))),"-"))</f>
        <v/>
      </c>
      <c r="D23" s="7">
        <f>IF(OR($F$17="",NOT(COUNTIFS(SAISIE!$B$5:$B$204,"*Vent Av./Arr.*",SAISIE!$F$5:$F$204,$F$17)&gt;0)),"",IFERROR(IF(MINIFS(SAISIE!$E$5:$E$204,SAISIE!$B$5:$B$204,"*Vent Av./Arr.*",SAISIE!$F$5:$F$204,$F$17)&gt;=0,0,MINIFS(SAISIE!$E$5:$E$204,SAISIE!$B$5:$B$204,"*Vent Av./Arr.*",SAISIE!$F$5:$F$204,$F$17)),"-"))</f>
        <v/>
      </c>
      <c r="E23" s="7">
        <f>IF($F$17="","",IF(OR(D23="",D23="-"),"",IF(D23&gt;0,"(soulevement)",IF(D23&lt;0,"(compression)","-"))))</f>
        <v/>
      </c>
      <c r="I23" s="6">
        <f>IF(OR($M$17="",NOT(COUNTIFS(SAISIE!$J$5:$J$204,"*Vent Av./Arr.*",SAISIE!$M$5:$M$204,$M$17)&gt;0)),"","Vent Av./Arr.")</f>
        <v/>
      </c>
      <c r="J23" s="7">
        <f>IF(OR($M$17="",NOT(COUNTIFS(SAISIE!$J$5:$J$204,"*Vent Av./Arr.*",SAISIE!$M$5:$M$204,$M$17)&gt;0)),"",IFERROR(IF(MINIFS(SAISIE!$L$5:$L$204,SAISIE!$J$5:$J$204,"*Vent Av./Arr.*",SAISIE!$M$5:$M$204,$M$17)&gt;=0,MAXIFS(SAISIE!$K$5:$K$204,SAISIE!$J$5:$J$204,"*Vent Av./Arr.*",SAISIE!$M$5:$M$204,$M$17),INDEX(SAISIE!$K$5:$K$204,MATCH(MINIFS(SAISIE!$L$5:$L$204,SAISIE!$J$5:$J$204,"*Vent Av./Arr.*",SAISIE!$M$5:$M$204,$M$17),SAISIE!$L$5:$L$204,0))),"-"))</f>
        <v/>
      </c>
      <c r="K23" s="7">
        <f>IF(OR($M$17="",NOT(COUNTIFS(SAISIE!$J$5:$J$204,"*Vent Av./Arr.*",SAISIE!$M$5:$M$204,$M$17)&gt;0)),"",IFERROR(IF(MINIFS(SAISIE!$L$5:$L$204,SAISIE!$J$5:$J$204,"*Vent Av./Arr.*",SAISIE!$M$5:$M$204,$M$17)&gt;=0,0,MINIFS(SAISIE!$L$5:$L$204,SAISIE!$J$5:$J$204,"*Vent Av./Arr.*",SAISIE!$M$5:$M$204,$M$17)),"-"))</f>
        <v/>
      </c>
      <c r="L23" s="7">
        <f>IF($M$17="","",IF(OR(K23="",K23="-"),"",IF(K23&gt;0,"(soulevement)",IF(K23&lt;0,"(compression)","-"))))</f>
        <v/>
      </c>
    </row>
    <row r="24">
      <c r="A24" s="6">
        <f>IF(OR($F$17="",NOT(MAXIFS(SAISIE!$E$5:$E$204,SAISIE!$B$5:$B$204,"*Vent Av./Arr.*",SAISIE!$F$5:$F$204,$F$17)&gt;0)),"","Vent Av./Arr.")</f>
        <v/>
      </c>
      <c r="B24" s="7">
        <f>IF(OR($F$17="",NOT(MAXIFS(SAISIE!$E$5:$E$204,SAISIE!$B$5:$B$204,"*Vent Av./Arr.*",SAISIE!$F$5:$F$204,$F$17)&gt;0)),"",IFERROR(INDEX(SAISIE!$C$5:$C$204,MATCH(MAXIFS(SAISIE!$E$5:$E$204,SAISIE!$B$5:$B$204,"*Vent Av./Arr.*",SAISIE!$F$5:$F$204,$F$17),SAISIE!$E$5:$E$204,0)),"-"))</f>
        <v/>
      </c>
      <c r="C24" s="7">
        <f>IF(OR($F$17="",NOT(MAXIFS(SAISIE!$E$5:$E$204,SAISIE!$B$5:$B$204,"*Vent Av./Arr.*",SAISIE!$F$5:$F$204,$F$17)&gt;0)),"",IFERROR(INDEX(SAISIE!$D$5:$D$204,MATCH(MAXIFS(SAISIE!$E$5:$E$204,SAISIE!$B$5:$B$204,"*Vent Av./Arr.*",SAISIE!$F$5:$F$204,$F$17),SAISIE!$E$5:$E$204,0)),"-"))</f>
        <v/>
      </c>
      <c r="D24" s="7">
        <f>IF(OR($F$17="",NOT(MAXIFS(SAISIE!$E$5:$E$204,SAISIE!$B$5:$B$204,"*Vent Av./Arr.*",SAISIE!$F$5:$F$204,$F$17)&gt;0)),"",IFERROR(MAXIFS(SAISIE!$E$5:$E$204,SAISIE!$B$5:$B$204,"*Vent Av./Arr.*",SAISIE!$F$5:$F$204,$F$17),"-"))</f>
        <v/>
      </c>
      <c r="E24" s="7">
        <f>IF($F$17="","",IF(OR(D24="",D24="-"),"",IF(D24&gt;0,"(soulevement)",IF(D24&lt;0,"(compression)","-"))))</f>
        <v/>
      </c>
      <c r="I24" s="6">
        <f>IF(OR($M$17="",NOT(MAXIFS(SAISIE!$L$5:$L$204,SAISIE!$J$5:$J$204,"*Vent Av./Arr.*",SAISIE!$M$5:$M$204,$M$17)&gt;0)),"","Vent Av./Arr.")</f>
        <v/>
      </c>
      <c r="J24" s="7">
        <f>IF(OR($M$17="",NOT(MAXIFS(SAISIE!$L$5:$L$204,SAISIE!$J$5:$J$204,"*Vent Av./Arr.*",SAISIE!$M$5:$M$204,$M$17)&gt;0)),"",IFERROR(INDEX(SAISIE!$K$5:$K$204,MATCH(MAXIFS(SAISIE!$L$5:$L$204,SAISIE!$J$5:$J$204,"*Vent Av./Arr.*",SAISIE!$M$5:$M$204,$M$17),SAISIE!$L$5:$L$204,0)),"-"))</f>
        <v/>
      </c>
      <c r="K24" s="7">
        <f>IF(OR($M$17="",NOT(MAXIFS(SAISIE!$L$5:$L$204,SAISIE!$J$5:$J$204,"*Vent Av./Arr.*",SAISIE!$M$5:$M$204,$M$17)&gt;0)),"",IFERROR(MAXIFS(SAISIE!$L$5:$L$204,SAISIE!$J$5:$J$204,"*Vent Av./Arr.*",SAISIE!$M$5:$M$204,$M$17),"-"))</f>
        <v/>
      </c>
      <c r="L24" s="7">
        <f>IF($M$17="","",IF(OR(K24="",K24="-"),"",IF(K24&gt;0,"(soulevement)",IF(K24&lt;0,"(compression)","-"))))</f>
        <v/>
      </c>
    </row>
    <row r="25">
      <c r="A25" s="6">
        <f>IF(OR($F$17="",NOT(COUNTIFS(SAISIE!$B$5:$B$204,"*Vent Arr./Av.*",SAISIE!$F$5:$F$204,$F$17)&gt;0)),"","Vent Arr./Av.")</f>
        <v/>
      </c>
      <c r="B25" s="7">
        <f>IF(OR($F$17="",NOT(COUNTIFS(SAISIE!$B$5:$B$204,"*Vent Arr./Av.*",SAISIE!$F$5:$F$204,$F$17)&gt;0)),"",IFERROR(IF(MINIFS(SAISIE!$E$5:$E$204,SAISIE!$B$5:$B$204,"*Vent Arr./Av.*",SAISIE!$F$5:$F$204,$F$17)&gt;=0,MAXIFS(SAISIE!$C$5:$C$204,SAISIE!$B$5:$B$204,"*Vent Arr./Av.*",SAISIE!$F$5:$F$204,$F$17),INDEX(SAISIE!$C$5:$C$204,MATCH(MINIFS(SAISIE!$E$5:$E$204,SAISIE!$B$5:$B$204,"*Vent Arr./Av.*",SAISIE!$F$5:$F$204,$F$17),SAISIE!$E$5:$E$204,0))),"-"))</f>
        <v/>
      </c>
      <c r="C25" s="7">
        <f>IF(OR($F$17="",NOT(COUNTIFS(SAISIE!$B$5:$B$204,"*Vent Arr./Av.*",SAISIE!$F$5:$F$204,$F$17)&gt;0)),"",IFERROR(IF(MINIFS(SAISIE!$E$5:$E$204,SAISIE!$B$5:$B$204,"*Vent Arr./Av.*",SAISIE!$F$5:$F$204,$F$17)&gt;=0,INDEX(SAISIE!$D$5:$D$204,MATCH(MAXIFS(SAISIE!$C$5:$C$204,SAISIE!$B$5:$B$204,"*Vent Arr./Av.*",SAISIE!$F$5:$F$204,$F$17),SAISIE!$C$5:$C$204,0)),INDEX(SAISIE!$D$5:$D$204,MATCH(MINIFS(SAISIE!$E$5:$E$204,SAISIE!$B$5:$B$204,"*Vent Arr./Av.*",SAISIE!$F$5:$F$204,$F$17),SAISIE!$E$5:$E$204,0))),"-"))</f>
        <v/>
      </c>
      <c r="D25" s="7">
        <f>IF(OR($F$17="",NOT(COUNTIFS(SAISIE!$B$5:$B$204,"*Vent Arr./Av.*",SAISIE!$F$5:$F$204,$F$17)&gt;0)),"",IFERROR(IF(MINIFS(SAISIE!$E$5:$E$204,SAISIE!$B$5:$B$204,"*Vent Arr./Av.*",SAISIE!$F$5:$F$204,$F$17)&gt;=0,0,MINIFS(SAISIE!$E$5:$E$204,SAISIE!$B$5:$B$204,"*Vent Arr./Av.*",SAISIE!$F$5:$F$204,$F$17)),"-"))</f>
        <v/>
      </c>
      <c r="E25" s="7">
        <f>IF($F$17="","",IF(OR(D25="",D25="-"),"",IF(D25&gt;0,"(soulevement)",IF(D25&lt;0,"(compression)","-"))))</f>
        <v/>
      </c>
      <c r="I25" s="6">
        <f>IF(OR($M$17="",NOT(COUNTIFS(SAISIE!$J$5:$J$204,"*Vent Arr./Av.*",SAISIE!$M$5:$M$204,$M$17)&gt;0)),"","Vent Arr./Av.")</f>
        <v/>
      </c>
      <c r="J25" s="7">
        <f>IF(OR($M$17="",NOT(COUNTIFS(SAISIE!$J$5:$J$204,"*Vent Arr./Av.*",SAISIE!$M$5:$M$204,$M$17)&gt;0)),"",IFERROR(IF(MINIFS(SAISIE!$L$5:$L$204,SAISIE!$J$5:$J$204,"*Vent Arr./Av.*",SAISIE!$M$5:$M$204,$M$17)&gt;=0,MAXIFS(SAISIE!$K$5:$K$204,SAISIE!$J$5:$J$204,"*Vent Arr./Av.*",SAISIE!$M$5:$M$204,$M$17),INDEX(SAISIE!$K$5:$K$204,MATCH(MINIFS(SAISIE!$L$5:$L$204,SAISIE!$J$5:$J$204,"*Vent Arr./Av.*",SAISIE!$M$5:$M$204,$M$17),SAISIE!$L$5:$L$204,0))),"-"))</f>
        <v/>
      </c>
      <c r="K25" s="7">
        <f>IF(OR($M$17="",NOT(COUNTIFS(SAISIE!$J$5:$J$204,"*Vent Arr./Av.*",SAISIE!$M$5:$M$204,$M$17)&gt;0)),"",IFERROR(IF(MINIFS(SAISIE!$L$5:$L$204,SAISIE!$J$5:$J$204,"*Vent Arr./Av.*",SAISIE!$M$5:$M$204,$M$17)&gt;=0,0,MINIFS(SAISIE!$L$5:$L$204,SAISIE!$J$5:$J$204,"*Vent Arr./Av.*",SAISIE!$M$5:$M$204,$M$17)),"-"))</f>
        <v/>
      </c>
      <c r="L25" s="7">
        <f>IF($M$17="","",IF(OR(K25="",K25="-"),"",IF(K25&gt;0,"(soulevement)",IF(K25&lt;0,"(compression)","-"))))</f>
        <v/>
      </c>
    </row>
    <row r="26">
      <c r="A26" s="6">
        <f>IF(OR($F$17="",NOT(MAXIFS(SAISIE!$E$5:$E$204,SAISIE!$B$5:$B$204,"*Vent Arr./Av.*",SAISIE!$F$5:$F$204,$F$17)&gt;0)),"","Vent Arr./Av.")</f>
        <v/>
      </c>
      <c r="B26" s="7">
        <f>IF(OR($F$17="",NOT(MAXIFS(SAISIE!$E$5:$E$204,SAISIE!$B$5:$B$204,"*Vent Arr./Av.*",SAISIE!$F$5:$F$204,$F$17)&gt;0)),"",IFERROR(INDEX(SAISIE!$C$5:$C$204,MATCH(MAXIFS(SAISIE!$E$5:$E$204,SAISIE!$B$5:$B$204,"*Vent Arr./Av.*",SAISIE!$F$5:$F$204,$F$17),SAISIE!$E$5:$E$204,0)),"-"))</f>
        <v/>
      </c>
      <c r="C26" s="7">
        <f>IF(OR($F$17="",NOT(MAXIFS(SAISIE!$E$5:$E$204,SAISIE!$B$5:$B$204,"*Vent Arr./Av.*",SAISIE!$F$5:$F$204,$F$17)&gt;0)),"",IFERROR(INDEX(SAISIE!$D$5:$D$204,MATCH(MAXIFS(SAISIE!$E$5:$E$204,SAISIE!$B$5:$B$204,"*Vent Arr./Av.*",SAISIE!$F$5:$F$204,$F$17),SAISIE!$E$5:$E$204,0)),"-"))</f>
        <v/>
      </c>
      <c r="D26" s="7">
        <f>IF(OR($F$17="",NOT(MAXIFS(SAISIE!$E$5:$E$204,SAISIE!$B$5:$B$204,"*Vent Arr./Av.*",SAISIE!$F$5:$F$204,$F$17)&gt;0)),"",IFERROR(MAXIFS(SAISIE!$E$5:$E$204,SAISIE!$B$5:$B$204,"*Vent Arr./Av.*",SAISIE!$F$5:$F$204,$F$17),"-"))</f>
        <v/>
      </c>
      <c r="E26" s="7">
        <f>IF($F$17="","",IF(OR(D26="",D26="-"),"",IF(D26&gt;0,"(soulevement)",IF(D26&lt;0,"(compression)","-"))))</f>
        <v/>
      </c>
      <c r="I26" s="6">
        <f>IF(OR($M$17="",NOT(MAXIFS(SAISIE!$L$5:$L$204,SAISIE!$J$5:$J$204,"*Vent Arr./Av.*",SAISIE!$M$5:$M$204,$M$17)&gt;0)),"","Vent Arr./Av.")</f>
        <v/>
      </c>
      <c r="J26" s="7">
        <f>IF(OR($M$17="",NOT(MAXIFS(SAISIE!$L$5:$L$204,SAISIE!$J$5:$J$204,"*Vent Arr./Av.*",SAISIE!$M$5:$M$204,$M$17)&gt;0)),"",IFERROR(INDEX(SAISIE!$K$5:$K$204,MATCH(MAXIFS(SAISIE!$L$5:$L$204,SAISIE!$J$5:$J$204,"*Vent Arr./Av.*",SAISIE!$M$5:$M$204,$M$17),SAISIE!$L$5:$L$204,0)),"-"))</f>
        <v/>
      </c>
      <c r="K26" s="7">
        <f>IF(OR($M$17="",NOT(MAXIFS(SAISIE!$L$5:$L$204,SAISIE!$J$5:$J$204,"*Vent Arr./Av.*",SAISIE!$M$5:$M$204,$M$17)&gt;0)),"",IFERROR(MAXIFS(SAISIE!$L$5:$L$204,SAISIE!$J$5:$J$204,"*Vent Arr./Av.*",SAISIE!$M$5:$M$204,$M$17),"-"))</f>
        <v/>
      </c>
      <c r="L26" s="7">
        <f>IF($M$17="","",IF(OR(K26="",K26="-"),"",IF(K26&gt;0,"(soulevement)",IF(K26&lt;0,"(compression)","-"))))</f>
        <v/>
      </c>
    </row>
    <row r="27">
      <c r="A27" s="6">
        <f>IF(OR($F$17="",NOT(TRUE)),"","Neige normale")</f>
        <v/>
      </c>
      <c r="B27" s="7">
        <f>IF($F$17="","",IFERROR(INDEX(SAISIE!$C$5:$C$204,MATCH(MINIFS(SAISIE!$E$5:$E$204,SAISIE!$B$5:$B$204,"*Neige*",SAISIE!$B$5:$B$204,"&lt;&gt;*accidentel*",SAISIE!$F$5:$F$204,$F$17),SAISIE!$E$5:$E$204,0)),"-"))</f>
        <v/>
      </c>
      <c r="C27" s="7">
        <f>IF($F$17="","",IFERROR(INDEX(SAISIE!$D$5:$D$204,MATCH(MINIFS(SAISIE!$E$5:$E$204,SAISIE!$B$5:$B$204,"*Neige*",SAISIE!$B$5:$B$204,"&lt;&gt;*accidentel*",SAISIE!$F$5:$F$204,$F$17),SAISIE!$E$5:$E$204,0)),"-"))</f>
        <v/>
      </c>
      <c r="D27" s="7">
        <f>IF($F$17="","",IFERROR(INDEX(SAISIE!$E$5:$E$204,MATCH(MINIFS(SAISIE!$E$5:$E$204,SAISIE!$B$5:$B$204,"*Neige*",SAISIE!$B$5:$B$204,"&lt;&gt;*accidentel*",SAISIE!$F$5:$F$204,$F$17),SAISIE!$E$5:$E$204,0)),"-"))</f>
        <v/>
      </c>
      <c r="E27" s="7">
        <f>IF($F$17="","",IF(OR(D27="",D27="-"),"",IF(D27&gt;0,"(soulevement)",IF(D27&lt;0,"(compression)","-"))))</f>
        <v/>
      </c>
      <c r="I27" s="6">
        <f>IF(OR($M$17="",NOT(TRUE)),"","Neige normale")</f>
        <v/>
      </c>
      <c r="J27" s="7">
        <f>IF($M$17="","",IFERROR(INDEX(SAISIE!$K$5:$K$204,MATCH(MINIFS(SAISIE!$L$5:$L$204,SAISIE!$J$5:$J$204,"*Neige*",SAISIE!$J$5:$J$204,"&lt;&gt;*accidentel*",SAISIE!$M$5:$M$204,$M$17),SAISIE!$L$5:$L$204,0)),"-"))</f>
        <v/>
      </c>
      <c r="K27" s="7">
        <f>IF($M$17="","",IFERROR(INDEX(SAISIE!$L$5:$L$204,MATCH(MINIFS(SAISIE!$L$5:$L$204,SAISIE!$J$5:$J$204,"*Neige*",SAISIE!$J$5:$J$204,"&lt;&gt;*accidentel*",SAISIE!$M$5:$M$204,$M$17),SAISIE!$L$5:$L$204,0)),"-"))</f>
        <v/>
      </c>
      <c r="L27" s="7">
        <f>IF($M$17="","",IF(OR(K27="",K27="-"),"",IF(K27&gt;0,"(soulevement)",IF(K27&lt;0,"(compression)","-"))))</f>
        <v/>
      </c>
    </row>
    <row r="28">
      <c r="A28" s="6">
        <f>IF(OR($F$17="",NOT(TRUE)),"","Neige accidentelle")</f>
        <v/>
      </c>
      <c r="B28" s="7">
        <f>IF($F$17="","",IFERROR(LOOKUP(2,1/((SAISIE!$F$5:$F$204=$F$17)*(ISNUMBER(SEARCH("accidentel",SAISIE!$B$5:$B$204)))),SAISIE!$C$5:$C$204),"-"))</f>
        <v/>
      </c>
      <c r="C28" s="7">
        <f>IF($F$17="","",IFERROR(LOOKUP(2,1/((SAISIE!$F$5:$F$204=$F$17)*(ISNUMBER(SEARCH("accidentel",SAISIE!$B$5:$B$204)))),SAISIE!$D$5:$D$204),"-"))</f>
        <v/>
      </c>
      <c r="D28" s="7">
        <f>IF($F$17="","",IFERROR(LOOKUP(2,1/((SAISIE!$F$5:$F$204=$F$17)*(ISNUMBER(SEARCH("accidentel",SAISIE!$B$5:$B$204)))),SAISIE!$E$5:$E$204),"-"))</f>
        <v/>
      </c>
      <c r="E28" s="7">
        <f>IF($F$17="","",IF(OR(D28="",D28="-"),"",IF(D28&gt;0,"(soulevement)",IF(D28&lt;0,"(compression)","-"))))</f>
        <v/>
      </c>
      <c r="I28" s="6">
        <f>IF(OR($M$17="",NOT(TRUE)),"","Neige accidentelle")</f>
        <v/>
      </c>
      <c r="J28" s="7">
        <f>IF($M$17="","",IFERROR(LOOKUP(2,1/((SAISIE!$M$5:$M$204=$M$17)*(ISNUMBER(SEARCH("accidentel",SAISIE!$J$5:$J$204)))),SAISIE!$K$5:$K$204),"-"))</f>
        <v/>
      </c>
      <c r="K28" s="7">
        <f>IF($M$17="","",IFERROR(LOOKUP(2,1/((SAISIE!$M$5:$M$204=$M$17)*(ISNUMBER(SEARCH("accidentel",SAISIE!$J$5:$J$204)))),SAISIE!$L$5:$L$204),"-"))</f>
        <v/>
      </c>
      <c r="L28" s="7">
        <f>IF($M$17="","",IF(OR(K28="",K28="-"),"",IF(K28&gt;0,"(soulevement)",IF(K28&lt;0,"(compression)","-"))))</f>
        <v/>
      </c>
    </row>
    <row r="29">
      <c r="A29" s="5">
        <f>IF($F$29="","","Noeud "&amp;$F$29)</f>
        <v/>
      </c>
      <c r="B29" s="5" t="n"/>
      <c r="C29" s="5" t="n"/>
      <c r="D29" s="5" t="n"/>
      <c r="E29" s="5" t="n"/>
      <c r="F29">
        <f>IFERROR(INDEX(SAISIE!$F$5:$F$204,AGGREGATE(15,6,ROW(SAISIE!$F$5:$F$204)-ROW(SAISIE!$F$5)+1/(SAISIE!$F$5:$F$204&lt;&gt;"")/(COUNTIF($F$4:F28,SAISIE!$F$5:$F$204)=0),1)),"")</f>
        <v/>
      </c>
      <c r="I29" s="5">
        <f>IF($M$29="","","Noeud "&amp;$M$29)</f>
        <v/>
      </c>
      <c r="J29" s="5" t="n"/>
      <c r="K29" s="5" t="n"/>
      <c r="L29" s="5" t="n"/>
      <c r="M29">
        <f>IFERROR(INDEX(SAISIE!$M$5:$M$204,AGGREGATE(15,6,ROW(SAISIE!$M$5:$M$204)-ROW(SAISIE!$M$5)+1/(SAISIE!$M$5:$M$204&lt;&gt;"")/(COUNTIF($M$4:M28,SAISIE!$M$5:$M$204)=0),1)),"")</f>
        <v/>
      </c>
    </row>
    <row r="30">
      <c r="A30" s="6">
        <f>IF(OR($F$29="",NOT(TRUE)),"","Couverture")</f>
        <v/>
      </c>
      <c r="B30" s="7">
        <f>IF($F$29="","",IFERROR(IFERROR(LOOKUP(2,1/((SAISIE!$F$5:$F$204=$F$29)*(LEFT(SAISIE!$B$5:$B$204,2)="G ")),SAISIE!$C$5:$C$204),LOOKUP(2,1/((SAISIE!$F$5:$F$204=$F$29)*(ISNUMBER(SEARCH("Couverture",SAISIE!$B$5:$B$204)))),SAISIE!$C$5:$C$204)),"-"))</f>
        <v/>
      </c>
      <c r="C30" s="7">
        <f>IF($F$29="","",IFERROR(IFERROR(LOOKUP(2,1/((SAISIE!$F$5:$F$204=$F$29)*(LEFT(SAISIE!$B$5:$B$204,2)="G ")),SAISIE!$D$5:$D$204),LOOKUP(2,1/((SAISIE!$F$5:$F$204=$F$29)*(ISNUMBER(SEARCH("Couverture",SAISIE!$B$5:$B$204)))),SAISIE!$D$5:$D$204)),"-"))</f>
        <v/>
      </c>
      <c r="D30" s="7">
        <f>IF($F$29="","",IFERROR(IFERROR(LOOKUP(2,1/((SAISIE!$F$5:$F$204=$F$29)*(LEFT(SAISIE!$B$5:$B$204,2)="G ")),SAISIE!$E$5:$E$204),LOOKUP(2,1/((SAISIE!$F$5:$F$204=$F$29)*(ISNUMBER(SEARCH("Couverture",SAISIE!$B$5:$B$204)))),SAISIE!$E$5:$E$204)),"-"))</f>
        <v/>
      </c>
      <c r="E30" s="7">
        <f>IF($F$29="","",IF(OR(D30="",D30="-"),"",IF(D30&gt;0,"(soulevement)",IF(D30&lt;0,"(compression)","-"))))</f>
        <v/>
      </c>
      <c r="I30" s="6">
        <f>IF(OR($M$29="",NOT(TRUE)),"","Couverture")</f>
        <v/>
      </c>
      <c r="J30" s="7">
        <f>IF($M$29="","",IFERROR(IFERROR(LOOKUP(2,1/((SAISIE!$M$5:$M$204=$M$29)*(LEFT(SAISIE!$J$5:$J$204,2)="G ")),SAISIE!$K$5:$K$204),LOOKUP(2,1/((SAISIE!$M$5:$M$204=$M$29)*(ISNUMBER(SEARCH("Couverture",SAISIE!$J$5:$J$204)))),SAISIE!$K$5:$K$204)),"-"))</f>
        <v/>
      </c>
      <c r="K30" s="7">
        <f>IF($M$29="","",IFERROR(IFERROR(LOOKUP(2,1/((SAISIE!$M$5:$M$204=$M$29)*(LEFT(SAISIE!$J$5:$J$204,2)="G ")),SAISIE!$L$5:$L$204),LOOKUP(2,1/((SAISIE!$M$5:$M$204=$M$29)*(ISNUMBER(SEARCH("Couverture",SAISIE!$J$5:$J$204)))),SAISIE!$L$5:$L$204)),"-"))</f>
        <v/>
      </c>
      <c r="L30" s="7">
        <f>IF($M$29="","",IF(OR(K30="",K30="-"),"",IF(K30&gt;0,"(soulevement)",IF(K30&lt;0,"(compression)","-"))))</f>
        <v/>
      </c>
    </row>
    <row r="31">
      <c r="A31" s="6">
        <f>IF(OR($F$29="",NOT(COUNTIFS(SAISIE!$B$5:$B$204,"*Vent G/D*",SAISIE!$F$5:$F$204,$F$29)&gt;0)),"","Vent G/D")</f>
        <v/>
      </c>
      <c r="B31" s="7">
        <f>IF(OR($F$29="",NOT(COUNTIFS(SAISIE!$B$5:$B$204,"*Vent G/D*",SAISIE!$F$5:$F$204,$F$29)&gt;0)),"",IFERROR(IF(MINIFS(SAISIE!$E$5:$E$204,SAISIE!$B$5:$B$204,"*Vent G/D*",SAISIE!$F$5:$F$204,$F$29)&gt;=0,MAXIFS(SAISIE!$C$5:$C$204,SAISIE!$B$5:$B$204,"*Vent G/D*",SAISIE!$F$5:$F$204,$F$29),INDEX(SAISIE!$C$5:$C$204,MATCH(MINIFS(SAISIE!$E$5:$E$204,SAISIE!$B$5:$B$204,"*Vent G/D*",SAISIE!$F$5:$F$204,$F$29),SAISIE!$E$5:$E$204,0))),"-"))</f>
        <v/>
      </c>
      <c r="C31" s="7">
        <f>IF(OR($F$29="",NOT(COUNTIFS(SAISIE!$B$5:$B$204,"*Vent G/D*",SAISIE!$F$5:$F$204,$F$29)&gt;0)),"",IFERROR(IF(MINIFS(SAISIE!$E$5:$E$204,SAISIE!$B$5:$B$204,"*Vent G/D*",SAISIE!$F$5:$F$204,$F$29)&gt;=0,INDEX(SAISIE!$D$5:$D$204,MATCH(MAXIFS(SAISIE!$C$5:$C$204,SAISIE!$B$5:$B$204,"*Vent G/D*",SAISIE!$F$5:$F$204,$F$29),SAISIE!$C$5:$C$204,0)),INDEX(SAISIE!$D$5:$D$204,MATCH(MINIFS(SAISIE!$E$5:$E$204,SAISIE!$B$5:$B$204,"*Vent G/D*",SAISIE!$F$5:$F$204,$F$29),SAISIE!$E$5:$E$204,0))),"-"))</f>
        <v/>
      </c>
      <c r="D31" s="7">
        <f>IF(OR($F$29="",NOT(COUNTIFS(SAISIE!$B$5:$B$204,"*Vent G/D*",SAISIE!$F$5:$F$204,$F$29)&gt;0)),"",IFERROR(IF(MINIFS(SAISIE!$E$5:$E$204,SAISIE!$B$5:$B$204,"*Vent G/D*",SAISIE!$F$5:$F$204,$F$29)&gt;=0,0,MINIFS(SAISIE!$E$5:$E$204,SAISIE!$B$5:$B$204,"*Vent G/D*",SAISIE!$F$5:$F$204,$F$29)),"-"))</f>
        <v/>
      </c>
      <c r="E31" s="7">
        <f>IF($F$29="","",IF(OR(D31="",D31="-"),"",IF(D31&gt;0,"(soulevement)",IF(D31&lt;0,"(compression)","-"))))</f>
        <v/>
      </c>
      <c r="I31" s="6">
        <f>IF(OR($M$29="",NOT(COUNTIFS(SAISIE!$J$5:$J$204,"*Vent G/D*",SAISIE!$M$5:$M$204,$M$29)&gt;0)),"","Vent G/D")</f>
        <v/>
      </c>
      <c r="J31" s="7">
        <f>IF(OR($M$29="",NOT(COUNTIFS(SAISIE!$J$5:$J$204,"*Vent G/D*",SAISIE!$M$5:$M$204,$M$29)&gt;0)),"",IFERROR(IF(MINIFS(SAISIE!$L$5:$L$204,SAISIE!$J$5:$J$204,"*Vent G/D*",SAISIE!$M$5:$M$204,$M$29)&gt;=0,MAXIFS(SAISIE!$K$5:$K$204,SAISIE!$J$5:$J$204,"*Vent G/D*",SAISIE!$M$5:$M$204,$M$29),INDEX(SAISIE!$K$5:$K$204,MATCH(MINIFS(SAISIE!$L$5:$L$204,SAISIE!$J$5:$J$204,"*Vent G/D*",SAISIE!$M$5:$M$204,$M$29),SAISIE!$L$5:$L$204,0))),"-"))</f>
        <v/>
      </c>
      <c r="K31" s="7">
        <f>IF(OR($M$29="",NOT(COUNTIFS(SAISIE!$J$5:$J$204,"*Vent G/D*",SAISIE!$M$5:$M$204,$M$29)&gt;0)),"",IFERROR(IF(MINIFS(SAISIE!$L$5:$L$204,SAISIE!$J$5:$J$204,"*Vent G/D*",SAISIE!$M$5:$M$204,$M$29)&gt;=0,0,MINIFS(SAISIE!$L$5:$L$204,SAISIE!$J$5:$J$204,"*Vent G/D*",SAISIE!$M$5:$M$204,$M$29)),"-"))</f>
        <v/>
      </c>
      <c r="L31" s="7">
        <f>IF($M$29="","",IF(OR(K31="",K31="-"),"",IF(K31&gt;0,"(soulevement)",IF(K31&lt;0,"(compression)","-"))))</f>
        <v/>
      </c>
    </row>
    <row r="32">
      <c r="A32" s="6">
        <f>IF(OR($F$29="",NOT(MAXIFS(SAISIE!$E$5:$E$204,SAISIE!$B$5:$B$204,"*Vent G/D*",SAISIE!$F$5:$F$204,$F$29)&gt;0)),"","Vent G/D")</f>
        <v/>
      </c>
      <c r="B32" s="7">
        <f>IF(OR($F$29="",NOT(MAXIFS(SAISIE!$E$5:$E$204,SAISIE!$B$5:$B$204,"*Vent G/D*",SAISIE!$F$5:$F$204,$F$29)&gt;0)),"",IFERROR(INDEX(SAISIE!$C$5:$C$204,MATCH(MAXIFS(SAISIE!$E$5:$E$204,SAISIE!$B$5:$B$204,"*Vent G/D*",SAISIE!$F$5:$F$204,$F$29),SAISIE!$E$5:$E$204,0)),"-"))</f>
        <v/>
      </c>
      <c r="C32" s="7">
        <f>IF(OR($F$29="",NOT(MAXIFS(SAISIE!$E$5:$E$204,SAISIE!$B$5:$B$204,"*Vent G/D*",SAISIE!$F$5:$F$204,$F$29)&gt;0)),"",IFERROR(INDEX(SAISIE!$D$5:$D$204,MATCH(MAXIFS(SAISIE!$E$5:$E$204,SAISIE!$B$5:$B$204,"*Vent G/D*",SAISIE!$F$5:$F$204,$F$29),SAISIE!$E$5:$E$204,0)),"-"))</f>
        <v/>
      </c>
      <c r="D32" s="7">
        <f>IF(OR($F$29="",NOT(MAXIFS(SAISIE!$E$5:$E$204,SAISIE!$B$5:$B$204,"*Vent G/D*",SAISIE!$F$5:$F$204,$F$29)&gt;0)),"",IFERROR(MAXIFS(SAISIE!$E$5:$E$204,SAISIE!$B$5:$B$204,"*Vent G/D*",SAISIE!$F$5:$F$204,$F$29),"-"))</f>
        <v/>
      </c>
      <c r="E32" s="7">
        <f>IF($F$29="","",IF(OR(D32="",D32="-"),"",IF(D32&gt;0,"(soulevement)",IF(D32&lt;0,"(compression)","-"))))</f>
        <v/>
      </c>
      <c r="I32" s="6">
        <f>IF(OR($M$29="",NOT(MAXIFS(SAISIE!$L$5:$L$204,SAISIE!$J$5:$J$204,"*Vent G/D*",SAISIE!$M$5:$M$204,$M$29)&gt;0)),"","Vent G/D")</f>
        <v/>
      </c>
      <c r="J32" s="7">
        <f>IF(OR($M$29="",NOT(MAXIFS(SAISIE!$L$5:$L$204,SAISIE!$J$5:$J$204,"*Vent G/D*",SAISIE!$M$5:$M$204,$M$29)&gt;0)),"",IFERROR(INDEX(SAISIE!$K$5:$K$204,MATCH(MAXIFS(SAISIE!$L$5:$L$204,SAISIE!$J$5:$J$204,"*Vent G/D*",SAISIE!$M$5:$M$204,$M$29),SAISIE!$L$5:$L$204,0)),"-"))</f>
        <v/>
      </c>
      <c r="K32" s="7">
        <f>IF(OR($M$29="",NOT(MAXIFS(SAISIE!$L$5:$L$204,SAISIE!$J$5:$J$204,"*Vent G/D*",SAISIE!$M$5:$M$204,$M$29)&gt;0)),"",IFERROR(MAXIFS(SAISIE!$L$5:$L$204,SAISIE!$J$5:$J$204,"*Vent G/D*",SAISIE!$M$5:$M$204,$M$29),"-"))</f>
        <v/>
      </c>
      <c r="L32" s="7">
        <f>IF($M$29="","",IF(OR(K32="",K32="-"),"",IF(K32&gt;0,"(soulevement)",IF(K32&lt;0,"(compression)","-"))))</f>
        <v/>
      </c>
    </row>
    <row r="33">
      <c r="A33" s="6">
        <f>IF(OR($F$29="",NOT(COUNTIFS(SAISIE!$B$5:$B$204,"*Vent D/G*",SAISIE!$F$5:$F$204,$F$29)&gt;0)),"","Vent D/G")</f>
        <v/>
      </c>
      <c r="B33" s="7">
        <f>IF(OR($F$29="",NOT(COUNTIFS(SAISIE!$B$5:$B$204,"*Vent D/G*",SAISIE!$F$5:$F$204,$F$29)&gt;0)),"",IFERROR(IF(MINIFS(SAISIE!$E$5:$E$204,SAISIE!$B$5:$B$204,"*Vent D/G*",SAISIE!$F$5:$F$204,$F$29)&gt;=0,MAXIFS(SAISIE!$C$5:$C$204,SAISIE!$B$5:$B$204,"*Vent D/G*",SAISIE!$F$5:$F$204,$F$29),INDEX(SAISIE!$C$5:$C$204,MATCH(MINIFS(SAISIE!$E$5:$E$204,SAISIE!$B$5:$B$204,"*Vent D/G*",SAISIE!$F$5:$F$204,$F$29),SAISIE!$E$5:$E$204,0))),"-"))</f>
        <v/>
      </c>
      <c r="C33" s="7">
        <f>IF(OR($F$29="",NOT(COUNTIFS(SAISIE!$B$5:$B$204,"*Vent D/G*",SAISIE!$F$5:$F$204,$F$29)&gt;0)),"",IFERROR(IF(MINIFS(SAISIE!$E$5:$E$204,SAISIE!$B$5:$B$204,"*Vent D/G*",SAISIE!$F$5:$F$204,$F$29)&gt;=0,INDEX(SAISIE!$D$5:$D$204,MATCH(MAXIFS(SAISIE!$C$5:$C$204,SAISIE!$B$5:$B$204,"*Vent D/G*",SAISIE!$F$5:$F$204,$F$29),SAISIE!$C$5:$C$204,0)),INDEX(SAISIE!$D$5:$D$204,MATCH(MINIFS(SAISIE!$E$5:$E$204,SAISIE!$B$5:$B$204,"*Vent D/G*",SAISIE!$F$5:$F$204,$F$29),SAISIE!$E$5:$E$204,0))),"-"))</f>
        <v/>
      </c>
      <c r="D33" s="7">
        <f>IF(OR($F$29="",NOT(COUNTIFS(SAISIE!$B$5:$B$204,"*Vent D/G*",SAISIE!$F$5:$F$204,$F$29)&gt;0)),"",IFERROR(IF(MINIFS(SAISIE!$E$5:$E$204,SAISIE!$B$5:$B$204,"*Vent D/G*",SAISIE!$F$5:$F$204,$F$29)&gt;=0,0,MINIFS(SAISIE!$E$5:$E$204,SAISIE!$B$5:$B$204,"*Vent D/G*",SAISIE!$F$5:$F$204,$F$29)),"-"))</f>
        <v/>
      </c>
      <c r="E33" s="7">
        <f>IF($F$29="","",IF(OR(D33="",D33="-"),"",IF(D33&gt;0,"(soulevement)",IF(D33&lt;0,"(compression)","-"))))</f>
        <v/>
      </c>
      <c r="I33" s="6">
        <f>IF(OR($M$29="",NOT(COUNTIFS(SAISIE!$J$5:$J$204,"*Vent D/G*",SAISIE!$M$5:$M$204,$M$29)&gt;0)),"","Vent D/G")</f>
        <v/>
      </c>
      <c r="J33" s="7">
        <f>IF(OR($M$29="",NOT(COUNTIFS(SAISIE!$J$5:$J$204,"*Vent D/G*",SAISIE!$M$5:$M$204,$M$29)&gt;0)),"",IFERROR(IF(MINIFS(SAISIE!$L$5:$L$204,SAISIE!$J$5:$J$204,"*Vent D/G*",SAISIE!$M$5:$M$204,$M$29)&gt;=0,MAXIFS(SAISIE!$K$5:$K$204,SAISIE!$J$5:$J$204,"*Vent D/G*",SAISIE!$M$5:$M$204,$M$29),INDEX(SAISIE!$K$5:$K$204,MATCH(MINIFS(SAISIE!$L$5:$L$204,SAISIE!$J$5:$J$204,"*Vent D/G*",SAISIE!$M$5:$M$204,$M$29),SAISIE!$L$5:$L$204,0))),"-"))</f>
        <v/>
      </c>
      <c r="K33" s="7">
        <f>IF(OR($M$29="",NOT(COUNTIFS(SAISIE!$J$5:$J$204,"*Vent D/G*",SAISIE!$M$5:$M$204,$M$29)&gt;0)),"",IFERROR(IF(MINIFS(SAISIE!$L$5:$L$204,SAISIE!$J$5:$J$204,"*Vent D/G*",SAISIE!$M$5:$M$204,$M$29)&gt;=0,0,MINIFS(SAISIE!$L$5:$L$204,SAISIE!$J$5:$J$204,"*Vent D/G*",SAISIE!$M$5:$M$204,$M$29)),"-"))</f>
        <v/>
      </c>
      <c r="L33" s="7">
        <f>IF($M$29="","",IF(OR(K33="",K33="-"),"",IF(K33&gt;0,"(soulevement)",IF(K33&lt;0,"(compression)","-"))))</f>
        <v/>
      </c>
    </row>
    <row r="34">
      <c r="A34" s="6">
        <f>IF(OR($F$29="",NOT(MAXIFS(SAISIE!$E$5:$E$204,SAISIE!$B$5:$B$204,"*Vent D/G*",SAISIE!$F$5:$F$204,$F$29)&gt;0)),"","Vent D/G")</f>
        <v/>
      </c>
      <c r="B34" s="7">
        <f>IF(OR($F$29="",NOT(MAXIFS(SAISIE!$E$5:$E$204,SAISIE!$B$5:$B$204,"*Vent D/G*",SAISIE!$F$5:$F$204,$F$29)&gt;0)),"",IFERROR(INDEX(SAISIE!$C$5:$C$204,MATCH(MAXIFS(SAISIE!$E$5:$E$204,SAISIE!$B$5:$B$204,"*Vent D/G*",SAISIE!$F$5:$F$204,$F$29),SAISIE!$E$5:$E$204,0)),"-"))</f>
        <v/>
      </c>
      <c r="C34" s="7">
        <f>IF(OR($F$29="",NOT(MAXIFS(SAISIE!$E$5:$E$204,SAISIE!$B$5:$B$204,"*Vent D/G*",SAISIE!$F$5:$F$204,$F$29)&gt;0)),"",IFERROR(INDEX(SAISIE!$D$5:$D$204,MATCH(MAXIFS(SAISIE!$E$5:$E$204,SAISIE!$B$5:$B$204,"*Vent D/G*",SAISIE!$F$5:$F$204,$F$29),SAISIE!$E$5:$E$204,0)),"-"))</f>
        <v/>
      </c>
      <c r="D34" s="7">
        <f>IF(OR($F$29="",NOT(MAXIFS(SAISIE!$E$5:$E$204,SAISIE!$B$5:$B$204,"*Vent D/G*",SAISIE!$F$5:$F$204,$F$29)&gt;0)),"",IFERROR(MAXIFS(SAISIE!$E$5:$E$204,SAISIE!$B$5:$B$204,"*Vent D/G*",SAISIE!$F$5:$F$204,$F$29),"-"))</f>
        <v/>
      </c>
      <c r="E34" s="7">
        <f>IF($F$29="","",IF(OR(D34="",D34="-"),"",IF(D34&gt;0,"(soulevement)",IF(D34&lt;0,"(compression)","-"))))</f>
        <v/>
      </c>
      <c r="I34" s="6">
        <f>IF(OR($M$29="",NOT(MAXIFS(SAISIE!$L$5:$L$204,SAISIE!$J$5:$J$204,"*Vent D/G*",SAISIE!$M$5:$M$204,$M$29)&gt;0)),"","Vent D/G")</f>
        <v/>
      </c>
      <c r="J34" s="7">
        <f>IF(OR($M$29="",NOT(MAXIFS(SAISIE!$L$5:$L$204,SAISIE!$J$5:$J$204,"*Vent D/G*",SAISIE!$M$5:$M$204,$M$29)&gt;0)),"",IFERROR(INDEX(SAISIE!$K$5:$K$204,MATCH(MAXIFS(SAISIE!$L$5:$L$204,SAISIE!$J$5:$J$204,"*Vent D/G*",SAISIE!$M$5:$M$204,$M$29),SAISIE!$L$5:$L$204,0)),"-"))</f>
        <v/>
      </c>
      <c r="K34" s="7">
        <f>IF(OR($M$29="",NOT(MAXIFS(SAISIE!$L$5:$L$204,SAISIE!$J$5:$J$204,"*Vent D/G*",SAISIE!$M$5:$M$204,$M$29)&gt;0)),"",IFERROR(MAXIFS(SAISIE!$L$5:$L$204,SAISIE!$J$5:$J$204,"*Vent D/G*",SAISIE!$M$5:$M$204,$M$29),"-"))</f>
        <v/>
      </c>
      <c r="L34" s="7">
        <f>IF($M$29="","",IF(OR(K34="",K34="-"),"",IF(K34&gt;0,"(soulevement)",IF(K34&lt;0,"(compression)","-"))))</f>
        <v/>
      </c>
    </row>
    <row r="35">
      <c r="A35" s="6">
        <f>IF(OR($F$29="",NOT(COUNTIFS(SAISIE!$B$5:$B$204,"*Vent Av./Arr.*",SAISIE!$F$5:$F$204,$F$29)&gt;0)),"","Vent Av./Arr.")</f>
        <v/>
      </c>
      <c r="B35" s="7">
        <f>IF(OR($F$29="",NOT(COUNTIFS(SAISIE!$B$5:$B$204,"*Vent Av./Arr.*",SAISIE!$F$5:$F$204,$F$29)&gt;0)),"",IFERROR(IF(MINIFS(SAISIE!$E$5:$E$204,SAISIE!$B$5:$B$204,"*Vent Av./Arr.*",SAISIE!$F$5:$F$204,$F$29)&gt;=0,MAXIFS(SAISIE!$C$5:$C$204,SAISIE!$B$5:$B$204,"*Vent Av./Arr.*",SAISIE!$F$5:$F$204,$F$29),INDEX(SAISIE!$C$5:$C$204,MATCH(MINIFS(SAISIE!$E$5:$E$204,SAISIE!$B$5:$B$204,"*Vent Av./Arr.*",SAISIE!$F$5:$F$204,$F$29),SAISIE!$E$5:$E$204,0))),"-"))</f>
        <v/>
      </c>
      <c r="C35" s="7">
        <f>IF(OR($F$29="",NOT(COUNTIFS(SAISIE!$B$5:$B$204,"*Vent Av./Arr.*",SAISIE!$F$5:$F$204,$F$29)&gt;0)),"",IFERROR(IF(MINIFS(SAISIE!$E$5:$E$204,SAISIE!$B$5:$B$204,"*Vent Av./Arr.*",SAISIE!$F$5:$F$204,$F$29)&gt;=0,INDEX(SAISIE!$D$5:$D$204,MATCH(MAXIFS(SAISIE!$C$5:$C$204,SAISIE!$B$5:$B$204,"*Vent Av./Arr.*",SAISIE!$F$5:$F$204,$F$29),SAISIE!$C$5:$C$204,0)),INDEX(SAISIE!$D$5:$D$204,MATCH(MINIFS(SAISIE!$E$5:$E$204,SAISIE!$B$5:$B$204,"*Vent Av./Arr.*",SAISIE!$F$5:$F$204,$F$29),SAISIE!$E$5:$E$204,0))),"-"))</f>
        <v/>
      </c>
      <c r="D35" s="7">
        <f>IF(OR($F$29="",NOT(COUNTIFS(SAISIE!$B$5:$B$204,"*Vent Av./Arr.*",SAISIE!$F$5:$F$204,$F$29)&gt;0)),"",IFERROR(IF(MINIFS(SAISIE!$E$5:$E$204,SAISIE!$B$5:$B$204,"*Vent Av./Arr.*",SAISIE!$F$5:$F$204,$F$29)&gt;=0,0,MINIFS(SAISIE!$E$5:$E$204,SAISIE!$B$5:$B$204,"*Vent Av./Arr.*",SAISIE!$F$5:$F$204,$F$29)),"-"))</f>
        <v/>
      </c>
      <c r="E35" s="7">
        <f>IF($F$29="","",IF(OR(D35="",D35="-"),"",IF(D35&gt;0,"(soulevement)",IF(D35&lt;0,"(compression)","-"))))</f>
        <v/>
      </c>
      <c r="I35" s="6">
        <f>IF(OR($M$29="",NOT(COUNTIFS(SAISIE!$J$5:$J$204,"*Vent Av./Arr.*",SAISIE!$M$5:$M$204,$M$29)&gt;0)),"","Vent Av./Arr.")</f>
        <v/>
      </c>
      <c r="J35" s="7">
        <f>IF(OR($M$29="",NOT(COUNTIFS(SAISIE!$J$5:$J$204,"*Vent Av./Arr.*",SAISIE!$M$5:$M$204,$M$29)&gt;0)),"",IFERROR(IF(MINIFS(SAISIE!$L$5:$L$204,SAISIE!$J$5:$J$204,"*Vent Av./Arr.*",SAISIE!$M$5:$M$204,$M$29)&gt;=0,MAXIFS(SAISIE!$K$5:$K$204,SAISIE!$J$5:$J$204,"*Vent Av./Arr.*",SAISIE!$M$5:$M$204,$M$29),INDEX(SAISIE!$K$5:$K$204,MATCH(MINIFS(SAISIE!$L$5:$L$204,SAISIE!$J$5:$J$204,"*Vent Av./Arr.*",SAISIE!$M$5:$M$204,$M$29),SAISIE!$L$5:$L$204,0))),"-"))</f>
        <v/>
      </c>
      <c r="K35" s="7">
        <f>IF(OR($M$29="",NOT(COUNTIFS(SAISIE!$J$5:$J$204,"*Vent Av./Arr.*",SAISIE!$M$5:$M$204,$M$29)&gt;0)),"",IFERROR(IF(MINIFS(SAISIE!$L$5:$L$204,SAISIE!$J$5:$J$204,"*Vent Av./Arr.*",SAISIE!$M$5:$M$204,$M$29)&gt;=0,0,MINIFS(SAISIE!$L$5:$L$204,SAISIE!$J$5:$J$204,"*Vent Av./Arr.*",SAISIE!$M$5:$M$204,$M$29)),"-"))</f>
        <v/>
      </c>
      <c r="L35" s="7">
        <f>IF($M$29="","",IF(OR(K35="",K35="-"),"",IF(K35&gt;0,"(soulevement)",IF(K35&lt;0,"(compression)","-"))))</f>
        <v/>
      </c>
    </row>
    <row r="36">
      <c r="A36" s="6">
        <f>IF(OR($F$29="",NOT(MAXIFS(SAISIE!$E$5:$E$204,SAISIE!$B$5:$B$204,"*Vent Av./Arr.*",SAISIE!$F$5:$F$204,$F$29)&gt;0)),"","Vent Av./Arr.")</f>
        <v/>
      </c>
      <c r="B36" s="7">
        <f>IF(OR($F$29="",NOT(MAXIFS(SAISIE!$E$5:$E$204,SAISIE!$B$5:$B$204,"*Vent Av./Arr.*",SAISIE!$F$5:$F$204,$F$29)&gt;0)),"",IFERROR(INDEX(SAISIE!$C$5:$C$204,MATCH(MAXIFS(SAISIE!$E$5:$E$204,SAISIE!$B$5:$B$204,"*Vent Av./Arr.*",SAISIE!$F$5:$F$204,$F$29),SAISIE!$E$5:$E$204,0)),"-"))</f>
        <v/>
      </c>
      <c r="C36" s="7">
        <f>IF(OR($F$29="",NOT(MAXIFS(SAISIE!$E$5:$E$204,SAISIE!$B$5:$B$204,"*Vent Av./Arr.*",SAISIE!$F$5:$F$204,$F$29)&gt;0)),"",IFERROR(INDEX(SAISIE!$D$5:$D$204,MATCH(MAXIFS(SAISIE!$E$5:$E$204,SAISIE!$B$5:$B$204,"*Vent Av./Arr.*",SAISIE!$F$5:$F$204,$F$29),SAISIE!$E$5:$E$204,0)),"-"))</f>
        <v/>
      </c>
      <c r="D36" s="7">
        <f>IF(OR($F$29="",NOT(MAXIFS(SAISIE!$E$5:$E$204,SAISIE!$B$5:$B$204,"*Vent Av./Arr.*",SAISIE!$F$5:$F$204,$F$29)&gt;0)),"",IFERROR(MAXIFS(SAISIE!$E$5:$E$204,SAISIE!$B$5:$B$204,"*Vent Av./Arr.*",SAISIE!$F$5:$F$204,$F$29),"-"))</f>
        <v/>
      </c>
      <c r="E36" s="7">
        <f>IF($F$29="","",IF(OR(D36="",D36="-"),"",IF(D36&gt;0,"(soulevement)",IF(D36&lt;0,"(compression)","-"))))</f>
        <v/>
      </c>
      <c r="I36" s="6">
        <f>IF(OR($M$29="",NOT(MAXIFS(SAISIE!$L$5:$L$204,SAISIE!$J$5:$J$204,"*Vent Av./Arr.*",SAISIE!$M$5:$M$204,$M$29)&gt;0)),"","Vent Av./Arr.")</f>
        <v/>
      </c>
      <c r="J36" s="7">
        <f>IF(OR($M$29="",NOT(MAXIFS(SAISIE!$L$5:$L$204,SAISIE!$J$5:$J$204,"*Vent Av./Arr.*",SAISIE!$M$5:$M$204,$M$29)&gt;0)),"",IFERROR(INDEX(SAISIE!$K$5:$K$204,MATCH(MAXIFS(SAISIE!$L$5:$L$204,SAISIE!$J$5:$J$204,"*Vent Av./Arr.*",SAISIE!$M$5:$M$204,$M$29),SAISIE!$L$5:$L$204,0)),"-"))</f>
        <v/>
      </c>
      <c r="K36" s="7">
        <f>IF(OR($M$29="",NOT(MAXIFS(SAISIE!$L$5:$L$204,SAISIE!$J$5:$J$204,"*Vent Av./Arr.*",SAISIE!$M$5:$M$204,$M$29)&gt;0)),"",IFERROR(MAXIFS(SAISIE!$L$5:$L$204,SAISIE!$J$5:$J$204,"*Vent Av./Arr.*",SAISIE!$M$5:$M$204,$M$29),"-"))</f>
        <v/>
      </c>
      <c r="L36" s="7">
        <f>IF($M$29="","",IF(OR(K36="",K36="-"),"",IF(K36&gt;0,"(soulevement)",IF(K36&lt;0,"(compression)","-"))))</f>
        <v/>
      </c>
    </row>
    <row r="37">
      <c r="A37" s="6">
        <f>IF(OR($F$29="",NOT(COUNTIFS(SAISIE!$B$5:$B$204,"*Vent Arr./Av.*",SAISIE!$F$5:$F$204,$F$29)&gt;0)),"","Vent Arr./Av.")</f>
        <v/>
      </c>
      <c r="B37" s="7">
        <f>IF(OR($F$29="",NOT(COUNTIFS(SAISIE!$B$5:$B$204,"*Vent Arr./Av.*",SAISIE!$F$5:$F$204,$F$29)&gt;0)),"",IFERROR(IF(MINIFS(SAISIE!$E$5:$E$204,SAISIE!$B$5:$B$204,"*Vent Arr./Av.*",SAISIE!$F$5:$F$204,$F$29)&gt;=0,MAXIFS(SAISIE!$C$5:$C$204,SAISIE!$B$5:$B$204,"*Vent Arr./Av.*",SAISIE!$F$5:$F$204,$F$29),INDEX(SAISIE!$C$5:$C$204,MATCH(MINIFS(SAISIE!$E$5:$E$204,SAISIE!$B$5:$B$204,"*Vent Arr./Av.*",SAISIE!$F$5:$F$204,$F$29),SAISIE!$E$5:$E$204,0))),"-"))</f>
        <v/>
      </c>
      <c r="C37" s="7">
        <f>IF(OR($F$29="",NOT(COUNTIFS(SAISIE!$B$5:$B$204,"*Vent Arr./Av.*",SAISIE!$F$5:$F$204,$F$29)&gt;0)),"",IFERROR(IF(MINIFS(SAISIE!$E$5:$E$204,SAISIE!$B$5:$B$204,"*Vent Arr./Av.*",SAISIE!$F$5:$F$204,$F$29)&gt;=0,INDEX(SAISIE!$D$5:$D$204,MATCH(MAXIFS(SAISIE!$C$5:$C$204,SAISIE!$B$5:$B$204,"*Vent Arr./Av.*",SAISIE!$F$5:$F$204,$F$29),SAISIE!$C$5:$C$204,0)),INDEX(SAISIE!$D$5:$D$204,MATCH(MINIFS(SAISIE!$E$5:$E$204,SAISIE!$B$5:$B$204,"*Vent Arr./Av.*",SAISIE!$F$5:$F$204,$F$29),SAISIE!$E$5:$E$204,0))),"-"))</f>
        <v/>
      </c>
      <c r="D37" s="7">
        <f>IF(OR($F$29="",NOT(COUNTIFS(SAISIE!$B$5:$B$204,"*Vent Arr./Av.*",SAISIE!$F$5:$F$204,$F$29)&gt;0)),"",IFERROR(IF(MINIFS(SAISIE!$E$5:$E$204,SAISIE!$B$5:$B$204,"*Vent Arr./Av.*",SAISIE!$F$5:$F$204,$F$29)&gt;=0,0,MINIFS(SAISIE!$E$5:$E$204,SAISIE!$B$5:$B$204,"*Vent Arr./Av.*",SAISIE!$F$5:$F$204,$F$29)),"-"))</f>
        <v/>
      </c>
      <c r="E37" s="7">
        <f>IF($F$29="","",IF(OR(D37="",D37="-"),"",IF(D37&gt;0,"(soulevement)",IF(D37&lt;0,"(compression)","-"))))</f>
        <v/>
      </c>
      <c r="I37" s="6">
        <f>IF(OR($M$29="",NOT(COUNTIFS(SAISIE!$J$5:$J$204,"*Vent Arr./Av.*",SAISIE!$M$5:$M$204,$M$29)&gt;0)),"","Vent Arr./Av.")</f>
        <v/>
      </c>
      <c r="J37" s="7">
        <f>IF(OR($M$29="",NOT(COUNTIFS(SAISIE!$J$5:$J$204,"*Vent Arr./Av.*",SAISIE!$M$5:$M$204,$M$29)&gt;0)),"",IFERROR(IF(MINIFS(SAISIE!$L$5:$L$204,SAISIE!$J$5:$J$204,"*Vent Arr./Av.*",SAISIE!$M$5:$M$204,$M$29)&gt;=0,MAXIFS(SAISIE!$K$5:$K$204,SAISIE!$J$5:$J$204,"*Vent Arr./Av.*",SAISIE!$M$5:$M$204,$M$29),INDEX(SAISIE!$K$5:$K$204,MATCH(MINIFS(SAISIE!$L$5:$L$204,SAISIE!$J$5:$J$204,"*Vent Arr./Av.*",SAISIE!$M$5:$M$204,$M$29),SAISIE!$L$5:$L$204,0))),"-"))</f>
        <v/>
      </c>
      <c r="K37" s="7">
        <f>IF(OR($M$29="",NOT(COUNTIFS(SAISIE!$J$5:$J$204,"*Vent Arr./Av.*",SAISIE!$M$5:$M$204,$M$29)&gt;0)),"",IFERROR(IF(MINIFS(SAISIE!$L$5:$L$204,SAISIE!$J$5:$J$204,"*Vent Arr./Av.*",SAISIE!$M$5:$M$204,$M$29)&gt;=0,0,MINIFS(SAISIE!$L$5:$L$204,SAISIE!$J$5:$J$204,"*Vent Arr./Av.*",SAISIE!$M$5:$M$204,$M$29)),"-"))</f>
        <v/>
      </c>
      <c r="L37" s="7">
        <f>IF($M$29="","",IF(OR(K37="",K37="-"),"",IF(K37&gt;0,"(soulevement)",IF(K37&lt;0,"(compression)","-"))))</f>
        <v/>
      </c>
    </row>
    <row r="38">
      <c r="A38" s="6">
        <f>IF(OR($F$29="",NOT(MAXIFS(SAISIE!$E$5:$E$204,SAISIE!$B$5:$B$204,"*Vent Arr./Av.*",SAISIE!$F$5:$F$204,$F$29)&gt;0)),"","Vent Arr./Av.")</f>
        <v/>
      </c>
      <c r="B38" s="7">
        <f>IF(OR($F$29="",NOT(MAXIFS(SAISIE!$E$5:$E$204,SAISIE!$B$5:$B$204,"*Vent Arr./Av.*",SAISIE!$F$5:$F$204,$F$29)&gt;0)),"",IFERROR(INDEX(SAISIE!$C$5:$C$204,MATCH(MAXIFS(SAISIE!$E$5:$E$204,SAISIE!$B$5:$B$204,"*Vent Arr./Av.*",SAISIE!$F$5:$F$204,$F$29),SAISIE!$E$5:$E$204,0)),"-"))</f>
        <v/>
      </c>
      <c r="C38" s="7">
        <f>IF(OR($F$29="",NOT(MAXIFS(SAISIE!$E$5:$E$204,SAISIE!$B$5:$B$204,"*Vent Arr./Av.*",SAISIE!$F$5:$F$204,$F$29)&gt;0)),"",IFERROR(INDEX(SAISIE!$D$5:$D$204,MATCH(MAXIFS(SAISIE!$E$5:$E$204,SAISIE!$B$5:$B$204,"*Vent Arr./Av.*",SAISIE!$F$5:$F$204,$F$29),SAISIE!$E$5:$E$204,0)),"-"))</f>
        <v/>
      </c>
      <c r="D38" s="7">
        <f>IF(OR($F$29="",NOT(MAXIFS(SAISIE!$E$5:$E$204,SAISIE!$B$5:$B$204,"*Vent Arr./Av.*",SAISIE!$F$5:$F$204,$F$29)&gt;0)),"",IFERROR(MAXIFS(SAISIE!$E$5:$E$204,SAISIE!$B$5:$B$204,"*Vent Arr./Av.*",SAISIE!$F$5:$F$204,$F$29),"-"))</f>
        <v/>
      </c>
      <c r="E38" s="7">
        <f>IF($F$29="","",IF(OR(D38="",D38="-"),"",IF(D38&gt;0,"(soulevement)",IF(D38&lt;0,"(compression)","-"))))</f>
        <v/>
      </c>
      <c r="I38" s="6">
        <f>IF(OR($M$29="",NOT(MAXIFS(SAISIE!$L$5:$L$204,SAISIE!$J$5:$J$204,"*Vent Arr./Av.*",SAISIE!$M$5:$M$204,$M$29)&gt;0)),"","Vent Arr./Av.")</f>
        <v/>
      </c>
      <c r="J38" s="7">
        <f>IF(OR($M$29="",NOT(MAXIFS(SAISIE!$L$5:$L$204,SAISIE!$J$5:$J$204,"*Vent Arr./Av.*",SAISIE!$M$5:$M$204,$M$29)&gt;0)),"",IFERROR(INDEX(SAISIE!$K$5:$K$204,MATCH(MAXIFS(SAISIE!$L$5:$L$204,SAISIE!$J$5:$J$204,"*Vent Arr./Av.*",SAISIE!$M$5:$M$204,$M$29),SAISIE!$L$5:$L$204,0)),"-"))</f>
        <v/>
      </c>
      <c r="K38" s="7">
        <f>IF(OR($M$29="",NOT(MAXIFS(SAISIE!$L$5:$L$204,SAISIE!$J$5:$J$204,"*Vent Arr./Av.*",SAISIE!$M$5:$M$204,$M$29)&gt;0)),"",IFERROR(MAXIFS(SAISIE!$L$5:$L$204,SAISIE!$J$5:$J$204,"*Vent Arr./Av.*",SAISIE!$M$5:$M$204,$M$29),"-"))</f>
        <v/>
      </c>
      <c r="L38" s="7">
        <f>IF($M$29="","",IF(OR(K38="",K38="-"),"",IF(K38&gt;0,"(soulevement)",IF(K38&lt;0,"(compression)","-"))))</f>
        <v/>
      </c>
    </row>
    <row r="39">
      <c r="A39" s="6">
        <f>IF(OR($F$29="",NOT(TRUE)),"","Neige normale")</f>
        <v/>
      </c>
      <c r="B39" s="7">
        <f>IF($F$29="","",IFERROR(INDEX(SAISIE!$C$5:$C$204,MATCH(MINIFS(SAISIE!$E$5:$E$204,SAISIE!$B$5:$B$204,"*Neige*",SAISIE!$B$5:$B$204,"&lt;&gt;*accidentel*",SAISIE!$F$5:$F$204,$F$29),SAISIE!$E$5:$E$204,0)),"-"))</f>
        <v/>
      </c>
      <c r="C39" s="7">
        <f>IF($F$29="","",IFERROR(INDEX(SAISIE!$D$5:$D$204,MATCH(MINIFS(SAISIE!$E$5:$E$204,SAISIE!$B$5:$B$204,"*Neige*",SAISIE!$B$5:$B$204,"&lt;&gt;*accidentel*",SAISIE!$F$5:$F$204,$F$29),SAISIE!$E$5:$E$204,0)),"-"))</f>
        <v/>
      </c>
      <c r="D39" s="7">
        <f>IF($F$29="","",IFERROR(INDEX(SAISIE!$E$5:$E$204,MATCH(MINIFS(SAISIE!$E$5:$E$204,SAISIE!$B$5:$B$204,"*Neige*",SAISIE!$B$5:$B$204,"&lt;&gt;*accidentel*",SAISIE!$F$5:$F$204,$F$29),SAISIE!$E$5:$E$204,0)),"-"))</f>
        <v/>
      </c>
      <c r="E39" s="7">
        <f>IF($F$29="","",IF(OR(D39="",D39="-"),"",IF(D39&gt;0,"(soulevement)",IF(D39&lt;0,"(compression)","-"))))</f>
        <v/>
      </c>
      <c r="I39" s="6">
        <f>IF(OR($M$29="",NOT(TRUE)),"","Neige normale")</f>
        <v/>
      </c>
      <c r="J39" s="7">
        <f>IF($M$29="","",IFERROR(INDEX(SAISIE!$K$5:$K$204,MATCH(MINIFS(SAISIE!$L$5:$L$204,SAISIE!$J$5:$J$204,"*Neige*",SAISIE!$J$5:$J$204,"&lt;&gt;*accidentel*",SAISIE!$M$5:$M$204,$M$29),SAISIE!$L$5:$L$204,0)),"-"))</f>
        <v/>
      </c>
      <c r="K39" s="7">
        <f>IF($M$29="","",IFERROR(INDEX(SAISIE!$L$5:$L$204,MATCH(MINIFS(SAISIE!$L$5:$L$204,SAISIE!$J$5:$J$204,"*Neige*",SAISIE!$J$5:$J$204,"&lt;&gt;*accidentel*",SAISIE!$M$5:$M$204,$M$29),SAISIE!$L$5:$L$204,0)),"-"))</f>
        <v/>
      </c>
      <c r="L39" s="7">
        <f>IF($M$29="","",IF(OR(K39="",K39="-"),"",IF(K39&gt;0,"(soulevement)",IF(K39&lt;0,"(compression)","-"))))</f>
        <v/>
      </c>
    </row>
    <row r="40">
      <c r="A40" s="6">
        <f>IF(OR($F$29="",NOT(TRUE)),"","Neige accidentelle")</f>
        <v/>
      </c>
      <c r="B40" s="7">
        <f>IF($F$29="","",IFERROR(LOOKUP(2,1/((SAISIE!$F$5:$F$204=$F$29)*(ISNUMBER(SEARCH("accidentel",SAISIE!$B$5:$B$204)))),SAISIE!$C$5:$C$204),"-"))</f>
        <v/>
      </c>
      <c r="C40" s="7">
        <f>IF($F$29="","",IFERROR(LOOKUP(2,1/((SAISIE!$F$5:$F$204=$F$29)*(ISNUMBER(SEARCH("accidentel",SAISIE!$B$5:$B$204)))),SAISIE!$D$5:$D$204),"-"))</f>
        <v/>
      </c>
      <c r="D40" s="7">
        <f>IF($F$29="","",IFERROR(LOOKUP(2,1/((SAISIE!$F$5:$F$204=$F$29)*(ISNUMBER(SEARCH("accidentel",SAISIE!$B$5:$B$204)))),SAISIE!$E$5:$E$204),"-"))</f>
        <v/>
      </c>
      <c r="E40" s="7">
        <f>IF($F$29="","",IF(OR(D40="",D40="-"),"",IF(D40&gt;0,"(soulevement)",IF(D40&lt;0,"(compression)","-"))))</f>
        <v/>
      </c>
      <c r="I40" s="6">
        <f>IF(OR($M$29="",NOT(TRUE)),"","Neige accidentelle")</f>
        <v/>
      </c>
      <c r="J40" s="7">
        <f>IF($M$29="","",IFERROR(LOOKUP(2,1/((SAISIE!$M$5:$M$204=$M$29)*(ISNUMBER(SEARCH("accidentel",SAISIE!$J$5:$J$204)))),SAISIE!$K$5:$K$204),"-"))</f>
        <v/>
      </c>
      <c r="K40" s="7">
        <f>IF($M$29="","",IFERROR(LOOKUP(2,1/((SAISIE!$M$5:$M$204=$M$29)*(ISNUMBER(SEARCH("accidentel",SAISIE!$J$5:$J$204)))),SAISIE!$L$5:$L$204),"-"))</f>
        <v/>
      </c>
      <c r="L40" s="7">
        <f>IF($M$29="","",IF(OR(K40="",K40="-"),"",IF(K40&gt;0,"(soulevement)",IF(K40&lt;0,"(compression)","-"))))</f>
        <v/>
      </c>
    </row>
    <row r="41">
      <c r="A41" s="5">
        <f>IF($F$41="","","Noeud "&amp;$F$41)</f>
        <v/>
      </c>
      <c r="B41" s="5" t="n"/>
      <c r="C41" s="5" t="n"/>
      <c r="D41" s="5" t="n"/>
      <c r="E41" s="5" t="n"/>
      <c r="F41">
        <f>IFERROR(INDEX(SAISIE!$F$5:$F$204,AGGREGATE(15,6,ROW(SAISIE!$F$5:$F$204)-ROW(SAISIE!$F$5)+1/(SAISIE!$F$5:$F$204&lt;&gt;"")/(COUNTIF($F$4:F40,SAISIE!$F$5:$F$204)=0),1)),"")</f>
        <v/>
      </c>
      <c r="I41" s="5">
        <f>IF($M$41="","","Noeud "&amp;$M$41)</f>
        <v/>
      </c>
      <c r="J41" s="5" t="n"/>
      <c r="K41" s="5" t="n"/>
      <c r="L41" s="5" t="n"/>
      <c r="M41">
        <f>IFERROR(INDEX(SAISIE!$M$5:$M$204,AGGREGATE(15,6,ROW(SAISIE!$M$5:$M$204)-ROW(SAISIE!$M$5)+1/(SAISIE!$M$5:$M$204&lt;&gt;"")/(COUNTIF($M$4:M40,SAISIE!$M$5:$M$204)=0),1)),"")</f>
        <v/>
      </c>
    </row>
    <row r="42">
      <c r="A42" s="6">
        <f>IF(OR($F$41="",NOT(TRUE)),"","Couverture")</f>
        <v/>
      </c>
      <c r="B42" s="7">
        <f>IF($F$41="","",IFERROR(IFERROR(LOOKUP(2,1/((SAISIE!$F$5:$F$204=$F$41)*(LEFT(SAISIE!$B$5:$B$204,2)="G ")),SAISIE!$C$5:$C$204),LOOKUP(2,1/((SAISIE!$F$5:$F$204=$F$41)*(ISNUMBER(SEARCH("Couverture",SAISIE!$B$5:$B$204)))),SAISIE!$C$5:$C$204)),"-"))</f>
        <v/>
      </c>
      <c r="C42" s="7">
        <f>IF($F$41="","",IFERROR(IFERROR(LOOKUP(2,1/((SAISIE!$F$5:$F$204=$F$41)*(LEFT(SAISIE!$B$5:$B$204,2)="G ")),SAISIE!$D$5:$D$204),LOOKUP(2,1/((SAISIE!$F$5:$F$204=$F$41)*(ISNUMBER(SEARCH("Couverture",SAISIE!$B$5:$B$204)))),SAISIE!$D$5:$D$204)),"-"))</f>
        <v/>
      </c>
      <c r="D42" s="7">
        <f>IF($F$41="","",IFERROR(IFERROR(LOOKUP(2,1/((SAISIE!$F$5:$F$204=$F$41)*(LEFT(SAISIE!$B$5:$B$204,2)="G ")),SAISIE!$E$5:$E$204),LOOKUP(2,1/((SAISIE!$F$5:$F$204=$F$41)*(ISNUMBER(SEARCH("Couverture",SAISIE!$B$5:$B$204)))),SAISIE!$E$5:$E$204)),"-"))</f>
        <v/>
      </c>
      <c r="E42" s="7">
        <f>IF($F$41="","",IF(OR(D42="",D42="-"),"",IF(D42&gt;0,"(soulevement)",IF(D42&lt;0,"(compression)","-"))))</f>
        <v/>
      </c>
      <c r="I42" s="6">
        <f>IF(OR($M$41="",NOT(TRUE)),"","Couverture")</f>
        <v/>
      </c>
      <c r="J42" s="7">
        <f>IF($M$41="","",IFERROR(IFERROR(LOOKUP(2,1/((SAISIE!$M$5:$M$204=$M$41)*(LEFT(SAISIE!$J$5:$J$204,2)="G ")),SAISIE!$K$5:$K$204),LOOKUP(2,1/((SAISIE!$M$5:$M$204=$M$41)*(ISNUMBER(SEARCH("Couverture",SAISIE!$J$5:$J$204)))),SAISIE!$K$5:$K$204)),"-"))</f>
        <v/>
      </c>
      <c r="K42" s="7">
        <f>IF($M$41="","",IFERROR(IFERROR(LOOKUP(2,1/((SAISIE!$M$5:$M$204=$M$41)*(LEFT(SAISIE!$J$5:$J$204,2)="G ")),SAISIE!$L$5:$L$204),LOOKUP(2,1/((SAISIE!$M$5:$M$204=$M$41)*(ISNUMBER(SEARCH("Couverture",SAISIE!$J$5:$J$204)))),SAISIE!$L$5:$L$204)),"-"))</f>
        <v/>
      </c>
      <c r="L42" s="7">
        <f>IF($M$41="","",IF(OR(K42="",K42="-"),"",IF(K42&gt;0,"(soulevement)",IF(K42&lt;0,"(compression)","-"))))</f>
        <v/>
      </c>
    </row>
    <row r="43">
      <c r="A43" s="6">
        <f>IF(OR($F$41="",NOT(COUNTIFS(SAISIE!$B$5:$B$204,"*Vent G/D*",SAISIE!$F$5:$F$204,$F$41)&gt;0)),"","Vent G/D")</f>
        <v/>
      </c>
      <c r="B43" s="7">
        <f>IF(OR($F$41="",NOT(COUNTIFS(SAISIE!$B$5:$B$204,"*Vent G/D*",SAISIE!$F$5:$F$204,$F$41)&gt;0)),"",IFERROR(IF(MINIFS(SAISIE!$E$5:$E$204,SAISIE!$B$5:$B$204,"*Vent G/D*",SAISIE!$F$5:$F$204,$F$41)&gt;=0,MAXIFS(SAISIE!$C$5:$C$204,SAISIE!$B$5:$B$204,"*Vent G/D*",SAISIE!$F$5:$F$204,$F$41),INDEX(SAISIE!$C$5:$C$204,MATCH(MINIFS(SAISIE!$E$5:$E$204,SAISIE!$B$5:$B$204,"*Vent G/D*",SAISIE!$F$5:$F$204,$F$41),SAISIE!$E$5:$E$204,0))),"-"))</f>
        <v/>
      </c>
      <c r="C43" s="7">
        <f>IF(OR($F$41="",NOT(COUNTIFS(SAISIE!$B$5:$B$204,"*Vent G/D*",SAISIE!$F$5:$F$204,$F$41)&gt;0)),"",IFERROR(IF(MINIFS(SAISIE!$E$5:$E$204,SAISIE!$B$5:$B$204,"*Vent G/D*",SAISIE!$F$5:$F$204,$F$41)&gt;=0,INDEX(SAISIE!$D$5:$D$204,MATCH(MAXIFS(SAISIE!$C$5:$C$204,SAISIE!$B$5:$B$204,"*Vent G/D*",SAISIE!$F$5:$F$204,$F$41),SAISIE!$C$5:$C$204,0)),INDEX(SAISIE!$D$5:$D$204,MATCH(MINIFS(SAISIE!$E$5:$E$204,SAISIE!$B$5:$B$204,"*Vent G/D*",SAISIE!$F$5:$F$204,$F$41),SAISIE!$E$5:$E$204,0))),"-"))</f>
        <v/>
      </c>
      <c r="D43" s="7">
        <f>IF(OR($F$41="",NOT(COUNTIFS(SAISIE!$B$5:$B$204,"*Vent G/D*",SAISIE!$F$5:$F$204,$F$41)&gt;0)),"",IFERROR(IF(MINIFS(SAISIE!$E$5:$E$204,SAISIE!$B$5:$B$204,"*Vent G/D*",SAISIE!$F$5:$F$204,$F$41)&gt;=0,0,MINIFS(SAISIE!$E$5:$E$204,SAISIE!$B$5:$B$204,"*Vent G/D*",SAISIE!$F$5:$F$204,$F$41)),"-"))</f>
        <v/>
      </c>
      <c r="E43" s="7">
        <f>IF($F$41="","",IF(OR(D43="",D43="-"),"",IF(D43&gt;0,"(soulevement)",IF(D43&lt;0,"(compression)","-"))))</f>
        <v/>
      </c>
      <c r="I43" s="6">
        <f>IF(OR($M$41="",NOT(COUNTIFS(SAISIE!$J$5:$J$204,"*Vent G/D*",SAISIE!$M$5:$M$204,$M$41)&gt;0)),"","Vent G/D")</f>
        <v/>
      </c>
      <c r="J43" s="7">
        <f>IF(OR($M$41="",NOT(COUNTIFS(SAISIE!$J$5:$J$204,"*Vent G/D*",SAISIE!$M$5:$M$204,$M$41)&gt;0)),"",IFERROR(IF(MINIFS(SAISIE!$L$5:$L$204,SAISIE!$J$5:$J$204,"*Vent G/D*",SAISIE!$M$5:$M$204,$M$41)&gt;=0,MAXIFS(SAISIE!$K$5:$K$204,SAISIE!$J$5:$J$204,"*Vent G/D*",SAISIE!$M$5:$M$204,$M$41),INDEX(SAISIE!$K$5:$K$204,MATCH(MINIFS(SAISIE!$L$5:$L$204,SAISIE!$J$5:$J$204,"*Vent G/D*",SAISIE!$M$5:$M$204,$M$41),SAISIE!$L$5:$L$204,0))),"-"))</f>
        <v/>
      </c>
      <c r="K43" s="7">
        <f>IF(OR($M$41="",NOT(COUNTIFS(SAISIE!$J$5:$J$204,"*Vent G/D*",SAISIE!$M$5:$M$204,$M$41)&gt;0)),"",IFERROR(IF(MINIFS(SAISIE!$L$5:$L$204,SAISIE!$J$5:$J$204,"*Vent G/D*",SAISIE!$M$5:$M$204,$M$41)&gt;=0,0,MINIFS(SAISIE!$L$5:$L$204,SAISIE!$J$5:$J$204,"*Vent G/D*",SAISIE!$M$5:$M$204,$M$41)),"-"))</f>
        <v/>
      </c>
      <c r="L43" s="7">
        <f>IF($M$41="","",IF(OR(K43="",K43="-"),"",IF(K43&gt;0,"(soulevement)",IF(K43&lt;0,"(compression)","-"))))</f>
        <v/>
      </c>
    </row>
    <row r="44">
      <c r="A44" s="6">
        <f>IF(OR($F$41="",NOT(MAXIFS(SAISIE!$E$5:$E$204,SAISIE!$B$5:$B$204,"*Vent G/D*",SAISIE!$F$5:$F$204,$F$41)&gt;0)),"","Vent G/D")</f>
        <v/>
      </c>
      <c r="B44" s="7">
        <f>IF(OR($F$41="",NOT(MAXIFS(SAISIE!$E$5:$E$204,SAISIE!$B$5:$B$204,"*Vent G/D*",SAISIE!$F$5:$F$204,$F$41)&gt;0)),"",IFERROR(INDEX(SAISIE!$C$5:$C$204,MATCH(MAXIFS(SAISIE!$E$5:$E$204,SAISIE!$B$5:$B$204,"*Vent G/D*",SAISIE!$F$5:$F$204,$F$41),SAISIE!$E$5:$E$204,0)),"-"))</f>
        <v/>
      </c>
      <c r="C44" s="7">
        <f>IF(OR($F$41="",NOT(MAXIFS(SAISIE!$E$5:$E$204,SAISIE!$B$5:$B$204,"*Vent G/D*",SAISIE!$F$5:$F$204,$F$41)&gt;0)),"",IFERROR(INDEX(SAISIE!$D$5:$D$204,MATCH(MAXIFS(SAISIE!$E$5:$E$204,SAISIE!$B$5:$B$204,"*Vent G/D*",SAISIE!$F$5:$F$204,$F$41),SAISIE!$E$5:$E$204,0)),"-"))</f>
        <v/>
      </c>
      <c r="D44" s="7">
        <f>IF(OR($F$41="",NOT(MAXIFS(SAISIE!$E$5:$E$204,SAISIE!$B$5:$B$204,"*Vent G/D*",SAISIE!$F$5:$F$204,$F$41)&gt;0)),"",IFERROR(MAXIFS(SAISIE!$E$5:$E$204,SAISIE!$B$5:$B$204,"*Vent G/D*",SAISIE!$F$5:$F$204,$F$41),"-"))</f>
        <v/>
      </c>
      <c r="E44" s="7">
        <f>IF($F$41="","",IF(OR(D44="",D44="-"),"",IF(D44&gt;0,"(soulevement)",IF(D44&lt;0,"(compression)","-"))))</f>
        <v/>
      </c>
      <c r="I44" s="6">
        <f>IF(OR($M$41="",NOT(MAXIFS(SAISIE!$L$5:$L$204,SAISIE!$J$5:$J$204,"*Vent G/D*",SAISIE!$M$5:$M$204,$M$41)&gt;0)),"","Vent G/D")</f>
        <v/>
      </c>
      <c r="J44" s="7">
        <f>IF(OR($M$41="",NOT(MAXIFS(SAISIE!$L$5:$L$204,SAISIE!$J$5:$J$204,"*Vent G/D*",SAISIE!$M$5:$M$204,$M$41)&gt;0)),"",IFERROR(INDEX(SAISIE!$K$5:$K$204,MATCH(MAXIFS(SAISIE!$L$5:$L$204,SAISIE!$J$5:$J$204,"*Vent G/D*",SAISIE!$M$5:$M$204,$M$41),SAISIE!$L$5:$L$204,0)),"-"))</f>
        <v/>
      </c>
      <c r="K44" s="7">
        <f>IF(OR($M$41="",NOT(MAXIFS(SAISIE!$L$5:$L$204,SAISIE!$J$5:$J$204,"*Vent G/D*",SAISIE!$M$5:$M$204,$M$41)&gt;0)),"",IFERROR(MAXIFS(SAISIE!$L$5:$L$204,SAISIE!$J$5:$J$204,"*Vent G/D*",SAISIE!$M$5:$M$204,$M$41),"-"))</f>
        <v/>
      </c>
      <c r="L44" s="7">
        <f>IF($M$41="","",IF(OR(K44="",K44="-"),"",IF(K44&gt;0,"(soulevement)",IF(K44&lt;0,"(compression)","-"))))</f>
        <v/>
      </c>
    </row>
    <row r="45">
      <c r="A45" s="6">
        <f>IF(OR($F$41="",NOT(COUNTIFS(SAISIE!$B$5:$B$204,"*Vent D/G*",SAISIE!$F$5:$F$204,$F$41)&gt;0)),"","Vent D/G")</f>
        <v/>
      </c>
      <c r="B45" s="7">
        <f>IF(OR($F$41="",NOT(COUNTIFS(SAISIE!$B$5:$B$204,"*Vent D/G*",SAISIE!$F$5:$F$204,$F$41)&gt;0)),"",IFERROR(IF(MINIFS(SAISIE!$E$5:$E$204,SAISIE!$B$5:$B$204,"*Vent D/G*",SAISIE!$F$5:$F$204,$F$41)&gt;=0,MAXIFS(SAISIE!$C$5:$C$204,SAISIE!$B$5:$B$204,"*Vent D/G*",SAISIE!$F$5:$F$204,$F$41),INDEX(SAISIE!$C$5:$C$204,MATCH(MINIFS(SAISIE!$E$5:$E$204,SAISIE!$B$5:$B$204,"*Vent D/G*",SAISIE!$F$5:$F$204,$F$41),SAISIE!$E$5:$E$204,0))),"-"))</f>
        <v/>
      </c>
      <c r="C45" s="7">
        <f>IF(OR($F$41="",NOT(COUNTIFS(SAISIE!$B$5:$B$204,"*Vent D/G*",SAISIE!$F$5:$F$204,$F$41)&gt;0)),"",IFERROR(IF(MINIFS(SAISIE!$E$5:$E$204,SAISIE!$B$5:$B$204,"*Vent D/G*",SAISIE!$F$5:$F$204,$F$41)&gt;=0,INDEX(SAISIE!$D$5:$D$204,MATCH(MAXIFS(SAISIE!$C$5:$C$204,SAISIE!$B$5:$B$204,"*Vent D/G*",SAISIE!$F$5:$F$204,$F$41),SAISIE!$C$5:$C$204,0)),INDEX(SAISIE!$D$5:$D$204,MATCH(MINIFS(SAISIE!$E$5:$E$204,SAISIE!$B$5:$B$204,"*Vent D/G*",SAISIE!$F$5:$F$204,$F$41),SAISIE!$E$5:$E$204,0))),"-"))</f>
        <v/>
      </c>
      <c r="D45" s="7">
        <f>IF(OR($F$41="",NOT(COUNTIFS(SAISIE!$B$5:$B$204,"*Vent D/G*",SAISIE!$F$5:$F$204,$F$41)&gt;0)),"",IFERROR(IF(MINIFS(SAISIE!$E$5:$E$204,SAISIE!$B$5:$B$204,"*Vent D/G*",SAISIE!$F$5:$F$204,$F$41)&gt;=0,0,MINIFS(SAISIE!$E$5:$E$204,SAISIE!$B$5:$B$204,"*Vent D/G*",SAISIE!$F$5:$F$204,$F$41)),"-"))</f>
        <v/>
      </c>
      <c r="E45" s="7">
        <f>IF($F$41="","",IF(OR(D45="",D45="-"),"",IF(D45&gt;0,"(soulevement)",IF(D45&lt;0,"(compression)","-"))))</f>
        <v/>
      </c>
      <c r="I45" s="6">
        <f>IF(OR($M$41="",NOT(COUNTIFS(SAISIE!$J$5:$J$204,"*Vent D/G*",SAISIE!$M$5:$M$204,$M$41)&gt;0)),"","Vent D/G")</f>
        <v/>
      </c>
      <c r="J45" s="7">
        <f>IF(OR($M$41="",NOT(COUNTIFS(SAISIE!$J$5:$J$204,"*Vent D/G*",SAISIE!$M$5:$M$204,$M$41)&gt;0)),"",IFERROR(IF(MINIFS(SAISIE!$L$5:$L$204,SAISIE!$J$5:$J$204,"*Vent D/G*",SAISIE!$M$5:$M$204,$M$41)&gt;=0,MAXIFS(SAISIE!$K$5:$K$204,SAISIE!$J$5:$J$204,"*Vent D/G*",SAISIE!$M$5:$M$204,$M$41),INDEX(SAISIE!$K$5:$K$204,MATCH(MINIFS(SAISIE!$L$5:$L$204,SAISIE!$J$5:$J$204,"*Vent D/G*",SAISIE!$M$5:$M$204,$M$41),SAISIE!$L$5:$L$204,0))),"-"))</f>
        <v/>
      </c>
      <c r="K45" s="7">
        <f>IF(OR($M$41="",NOT(COUNTIFS(SAISIE!$J$5:$J$204,"*Vent D/G*",SAISIE!$M$5:$M$204,$M$41)&gt;0)),"",IFERROR(IF(MINIFS(SAISIE!$L$5:$L$204,SAISIE!$J$5:$J$204,"*Vent D/G*",SAISIE!$M$5:$M$204,$M$41)&gt;=0,0,MINIFS(SAISIE!$L$5:$L$204,SAISIE!$J$5:$J$204,"*Vent D/G*",SAISIE!$M$5:$M$204,$M$41)),"-"))</f>
        <v/>
      </c>
      <c r="L45" s="7">
        <f>IF($M$41="","",IF(OR(K45="",K45="-"),"",IF(K45&gt;0,"(soulevement)",IF(K45&lt;0,"(compression)","-"))))</f>
        <v/>
      </c>
    </row>
    <row r="46">
      <c r="A46" s="6">
        <f>IF(OR($F$41="",NOT(MAXIFS(SAISIE!$E$5:$E$204,SAISIE!$B$5:$B$204,"*Vent D/G*",SAISIE!$F$5:$F$204,$F$41)&gt;0)),"","Vent D/G")</f>
        <v/>
      </c>
      <c r="B46" s="7">
        <f>IF(OR($F$41="",NOT(MAXIFS(SAISIE!$E$5:$E$204,SAISIE!$B$5:$B$204,"*Vent D/G*",SAISIE!$F$5:$F$204,$F$41)&gt;0)),"",IFERROR(INDEX(SAISIE!$C$5:$C$204,MATCH(MAXIFS(SAISIE!$E$5:$E$204,SAISIE!$B$5:$B$204,"*Vent D/G*",SAISIE!$F$5:$F$204,$F$41),SAISIE!$E$5:$E$204,0)),"-"))</f>
        <v/>
      </c>
      <c r="C46" s="7">
        <f>IF(OR($F$41="",NOT(MAXIFS(SAISIE!$E$5:$E$204,SAISIE!$B$5:$B$204,"*Vent D/G*",SAISIE!$F$5:$F$204,$F$41)&gt;0)),"",IFERROR(INDEX(SAISIE!$D$5:$D$204,MATCH(MAXIFS(SAISIE!$E$5:$E$204,SAISIE!$B$5:$B$204,"*Vent D/G*",SAISIE!$F$5:$F$204,$F$41),SAISIE!$E$5:$E$204,0)),"-"))</f>
        <v/>
      </c>
      <c r="D46" s="7">
        <f>IF(OR($F$41="",NOT(MAXIFS(SAISIE!$E$5:$E$204,SAISIE!$B$5:$B$204,"*Vent D/G*",SAISIE!$F$5:$F$204,$F$41)&gt;0)),"",IFERROR(MAXIFS(SAISIE!$E$5:$E$204,SAISIE!$B$5:$B$204,"*Vent D/G*",SAISIE!$F$5:$F$204,$F$41),"-"))</f>
        <v/>
      </c>
      <c r="E46" s="7">
        <f>IF($F$41="","",IF(OR(D46="",D46="-"),"",IF(D46&gt;0,"(soulevement)",IF(D46&lt;0,"(compression)","-"))))</f>
        <v/>
      </c>
      <c r="I46" s="6">
        <f>IF(OR($M$41="",NOT(MAXIFS(SAISIE!$L$5:$L$204,SAISIE!$J$5:$J$204,"*Vent D/G*",SAISIE!$M$5:$M$204,$M$41)&gt;0)),"","Vent D/G")</f>
        <v/>
      </c>
      <c r="J46" s="7">
        <f>IF(OR($M$41="",NOT(MAXIFS(SAISIE!$L$5:$L$204,SAISIE!$J$5:$J$204,"*Vent D/G*",SAISIE!$M$5:$M$204,$M$41)&gt;0)),"",IFERROR(INDEX(SAISIE!$K$5:$K$204,MATCH(MAXIFS(SAISIE!$L$5:$L$204,SAISIE!$J$5:$J$204,"*Vent D/G*",SAISIE!$M$5:$M$204,$M$41),SAISIE!$L$5:$L$204,0)),"-"))</f>
        <v/>
      </c>
      <c r="K46" s="7">
        <f>IF(OR($M$41="",NOT(MAXIFS(SAISIE!$L$5:$L$204,SAISIE!$J$5:$J$204,"*Vent D/G*",SAISIE!$M$5:$M$204,$M$41)&gt;0)),"",IFERROR(MAXIFS(SAISIE!$L$5:$L$204,SAISIE!$J$5:$J$204,"*Vent D/G*",SAISIE!$M$5:$M$204,$M$41),"-"))</f>
        <v/>
      </c>
      <c r="L46" s="7">
        <f>IF($M$41="","",IF(OR(K46="",K46="-"),"",IF(K46&gt;0,"(soulevement)",IF(K46&lt;0,"(compression)","-"))))</f>
        <v/>
      </c>
    </row>
    <row r="47">
      <c r="A47" s="6">
        <f>IF(OR($F$41="",NOT(COUNTIFS(SAISIE!$B$5:$B$204,"*Vent Av./Arr.*",SAISIE!$F$5:$F$204,$F$41)&gt;0)),"","Vent Av./Arr.")</f>
        <v/>
      </c>
      <c r="B47" s="7">
        <f>IF(OR($F$41="",NOT(COUNTIFS(SAISIE!$B$5:$B$204,"*Vent Av./Arr.*",SAISIE!$F$5:$F$204,$F$41)&gt;0)),"",IFERROR(IF(MINIFS(SAISIE!$E$5:$E$204,SAISIE!$B$5:$B$204,"*Vent Av./Arr.*",SAISIE!$F$5:$F$204,$F$41)&gt;=0,MAXIFS(SAISIE!$C$5:$C$204,SAISIE!$B$5:$B$204,"*Vent Av./Arr.*",SAISIE!$F$5:$F$204,$F$41),INDEX(SAISIE!$C$5:$C$204,MATCH(MINIFS(SAISIE!$E$5:$E$204,SAISIE!$B$5:$B$204,"*Vent Av./Arr.*",SAISIE!$F$5:$F$204,$F$41),SAISIE!$E$5:$E$204,0))),"-"))</f>
        <v/>
      </c>
      <c r="C47" s="7">
        <f>IF(OR($F$41="",NOT(COUNTIFS(SAISIE!$B$5:$B$204,"*Vent Av./Arr.*",SAISIE!$F$5:$F$204,$F$41)&gt;0)),"",IFERROR(IF(MINIFS(SAISIE!$E$5:$E$204,SAISIE!$B$5:$B$204,"*Vent Av./Arr.*",SAISIE!$F$5:$F$204,$F$41)&gt;=0,INDEX(SAISIE!$D$5:$D$204,MATCH(MAXIFS(SAISIE!$C$5:$C$204,SAISIE!$B$5:$B$204,"*Vent Av./Arr.*",SAISIE!$F$5:$F$204,$F$41),SAISIE!$C$5:$C$204,0)),INDEX(SAISIE!$D$5:$D$204,MATCH(MINIFS(SAISIE!$E$5:$E$204,SAISIE!$B$5:$B$204,"*Vent Av./Arr.*",SAISIE!$F$5:$F$204,$F$41),SAISIE!$E$5:$E$204,0))),"-"))</f>
        <v/>
      </c>
      <c r="D47" s="7">
        <f>IF(OR($F$41="",NOT(COUNTIFS(SAISIE!$B$5:$B$204,"*Vent Av./Arr.*",SAISIE!$F$5:$F$204,$F$41)&gt;0)),"",IFERROR(IF(MINIFS(SAISIE!$E$5:$E$204,SAISIE!$B$5:$B$204,"*Vent Av./Arr.*",SAISIE!$F$5:$F$204,$F$41)&gt;=0,0,MINIFS(SAISIE!$E$5:$E$204,SAISIE!$B$5:$B$204,"*Vent Av./Arr.*",SAISIE!$F$5:$F$204,$F$41)),"-"))</f>
        <v/>
      </c>
      <c r="E47" s="7">
        <f>IF($F$41="","",IF(OR(D47="",D47="-"),"",IF(D47&gt;0,"(soulevement)",IF(D47&lt;0,"(compression)","-"))))</f>
        <v/>
      </c>
      <c r="I47" s="6">
        <f>IF(OR($M$41="",NOT(COUNTIFS(SAISIE!$J$5:$J$204,"*Vent Av./Arr.*",SAISIE!$M$5:$M$204,$M$41)&gt;0)),"","Vent Av./Arr.")</f>
        <v/>
      </c>
      <c r="J47" s="7">
        <f>IF(OR($M$41="",NOT(COUNTIFS(SAISIE!$J$5:$J$204,"*Vent Av./Arr.*",SAISIE!$M$5:$M$204,$M$41)&gt;0)),"",IFERROR(IF(MINIFS(SAISIE!$L$5:$L$204,SAISIE!$J$5:$J$204,"*Vent Av./Arr.*",SAISIE!$M$5:$M$204,$M$41)&gt;=0,MAXIFS(SAISIE!$K$5:$K$204,SAISIE!$J$5:$J$204,"*Vent Av./Arr.*",SAISIE!$M$5:$M$204,$M$41),INDEX(SAISIE!$K$5:$K$204,MATCH(MINIFS(SAISIE!$L$5:$L$204,SAISIE!$J$5:$J$204,"*Vent Av./Arr.*",SAISIE!$M$5:$M$204,$M$41),SAISIE!$L$5:$L$204,0))),"-"))</f>
        <v/>
      </c>
      <c r="K47" s="7">
        <f>IF(OR($M$41="",NOT(COUNTIFS(SAISIE!$J$5:$J$204,"*Vent Av./Arr.*",SAISIE!$M$5:$M$204,$M$41)&gt;0)),"",IFERROR(IF(MINIFS(SAISIE!$L$5:$L$204,SAISIE!$J$5:$J$204,"*Vent Av./Arr.*",SAISIE!$M$5:$M$204,$M$41)&gt;=0,0,MINIFS(SAISIE!$L$5:$L$204,SAISIE!$J$5:$J$204,"*Vent Av./Arr.*",SAISIE!$M$5:$M$204,$M$41)),"-"))</f>
        <v/>
      </c>
      <c r="L47" s="7">
        <f>IF($M$41="","",IF(OR(K47="",K47="-"),"",IF(K47&gt;0,"(soulevement)",IF(K47&lt;0,"(compression)","-"))))</f>
        <v/>
      </c>
    </row>
    <row r="48">
      <c r="A48" s="6">
        <f>IF(OR($F$41="",NOT(MAXIFS(SAISIE!$E$5:$E$204,SAISIE!$B$5:$B$204,"*Vent Av./Arr.*",SAISIE!$F$5:$F$204,$F$41)&gt;0)),"","Vent Av./Arr.")</f>
        <v/>
      </c>
      <c r="B48" s="7">
        <f>IF(OR($F$41="",NOT(MAXIFS(SAISIE!$E$5:$E$204,SAISIE!$B$5:$B$204,"*Vent Av./Arr.*",SAISIE!$F$5:$F$204,$F$41)&gt;0)),"",IFERROR(INDEX(SAISIE!$C$5:$C$204,MATCH(MAXIFS(SAISIE!$E$5:$E$204,SAISIE!$B$5:$B$204,"*Vent Av./Arr.*",SAISIE!$F$5:$F$204,$F$41),SAISIE!$E$5:$E$204,0)),"-"))</f>
        <v/>
      </c>
      <c r="C48" s="7">
        <f>IF(OR($F$41="",NOT(MAXIFS(SAISIE!$E$5:$E$204,SAISIE!$B$5:$B$204,"*Vent Av./Arr.*",SAISIE!$F$5:$F$204,$F$41)&gt;0)),"",IFERROR(INDEX(SAISIE!$D$5:$D$204,MATCH(MAXIFS(SAISIE!$E$5:$E$204,SAISIE!$B$5:$B$204,"*Vent Av./Arr.*",SAISIE!$F$5:$F$204,$F$41),SAISIE!$E$5:$E$204,0)),"-"))</f>
        <v/>
      </c>
      <c r="D48" s="7">
        <f>IF(OR($F$41="",NOT(MAXIFS(SAISIE!$E$5:$E$204,SAISIE!$B$5:$B$204,"*Vent Av./Arr.*",SAISIE!$F$5:$F$204,$F$41)&gt;0)),"",IFERROR(MAXIFS(SAISIE!$E$5:$E$204,SAISIE!$B$5:$B$204,"*Vent Av./Arr.*",SAISIE!$F$5:$F$204,$F$41),"-"))</f>
        <v/>
      </c>
      <c r="E48" s="7">
        <f>IF($F$41="","",IF(OR(D48="",D48="-"),"",IF(D48&gt;0,"(soulevement)",IF(D48&lt;0,"(compression)","-"))))</f>
        <v/>
      </c>
      <c r="I48" s="6">
        <f>IF(OR($M$41="",NOT(MAXIFS(SAISIE!$L$5:$L$204,SAISIE!$J$5:$J$204,"*Vent Av./Arr.*",SAISIE!$M$5:$M$204,$M$41)&gt;0)),"","Vent Av./Arr.")</f>
        <v/>
      </c>
      <c r="J48" s="7">
        <f>IF(OR($M$41="",NOT(MAXIFS(SAISIE!$L$5:$L$204,SAISIE!$J$5:$J$204,"*Vent Av./Arr.*",SAISIE!$M$5:$M$204,$M$41)&gt;0)),"",IFERROR(INDEX(SAISIE!$K$5:$K$204,MATCH(MAXIFS(SAISIE!$L$5:$L$204,SAISIE!$J$5:$J$204,"*Vent Av./Arr.*",SAISIE!$M$5:$M$204,$M$41),SAISIE!$L$5:$L$204,0)),"-"))</f>
        <v/>
      </c>
      <c r="K48" s="7">
        <f>IF(OR($M$41="",NOT(MAXIFS(SAISIE!$L$5:$L$204,SAISIE!$J$5:$J$204,"*Vent Av./Arr.*",SAISIE!$M$5:$M$204,$M$41)&gt;0)),"",IFERROR(MAXIFS(SAISIE!$L$5:$L$204,SAISIE!$J$5:$J$204,"*Vent Av./Arr.*",SAISIE!$M$5:$M$204,$M$41),"-"))</f>
        <v/>
      </c>
      <c r="L48" s="7">
        <f>IF($M$41="","",IF(OR(K48="",K48="-"),"",IF(K48&gt;0,"(soulevement)",IF(K48&lt;0,"(compression)","-"))))</f>
        <v/>
      </c>
    </row>
    <row r="49">
      <c r="A49" s="6">
        <f>IF(OR($F$41="",NOT(COUNTIFS(SAISIE!$B$5:$B$204,"*Vent Arr./Av.*",SAISIE!$F$5:$F$204,$F$41)&gt;0)),"","Vent Arr./Av.")</f>
        <v/>
      </c>
      <c r="B49" s="7">
        <f>IF(OR($F$41="",NOT(COUNTIFS(SAISIE!$B$5:$B$204,"*Vent Arr./Av.*",SAISIE!$F$5:$F$204,$F$41)&gt;0)),"",IFERROR(IF(MINIFS(SAISIE!$E$5:$E$204,SAISIE!$B$5:$B$204,"*Vent Arr./Av.*",SAISIE!$F$5:$F$204,$F$41)&gt;=0,MAXIFS(SAISIE!$C$5:$C$204,SAISIE!$B$5:$B$204,"*Vent Arr./Av.*",SAISIE!$F$5:$F$204,$F$41),INDEX(SAISIE!$C$5:$C$204,MATCH(MINIFS(SAISIE!$E$5:$E$204,SAISIE!$B$5:$B$204,"*Vent Arr./Av.*",SAISIE!$F$5:$F$204,$F$41),SAISIE!$E$5:$E$204,0))),"-"))</f>
        <v/>
      </c>
      <c r="C49" s="7">
        <f>IF(OR($F$41="",NOT(COUNTIFS(SAISIE!$B$5:$B$204,"*Vent Arr./Av.*",SAISIE!$F$5:$F$204,$F$41)&gt;0)),"",IFERROR(IF(MINIFS(SAISIE!$E$5:$E$204,SAISIE!$B$5:$B$204,"*Vent Arr./Av.*",SAISIE!$F$5:$F$204,$F$41)&gt;=0,INDEX(SAISIE!$D$5:$D$204,MATCH(MAXIFS(SAISIE!$C$5:$C$204,SAISIE!$B$5:$B$204,"*Vent Arr./Av.*",SAISIE!$F$5:$F$204,$F$41),SAISIE!$C$5:$C$204,0)),INDEX(SAISIE!$D$5:$D$204,MATCH(MINIFS(SAISIE!$E$5:$E$204,SAISIE!$B$5:$B$204,"*Vent Arr./Av.*",SAISIE!$F$5:$F$204,$F$41),SAISIE!$E$5:$E$204,0))),"-"))</f>
        <v/>
      </c>
      <c r="D49" s="7">
        <f>IF(OR($F$41="",NOT(COUNTIFS(SAISIE!$B$5:$B$204,"*Vent Arr./Av.*",SAISIE!$F$5:$F$204,$F$41)&gt;0)),"",IFERROR(IF(MINIFS(SAISIE!$E$5:$E$204,SAISIE!$B$5:$B$204,"*Vent Arr./Av.*",SAISIE!$F$5:$F$204,$F$41)&gt;=0,0,MINIFS(SAISIE!$E$5:$E$204,SAISIE!$B$5:$B$204,"*Vent Arr./Av.*",SAISIE!$F$5:$F$204,$F$41)),"-"))</f>
        <v/>
      </c>
      <c r="E49" s="7">
        <f>IF($F$41="","",IF(OR(D49="",D49="-"),"",IF(D49&gt;0,"(soulevement)",IF(D49&lt;0,"(compression)","-"))))</f>
        <v/>
      </c>
      <c r="I49" s="6">
        <f>IF(OR($M$41="",NOT(COUNTIFS(SAISIE!$J$5:$J$204,"*Vent Arr./Av.*",SAISIE!$M$5:$M$204,$M$41)&gt;0)),"","Vent Arr./Av.")</f>
        <v/>
      </c>
      <c r="J49" s="7">
        <f>IF(OR($M$41="",NOT(COUNTIFS(SAISIE!$J$5:$J$204,"*Vent Arr./Av.*",SAISIE!$M$5:$M$204,$M$41)&gt;0)),"",IFERROR(IF(MINIFS(SAISIE!$L$5:$L$204,SAISIE!$J$5:$J$204,"*Vent Arr./Av.*",SAISIE!$M$5:$M$204,$M$41)&gt;=0,MAXIFS(SAISIE!$K$5:$K$204,SAISIE!$J$5:$J$204,"*Vent Arr./Av.*",SAISIE!$M$5:$M$204,$M$41),INDEX(SAISIE!$K$5:$K$204,MATCH(MINIFS(SAISIE!$L$5:$L$204,SAISIE!$J$5:$J$204,"*Vent Arr./Av.*",SAISIE!$M$5:$M$204,$M$41),SAISIE!$L$5:$L$204,0))),"-"))</f>
        <v/>
      </c>
      <c r="K49" s="7">
        <f>IF(OR($M$41="",NOT(COUNTIFS(SAISIE!$J$5:$J$204,"*Vent Arr./Av.*",SAISIE!$M$5:$M$204,$M$41)&gt;0)),"",IFERROR(IF(MINIFS(SAISIE!$L$5:$L$204,SAISIE!$J$5:$J$204,"*Vent Arr./Av.*",SAISIE!$M$5:$M$204,$M$41)&gt;=0,0,MINIFS(SAISIE!$L$5:$L$204,SAISIE!$J$5:$J$204,"*Vent Arr./Av.*",SAISIE!$M$5:$M$204,$M$41)),"-"))</f>
        <v/>
      </c>
      <c r="L49" s="7">
        <f>IF($M$41="","",IF(OR(K49="",K49="-"),"",IF(K49&gt;0,"(soulevement)",IF(K49&lt;0,"(compression)","-"))))</f>
        <v/>
      </c>
    </row>
    <row r="50">
      <c r="A50" s="6">
        <f>IF(OR($F$41="",NOT(MAXIFS(SAISIE!$E$5:$E$204,SAISIE!$B$5:$B$204,"*Vent Arr./Av.*",SAISIE!$F$5:$F$204,$F$41)&gt;0)),"","Vent Arr./Av.")</f>
        <v/>
      </c>
      <c r="B50" s="7">
        <f>IF(OR($F$41="",NOT(MAXIFS(SAISIE!$E$5:$E$204,SAISIE!$B$5:$B$204,"*Vent Arr./Av.*",SAISIE!$F$5:$F$204,$F$41)&gt;0)),"",IFERROR(INDEX(SAISIE!$C$5:$C$204,MATCH(MAXIFS(SAISIE!$E$5:$E$204,SAISIE!$B$5:$B$204,"*Vent Arr./Av.*",SAISIE!$F$5:$F$204,$F$41),SAISIE!$E$5:$E$204,0)),"-"))</f>
        <v/>
      </c>
      <c r="C50" s="7">
        <f>IF(OR($F$41="",NOT(MAXIFS(SAISIE!$E$5:$E$204,SAISIE!$B$5:$B$204,"*Vent Arr./Av.*",SAISIE!$F$5:$F$204,$F$41)&gt;0)),"",IFERROR(INDEX(SAISIE!$D$5:$D$204,MATCH(MAXIFS(SAISIE!$E$5:$E$204,SAISIE!$B$5:$B$204,"*Vent Arr./Av.*",SAISIE!$F$5:$F$204,$F$41),SAISIE!$E$5:$E$204,0)),"-"))</f>
        <v/>
      </c>
      <c r="D50" s="7">
        <f>IF(OR($F$41="",NOT(MAXIFS(SAISIE!$E$5:$E$204,SAISIE!$B$5:$B$204,"*Vent Arr./Av.*",SAISIE!$F$5:$F$204,$F$41)&gt;0)),"",IFERROR(MAXIFS(SAISIE!$E$5:$E$204,SAISIE!$B$5:$B$204,"*Vent Arr./Av.*",SAISIE!$F$5:$F$204,$F$41),"-"))</f>
        <v/>
      </c>
      <c r="E50" s="7">
        <f>IF($F$41="","",IF(OR(D50="",D50="-"),"",IF(D50&gt;0,"(soulevement)",IF(D50&lt;0,"(compression)","-"))))</f>
        <v/>
      </c>
      <c r="I50" s="6">
        <f>IF(OR($M$41="",NOT(MAXIFS(SAISIE!$L$5:$L$204,SAISIE!$J$5:$J$204,"*Vent Arr./Av.*",SAISIE!$M$5:$M$204,$M$41)&gt;0)),"","Vent Arr./Av.")</f>
        <v/>
      </c>
      <c r="J50" s="7">
        <f>IF(OR($M$41="",NOT(MAXIFS(SAISIE!$L$5:$L$204,SAISIE!$J$5:$J$204,"*Vent Arr./Av.*",SAISIE!$M$5:$M$204,$M$41)&gt;0)),"",IFERROR(INDEX(SAISIE!$K$5:$K$204,MATCH(MAXIFS(SAISIE!$L$5:$L$204,SAISIE!$J$5:$J$204,"*Vent Arr./Av.*",SAISIE!$M$5:$M$204,$M$41),SAISIE!$L$5:$L$204,0)),"-"))</f>
        <v/>
      </c>
      <c r="K50" s="7">
        <f>IF(OR($M$41="",NOT(MAXIFS(SAISIE!$L$5:$L$204,SAISIE!$J$5:$J$204,"*Vent Arr./Av.*",SAISIE!$M$5:$M$204,$M$41)&gt;0)),"",IFERROR(MAXIFS(SAISIE!$L$5:$L$204,SAISIE!$J$5:$J$204,"*Vent Arr./Av.*",SAISIE!$M$5:$M$204,$M$41),"-"))</f>
        <v/>
      </c>
      <c r="L50" s="7">
        <f>IF($M$41="","",IF(OR(K50="",K50="-"),"",IF(K50&gt;0,"(soulevement)",IF(K50&lt;0,"(compression)","-"))))</f>
        <v/>
      </c>
    </row>
    <row r="51">
      <c r="A51" s="6">
        <f>IF(OR($F$41="",NOT(TRUE)),"","Neige normale")</f>
        <v/>
      </c>
      <c r="B51" s="7">
        <f>IF($F$41="","",IFERROR(INDEX(SAISIE!$C$5:$C$204,MATCH(MINIFS(SAISIE!$E$5:$E$204,SAISIE!$B$5:$B$204,"*Neige*",SAISIE!$B$5:$B$204,"&lt;&gt;*accidentel*",SAISIE!$F$5:$F$204,$F$41),SAISIE!$E$5:$E$204,0)),"-"))</f>
        <v/>
      </c>
      <c r="C51" s="7">
        <f>IF($F$41="","",IFERROR(INDEX(SAISIE!$D$5:$D$204,MATCH(MINIFS(SAISIE!$E$5:$E$204,SAISIE!$B$5:$B$204,"*Neige*",SAISIE!$B$5:$B$204,"&lt;&gt;*accidentel*",SAISIE!$F$5:$F$204,$F$41),SAISIE!$E$5:$E$204,0)),"-"))</f>
        <v/>
      </c>
      <c r="D51" s="7">
        <f>IF($F$41="","",IFERROR(INDEX(SAISIE!$E$5:$E$204,MATCH(MINIFS(SAISIE!$E$5:$E$204,SAISIE!$B$5:$B$204,"*Neige*",SAISIE!$B$5:$B$204,"&lt;&gt;*accidentel*",SAISIE!$F$5:$F$204,$F$41),SAISIE!$E$5:$E$204,0)),"-"))</f>
        <v/>
      </c>
      <c r="E51" s="7">
        <f>IF($F$41="","",IF(OR(D51="",D51="-"),"",IF(D51&gt;0,"(soulevement)",IF(D51&lt;0,"(compression)","-"))))</f>
        <v/>
      </c>
      <c r="I51" s="6">
        <f>IF(OR($M$41="",NOT(TRUE)),"","Neige normale")</f>
        <v/>
      </c>
      <c r="J51" s="7">
        <f>IF($M$41="","",IFERROR(INDEX(SAISIE!$K$5:$K$204,MATCH(MINIFS(SAISIE!$L$5:$L$204,SAISIE!$J$5:$J$204,"*Neige*",SAISIE!$J$5:$J$204,"&lt;&gt;*accidentel*",SAISIE!$M$5:$M$204,$M$41),SAISIE!$L$5:$L$204,0)),"-"))</f>
        <v/>
      </c>
      <c r="K51" s="7">
        <f>IF($M$41="","",IFERROR(INDEX(SAISIE!$L$5:$L$204,MATCH(MINIFS(SAISIE!$L$5:$L$204,SAISIE!$J$5:$J$204,"*Neige*",SAISIE!$J$5:$J$204,"&lt;&gt;*accidentel*",SAISIE!$M$5:$M$204,$M$41),SAISIE!$L$5:$L$204,0)),"-"))</f>
        <v/>
      </c>
      <c r="L51" s="7">
        <f>IF($M$41="","",IF(OR(K51="",K51="-"),"",IF(K51&gt;0,"(soulevement)",IF(K51&lt;0,"(compression)","-"))))</f>
        <v/>
      </c>
    </row>
    <row r="52">
      <c r="A52" s="6">
        <f>IF(OR($F$41="",NOT(TRUE)),"","Neige accidentelle")</f>
        <v/>
      </c>
      <c r="B52" s="7">
        <f>IF($F$41="","",IFERROR(LOOKUP(2,1/((SAISIE!$F$5:$F$204=$F$41)*(ISNUMBER(SEARCH("accidentel",SAISIE!$B$5:$B$204)))),SAISIE!$C$5:$C$204),"-"))</f>
        <v/>
      </c>
      <c r="C52" s="7">
        <f>IF($F$41="","",IFERROR(LOOKUP(2,1/((SAISIE!$F$5:$F$204=$F$41)*(ISNUMBER(SEARCH("accidentel",SAISIE!$B$5:$B$204)))),SAISIE!$D$5:$D$204),"-"))</f>
        <v/>
      </c>
      <c r="D52" s="7">
        <f>IF($F$41="","",IFERROR(LOOKUP(2,1/((SAISIE!$F$5:$F$204=$F$41)*(ISNUMBER(SEARCH("accidentel",SAISIE!$B$5:$B$204)))),SAISIE!$E$5:$E$204),"-"))</f>
        <v/>
      </c>
      <c r="E52" s="7">
        <f>IF($F$41="","",IF(OR(D52="",D52="-"),"",IF(D52&gt;0,"(soulevement)",IF(D52&lt;0,"(compression)","-"))))</f>
        <v/>
      </c>
      <c r="I52" s="6">
        <f>IF(OR($M$41="",NOT(TRUE)),"","Neige accidentelle")</f>
        <v/>
      </c>
      <c r="J52" s="7">
        <f>IF($M$41="","",IFERROR(LOOKUP(2,1/((SAISIE!$M$5:$M$204=$M$41)*(ISNUMBER(SEARCH("accidentel",SAISIE!$J$5:$J$204)))),SAISIE!$K$5:$K$204),"-"))</f>
        <v/>
      </c>
      <c r="K52" s="7">
        <f>IF($M$41="","",IFERROR(LOOKUP(2,1/((SAISIE!$M$5:$M$204=$M$41)*(ISNUMBER(SEARCH("accidentel",SAISIE!$J$5:$J$204)))),SAISIE!$L$5:$L$204),"-"))</f>
        <v/>
      </c>
      <c r="L52" s="7">
        <f>IF($M$41="","",IF(OR(K52="",K52="-"),"",IF(K52&gt;0,"(soulevement)",IF(K52&lt;0,"(compression)","-"))))</f>
        <v/>
      </c>
    </row>
    <row r="53">
      <c r="A53" s="5">
        <f>IF($F$53="","","Noeud "&amp;$F$53)</f>
        <v/>
      </c>
      <c r="B53" s="5" t="n"/>
      <c r="C53" s="5" t="n"/>
      <c r="D53" s="5" t="n"/>
      <c r="E53" s="5" t="n"/>
      <c r="F53">
        <f>IFERROR(INDEX(SAISIE!$F$5:$F$204,AGGREGATE(15,6,ROW(SAISIE!$F$5:$F$204)-ROW(SAISIE!$F$5)+1/(SAISIE!$F$5:$F$204&lt;&gt;"")/(COUNTIF($F$4:F52,SAISIE!$F$5:$F$204)=0),1)),"")</f>
        <v/>
      </c>
      <c r="I53" s="5">
        <f>IF($M$53="","","Noeud "&amp;$M$53)</f>
        <v/>
      </c>
      <c r="J53" s="5" t="n"/>
      <c r="K53" s="5" t="n"/>
      <c r="L53" s="5" t="n"/>
      <c r="M53">
        <f>IFERROR(INDEX(SAISIE!$M$5:$M$204,AGGREGATE(15,6,ROW(SAISIE!$M$5:$M$204)-ROW(SAISIE!$M$5)+1/(SAISIE!$M$5:$M$204&lt;&gt;"")/(COUNTIF($M$4:M52,SAISIE!$M$5:$M$204)=0),1)),"")</f>
        <v/>
      </c>
    </row>
    <row r="54">
      <c r="A54" s="6">
        <f>IF(OR($F$53="",NOT(TRUE)),"","Couverture")</f>
        <v/>
      </c>
      <c r="B54" s="7">
        <f>IF($F$53="","",IFERROR(IFERROR(LOOKUP(2,1/((SAISIE!$F$5:$F$204=$F$53)*(LEFT(SAISIE!$B$5:$B$204,2)="G ")),SAISIE!$C$5:$C$204),LOOKUP(2,1/((SAISIE!$F$5:$F$204=$F$53)*(ISNUMBER(SEARCH("Couverture",SAISIE!$B$5:$B$204)))),SAISIE!$C$5:$C$204)),"-"))</f>
        <v/>
      </c>
      <c r="C54" s="7">
        <f>IF($F$53="","",IFERROR(IFERROR(LOOKUP(2,1/((SAISIE!$F$5:$F$204=$F$53)*(LEFT(SAISIE!$B$5:$B$204,2)="G ")),SAISIE!$D$5:$D$204),LOOKUP(2,1/((SAISIE!$F$5:$F$204=$F$53)*(ISNUMBER(SEARCH("Couverture",SAISIE!$B$5:$B$204)))),SAISIE!$D$5:$D$204)),"-"))</f>
        <v/>
      </c>
      <c r="D54" s="7">
        <f>IF($F$53="","",IFERROR(IFERROR(LOOKUP(2,1/((SAISIE!$F$5:$F$204=$F$53)*(LEFT(SAISIE!$B$5:$B$204,2)="G ")),SAISIE!$E$5:$E$204),LOOKUP(2,1/((SAISIE!$F$5:$F$204=$F$53)*(ISNUMBER(SEARCH("Couverture",SAISIE!$B$5:$B$204)))),SAISIE!$E$5:$E$204)),"-"))</f>
        <v/>
      </c>
      <c r="E54" s="7">
        <f>IF($F$53="","",IF(OR(D54="",D54="-"),"",IF(D54&gt;0,"(soulevement)",IF(D54&lt;0,"(compression)","-"))))</f>
        <v/>
      </c>
      <c r="I54" s="6">
        <f>IF(OR($M$53="",NOT(TRUE)),"","Couverture")</f>
        <v/>
      </c>
      <c r="J54" s="7">
        <f>IF($M$53="","",IFERROR(IFERROR(LOOKUP(2,1/((SAISIE!$M$5:$M$204=$M$53)*(LEFT(SAISIE!$J$5:$J$204,2)="G ")),SAISIE!$K$5:$K$204),LOOKUP(2,1/((SAISIE!$M$5:$M$204=$M$53)*(ISNUMBER(SEARCH("Couverture",SAISIE!$J$5:$J$204)))),SAISIE!$K$5:$K$204)),"-"))</f>
        <v/>
      </c>
      <c r="K54" s="7">
        <f>IF($M$53="","",IFERROR(IFERROR(LOOKUP(2,1/((SAISIE!$M$5:$M$204=$M$53)*(LEFT(SAISIE!$J$5:$J$204,2)="G ")),SAISIE!$L$5:$L$204),LOOKUP(2,1/((SAISIE!$M$5:$M$204=$M$53)*(ISNUMBER(SEARCH("Couverture",SAISIE!$J$5:$J$204)))),SAISIE!$L$5:$L$204)),"-"))</f>
        <v/>
      </c>
      <c r="L54" s="7">
        <f>IF($M$53="","",IF(OR(K54="",K54="-"),"",IF(K54&gt;0,"(soulevement)",IF(K54&lt;0,"(compression)","-"))))</f>
        <v/>
      </c>
    </row>
    <row r="55">
      <c r="A55" s="6">
        <f>IF(OR($F$53="",NOT(COUNTIFS(SAISIE!$B$5:$B$204,"*Vent G/D*",SAISIE!$F$5:$F$204,$F$53)&gt;0)),"","Vent G/D")</f>
        <v/>
      </c>
      <c r="B55" s="7">
        <f>IF(OR($F$53="",NOT(COUNTIFS(SAISIE!$B$5:$B$204,"*Vent G/D*",SAISIE!$F$5:$F$204,$F$53)&gt;0)),"",IFERROR(IF(MINIFS(SAISIE!$E$5:$E$204,SAISIE!$B$5:$B$204,"*Vent G/D*",SAISIE!$F$5:$F$204,$F$53)&gt;=0,MAXIFS(SAISIE!$C$5:$C$204,SAISIE!$B$5:$B$204,"*Vent G/D*",SAISIE!$F$5:$F$204,$F$53),INDEX(SAISIE!$C$5:$C$204,MATCH(MINIFS(SAISIE!$E$5:$E$204,SAISIE!$B$5:$B$204,"*Vent G/D*",SAISIE!$F$5:$F$204,$F$53),SAISIE!$E$5:$E$204,0))),"-"))</f>
        <v/>
      </c>
      <c r="C55" s="7">
        <f>IF(OR($F$53="",NOT(COUNTIFS(SAISIE!$B$5:$B$204,"*Vent G/D*",SAISIE!$F$5:$F$204,$F$53)&gt;0)),"",IFERROR(IF(MINIFS(SAISIE!$E$5:$E$204,SAISIE!$B$5:$B$204,"*Vent G/D*",SAISIE!$F$5:$F$204,$F$53)&gt;=0,INDEX(SAISIE!$D$5:$D$204,MATCH(MAXIFS(SAISIE!$C$5:$C$204,SAISIE!$B$5:$B$204,"*Vent G/D*",SAISIE!$F$5:$F$204,$F$53),SAISIE!$C$5:$C$204,0)),INDEX(SAISIE!$D$5:$D$204,MATCH(MINIFS(SAISIE!$E$5:$E$204,SAISIE!$B$5:$B$204,"*Vent G/D*",SAISIE!$F$5:$F$204,$F$53),SAISIE!$E$5:$E$204,0))),"-"))</f>
        <v/>
      </c>
      <c r="D55" s="7">
        <f>IF(OR($F$53="",NOT(COUNTIFS(SAISIE!$B$5:$B$204,"*Vent G/D*",SAISIE!$F$5:$F$204,$F$53)&gt;0)),"",IFERROR(IF(MINIFS(SAISIE!$E$5:$E$204,SAISIE!$B$5:$B$204,"*Vent G/D*",SAISIE!$F$5:$F$204,$F$53)&gt;=0,0,MINIFS(SAISIE!$E$5:$E$204,SAISIE!$B$5:$B$204,"*Vent G/D*",SAISIE!$F$5:$F$204,$F$53)),"-"))</f>
        <v/>
      </c>
      <c r="E55" s="7">
        <f>IF($F$53="","",IF(OR(D55="",D55="-"),"",IF(D55&gt;0,"(soulevement)",IF(D55&lt;0,"(compression)","-"))))</f>
        <v/>
      </c>
      <c r="I55" s="6">
        <f>IF(OR($M$53="",NOT(COUNTIFS(SAISIE!$J$5:$J$204,"*Vent G/D*",SAISIE!$M$5:$M$204,$M$53)&gt;0)),"","Vent G/D")</f>
        <v/>
      </c>
      <c r="J55" s="7">
        <f>IF(OR($M$53="",NOT(COUNTIFS(SAISIE!$J$5:$J$204,"*Vent G/D*",SAISIE!$M$5:$M$204,$M$53)&gt;0)),"",IFERROR(IF(MINIFS(SAISIE!$L$5:$L$204,SAISIE!$J$5:$J$204,"*Vent G/D*",SAISIE!$M$5:$M$204,$M$53)&gt;=0,MAXIFS(SAISIE!$K$5:$K$204,SAISIE!$J$5:$J$204,"*Vent G/D*",SAISIE!$M$5:$M$204,$M$53),INDEX(SAISIE!$K$5:$K$204,MATCH(MINIFS(SAISIE!$L$5:$L$204,SAISIE!$J$5:$J$204,"*Vent G/D*",SAISIE!$M$5:$M$204,$M$53),SAISIE!$L$5:$L$204,0))),"-"))</f>
        <v/>
      </c>
      <c r="K55" s="7">
        <f>IF(OR($M$53="",NOT(COUNTIFS(SAISIE!$J$5:$J$204,"*Vent G/D*",SAISIE!$M$5:$M$204,$M$53)&gt;0)),"",IFERROR(IF(MINIFS(SAISIE!$L$5:$L$204,SAISIE!$J$5:$J$204,"*Vent G/D*",SAISIE!$M$5:$M$204,$M$53)&gt;=0,0,MINIFS(SAISIE!$L$5:$L$204,SAISIE!$J$5:$J$204,"*Vent G/D*",SAISIE!$M$5:$M$204,$M$53)),"-"))</f>
        <v/>
      </c>
      <c r="L55" s="7">
        <f>IF($M$53="","",IF(OR(K55="",K55="-"),"",IF(K55&gt;0,"(soulevement)",IF(K55&lt;0,"(compression)","-"))))</f>
        <v/>
      </c>
    </row>
    <row r="56">
      <c r="A56" s="6">
        <f>IF(OR($F$53="",NOT(MAXIFS(SAISIE!$E$5:$E$204,SAISIE!$B$5:$B$204,"*Vent G/D*",SAISIE!$F$5:$F$204,$F$53)&gt;0)),"","Vent G/D")</f>
        <v/>
      </c>
      <c r="B56" s="7">
        <f>IF(OR($F$53="",NOT(MAXIFS(SAISIE!$E$5:$E$204,SAISIE!$B$5:$B$204,"*Vent G/D*",SAISIE!$F$5:$F$204,$F$53)&gt;0)),"",IFERROR(INDEX(SAISIE!$C$5:$C$204,MATCH(MAXIFS(SAISIE!$E$5:$E$204,SAISIE!$B$5:$B$204,"*Vent G/D*",SAISIE!$F$5:$F$204,$F$53),SAISIE!$E$5:$E$204,0)),"-"))</f>
        <v/>
      </c>
      <c r="C56" s="7">
        <f>IF(OR($F$53="",NOT(MAXIFS(SAISIE!$E$5:$E$204,SAISIE!$B$5:$B$204,"*Vent G/D*",SAISIE!$F$5:$F$204,$F$53)&gt;0)),"",IFERROR(INDEX(SAISIE!$D$5:$D$204,MATCH(MAXIFS(SAISIE!$E$5:$E$204,SAISIE!$B$5:$B$204,"*Vent G/D*",SAISIE!$F$5:$F$204,$F$53),SAISIE!$E$5:$E$204,0)),"-"))</f>
        <v/>
      </c>
      <c r="D56" s="7">
        <f>IF(OR($F$53="",NOT(MAXIFS(SAISIE!$E$5:$E$204,SAISIE!$B$5:$B$204,"*Vent G/D*",SAISIE!$F$5:$F$204,$F$53)&gt;0)),"",IFERROR(MAXIFS(SAISIE!$E$5:$E$204,SAISIE!$B$5:$B$204,"*Vent G/D*",SAISIE!$F$5:$F$204,$F$53),"-"))</f>
        <v/>
      </c>
      <c r="E56" s="7">
        <f>IF($F$53="","",IF(OR(D56="",D56="-"),"",IF(D56&gt;0,"(soulevement)",IF(D56&lt;0,"(compression)","-"))))</f>
        <v/>
      </c>
      <c r="I56" s="6">
        <f>IF(OR($M$53="",NOT(MAXIFS(SAISIE!$L$5:$L$204,SAISIE!$J$5:$J$204,"*Vent G/D*",SAISIE!$M$5:$M$204,$M$53)&gt;0)),"","Vent G/D")</f>
        <v/>
      </c>
      <c r="J56" s="7">
        <f>IF(OR($M$53="",NOT(MAXIFS(SAISIE!$L$5:$L$204,SAISIE!$J$5:$J$204,"*Vent G/D*",SAISIE!$M$5:$M$204,$M$53)&gt;0)),"",IFERROR(INDEX(SAISIE!$K$5:$K$204,MATCH(MAXIFS(SAISIE!$L$5:$L$204,SAISIE!$J$5:$J$204,"*Vent G/D*",SAISIE!$M$5:$M$204,$M$53),SAISIE!$L$5:$L$204,0)),"-"))</f>
        <v/>
      </c>
      <c r="K56" s="7">
        <f>IF(OR($M$53="",NOT(MAXIFS(SAISIE!$L$5:$L$204,SAISIE!$J$5:$J$204,"*Vent G/D*",SAISIE!$M$5:$M$204,$M$53)&gt;0)),"",IFERROR(MAXIFS(SAISIE!$L$5:$L$204,SAISIE!$J$5:$J$204,"*Vent G/D*",SAISIE!$M$5:$M$204,$M$53),"-"))</f>
        <v/>
      </c>
      <c r="L56" s="7">
        <f>IF($M$53="","",IF(OR(K56="",K56="-"),"",IF(K56&gt;0,"(soulevement)",IF(K56&lt;0,"(compression)","-"))))</f>
        <v/>
      </c>
    </row>
    <row r="57">
      <c r="A57" s="6">
        <f>IF(OR($F$53="",NOT(COUNTIFS(SAISIE!$B$5:$B$204,"*Vent D/G*",SAISIE!$F$5:$F$204,$F$53)&gt;0)),"","Vent D/G")</f>
        <v/>
      </c>
      <c r="B57" s="7">
        <f>IF(OR($F$53="",NOT(COUNTIFS(SAISIE!$B$5:$B$204,"*Vent D/G*",SAISIE!$F$5:$F$204,$F$53)&gt;0)),"",IFERROR(IF(MINIFS(SAISIE!$E$5:$E$204,SAISIE!$B$5:$B$204,"*Vent D/G*",SAISIE!$F$5:$F$204,$F$53)&gt;=0,MAXIFS(SAISIE!$C$5:$C$204,SAISIE!$B$5:$B$204,"*Vent D/G*",SAISIE!$F$5:$F$204,$F$53),INDEX(SAISIE!$C$5:$C$204,MATCH(MINIFS(SAISIE!$E$5:$E$204,SAISIE!$B$5:$B$204,"*Vent D/G*",SAISIE!$F$5:$F$204,$F$53),SAISIE!$E$5:$E$204,0))),"-"))</f>
        <v/>
      </c>
      <c r="C57" s="7">
        <f>IF(OR($F$53="",NOT(COUNTIFS(SAISIE!$B$5:$B$204,"*Vent D/G*",SAISIE!$F$5:$F$204,$F$53)&gt;0)),"",IFERROR(IF(MINIFS(SAISIE!$E$5:$E$204,SAISIE!$B$5:$B$204,"*Vent D/G*",SAISIE!$F$5:$F$204,$F$53)&gt;=0,INDEX(SAISIE!$D$5:$D$204,MATCH(MAXIFS(SAISIE!$C$5:$C$204,SAISIE!$B$5:$B$204,"*Vent D/G*",SAISIE!$F$5:$F$204,$F$53),SAISIE!$C$5:$C$204,0)),INDEX(SAISIE!$D$5:$D$204,MATCH(MINIFS(SAISIE!$E$5:$E$204,SAISIE!$B$5:$B$204,"*Vent D/G*",SAISIE!$F$5:$F$204,$F$53),SAISIE!$E$5:$E$204,0))),"-"))</f>
        <v/>
      </c>
      <c r="D57" s="7">
        <f>IF(OR($F$53="",NOT(COUNTIFS(SAISIE!$B$5:$B$204,"*Vent D/G*",SAISIE!$F$5:$F$204,$F$53)&gt;0)),"",IFERROR(IF(MINIFS(SAISIE!$E$5:$E$204,SAISIE!$B$5:$B$204,"*Vent D/G*",SAISIE!$F$5:$F$204,$F$53)&gt;=0,0,MINIFS(SAISIE!$E$5:$E$204,SAISIE!$B$5:$B$204,"*Vent D/G*",SAISIE!$F$5:$F$204,$F$53)),"-"))</f>
        <v/>
      </c>
      <c r="E57" s="7">
        <f>IF($F$53="","",IF(OR(D57="",D57="-"),"",IF(D57&gt;0,"(soulevement)",IF(D57&lt;0,"(compression)","-"))))</f>
        <v/>
      </c>
      <c r="I57" s="6">
        <f>IF(OR($M$53="",NOT(COUNTIFS(SAISIE!$J$5:$J$204,"*Vent D/G*",SAISIE!$M$5:$M$204,$M$53)&gt;0)),"","Vent D/G")</f>
        <v/>
      </c>
      <c r="J57" s="7">
        <f>IF(OR($M$53="",NOT(COUNTIFS(SAISIE!$J$5:$J$204,"*Vent D/G*",SAISIE!$M$5:$M$204,$M$53)&gt;0)),"",IFERROR(IF(MINIFS(SAISIE!$L$5:$L$204,SAISIE!$J$5:$J$204,"*Vent D/G*",SAISIE!$M$5:$M$204,$M$53)&gt;=0,MAXIFS(SAISIE!$K$5:$K$204,SAISIE!$J$5:$J$204,"*Vent D/G*",SAISIE!$M$5:$M$204,$M$53),INDEX(SAISIE!$K$5:$K$204,MATCH(MINIFS(SAISIE!$L$5:$L$204,SAISIE!$J$5:$J$204,"*Vent D/G*",SAISIE!$M$5:$M$204,$M$53),SAISIE!$L$5:$L$204,0))),"-"))</f>
        <v/>
      </c>
      <c r="K57" s="7">
        <f>IF(OR($M$53="",NOT(COUNTIFS(SAISIE!$J$5:$J$204,"*Vent D/G*",SAISIE!$M$5:$M$204,$M$53)&gt;0)),"",IFERROR(IF(MINIFS(SAISIE!$L$5:$L$204,SAISIE!$J$5:$J$204,"*Vent D/G*",SAISIE!$M$5:$M$204,$M$53)&gt;=0,0,MINIFS(SAISIE!$L$5:$L$204,SAISIE!$J$5:$J$204,"*Vent D/G*",SAISIE!$M$5:$M$204,$M$53)),"-"))</f>
        <v/>
      </c>
      <c r="L57" s="7">
        <f>IF($M$53="","",IF(OR(K57="",K57="-"),"",IF(K57&gt;0,"(soulevement)",IF(K57&lt;0,"(compression)","-"))))</f>
        <v/>
      </c>
    </row>
    <row r="58">
      <c r="A58" s="6">
        <f>IF(OR($F$53="",NOT(MAXIFS(SAISIE!$E$5:$E$204,SAISIE!$B$5:$B$204,"*Vent D/G*",SAISIE!$F$5:$F$204,$F$53)&gt;0)),"","Vent D/G")</f>
        <v/>
      </c>
      <c r="B58" s="7">
        <f>IF(OR($F$53="",NOT(MAXIFS(SAISIE!$E$5:$E$204,SAISIE!$B$5:$B$204,"*Vent D/G*",SAISIE!$F$5:$F$204,$F$53)&gt;0)),"",IFERROR(INDEX(SAISIE!$C$5:$C$204,MATCH(MAXIFS(SAISIE!$E$5:$E$204,SAISIE!$B$5:$B$204,"*Vent D/G*",SAISIE!$F$5:$F$204,$F$53),SAISIE!$E$5:$E$204,0)),"-"))</f>
        <v/>
      </c>
      <c r="C58" s="7">
        <f>IF(OR($F$53="",NOT(MAXIFS(SAISIE!$E$5:$E$204,SAISIE!$B$5:$B$204,"*Vent D/G*",SAISIE!$F$5:$F$204,$F$53)&gt;0)),"",IFERROR(INDEX(SAISIE!$D$5:$D$204,MATCH(MAXIFS(SAISIE!$E$5:$E$204,SAISIE!$B$5:$B$204,"*Vent D/G*",SAISIE!$F$5:$F$204,$F$53),SAISIE!$E$5:$E$204,0)),"-"))</f>
        <v/>
      </c>
      <c r="D58" s="7">
        <f>IF(OR($F$53="",NOT(MAXIFS(SAISIE!$E$5:$E$204,SAISIE!$B$5:$B$204,"*Vent D/G*",SAISIE!$F$5:$F$204,$F$53)&gt;0)),"",IFERROR(MAXIFS(SAISIE!$E$5:$E$204,SAISIE!$B$5:$B$204,"*Vent D/G*",SAISIE!$F$5:$F$204,$F$53),"-"))</f>
        <v/>
      </c>
      <c r="E58" s="7">
        <f>IF($F$53="","",IF(OR(D58="",D58="-"),"",IF(D58&gt;0,"(soulevement)",IF(D58&lt;0,"(compression)","-"))))</f>
        <v/>
      </c>
      <c r="I58" s="6">
        <f>IF(OR($M$53="",NOT(MAXIFS(SAISIE!$L$5:$L$204,SAISIE!$J$5:$J$204,"*Vent D/G*",SAISIE!$M$5:$M$204,$M$53)&gt;0)),"","Vent D/G")</f>
        <v/>
      </c>
      <c r="J58" s="7">
        <f>IF(OR($M$53="",NOT(MAXIFS(SAISIE!$L$5:$L$204,SAISIE!$J$5:$J$204,"*Vent D/G*",SAISIE!$M$5:$M$204,$M$53)&gt;0)),"",IFERROR(INDEX(SAISIE!$K$5:$K$204,MATCH(MAXIFS(SAISIE!$L$5:$L$204,SAISIE!$J$5:$J$204,"*Vent D/G*",SAISIE!$M$5:$M$204,$M$53),SAISIE!$L$5:$L$204,0)),"-"))</f>
        <v/>
      </c>
      <c r="K58" s="7">
        <f>IF(OR($M$53="",NOT(MAXIFS(SAISIE!$L$5:$L$204,SAISIE!$J$5:$J$204,"*Vent D/G*",SAISIE!$M$5:$M$204,$M$53)&gt;0)),"",IFERROR(MAXIFS(SAISIE!$L$5:$L$204,SAISIE!$J$5:$J$204,"*Vent D/G*",SAISIE!$M$5:$M$204,$M$53),"-"))</f>
        <v/>
      </c>
      <c r="L58" s="7">
        <f>IF($M$53="","",IF(OR(K58="",K58="-"),"",IF(K58&gt;0,"(soulevement)",IF(K58&lt;0,"(compression)","-"))))</f>
        <v/>
      </c>
    </row>
    <row r="59">
      <c r="A59" s="6">
        <f>IF(OR($F$53="",NOT(COUNTIFS(SAISIE!$B$5:$B$204,"*Vent Av./Arr.*",SAISIE!$F$5:$F$204,$F$53)&gt;0)),"","Vent Av./Arr.")</f>
        <v/>
      </c>
      <c r="B59" s="7">
        <f>IF(OR($F$53="",NOT(COUNTIFS(SAISIE!$B$5:$B$204,"*Vent Av./Arr.*",SAISIE!$F$5:$F$204,$F$53)&gt;0)),"",IFERROR(IF(MINIFS(SAISIE!$E$5:$E$204,SAISIE!$B$5:$B$204,"*Vent Av./Arr.*",SAISIE!$F$5:$F$204,$F$53)&gt;=0,MAXIFS(SAISIE!$C$5:$C$204,SAISIE!$B$5:$B$204,"*Vent Av./Arr.*",SAISIE!$F$5:$F$204,$F$53),INDEX(SAISIE!$C$5:$C$204,MATCH(MINIFS(SAISIE!$E$5:$E$204,SAISIE!$B$5:$B$204,"*Vent Av./Arr.*",SAISIE!$F$5:$F$204,$F$53),SAISIE!$E$5:$E$204,0))),"-"))</f>
        <v/>
      </c>
      <c r="C59" s="7">
        <f>IF(OR($F$53="",NOT(COUNTIFS(SAISIE!$B$5:$B$204,"*Vent Av./Arr.*",SAISIE!$F$5:$F$204,$F$53)&gt;0)),"",IFERROR(IF(MINIFS(SAISIE!$E$5:$E$204,SAISIE!$B$5:$B$204,"*Vent Av./Arr.*",SAISIE!$F$5:$F$204,$F$53)&gt;=0,INDEX(SAISIE!$D$5:$D$204,MATCH(MAXIFS(SAISIE!$C$5:$C$204,SAISIE!$B$5:$B$204,"*Vent Av./Arr.*",SAISIE!$F$5:$F$204,$F$53),SAISIE!$C$5:$C$204,0)),INDEX(SAISIE!$D$5:$D$204,MATCH(MINIFS(SAISIE!$E$5:$E$204,SAISIE!$B$5:$B$204,"*Vent Av./Arr.*",SAISIE!$F$5:$F$204,$F$53),SAISIE!$E$5:$E$204,0))),"-"))</f>
        <v/>
      </c>
      <c r="D59" s="7">
        <f>IF(OR($F$53="",NOT(COUNTIFS(SAISIE!$B$5:$B$204,"*Vent Av./Arr.*",SAISIE!$F$5:$F$204,$F$53)&gt;0)),"",IFERROR(IF(MINIFS(SAISIE!$E$5:$E$204,SAISIE!$B$5:$B$204,"*Vent Av./Arr.*",SAISIE!$F$5:$F$204,$F$53)&gt;=0,0,MINIFS(SAISIE!$E$5:$E$204,SAISIE!$B$5:$B$204,"*Vent Av./Arr.*",SAISIE!$F$5:$F$204,$F$53)),"-"))</f>
        <v/>
      </c>
      <c r="E59" s="7">
        <f>IF($F$53="","",IF(OR(D59="",D59="-"),"",IF(D59&gt;0,"(soulevement)",IF(D59&lt;0,"(compression)","-"))))</f>
        <v/>
      </c>
      <c r="I59" s="6">
        <f>IF(OR($M$53="",NOT(COUNTIFS(SAISIE!$J$5:$J$204,"*Vent Av./Arr.*",SAISIE!$M$5:$M$204,$M$53)&gt;0)),"","Vent Av./Arr.")</f>
        <v/>
      </c>
      <c r="J59" s="7">
        <f>IF(OR($M$53="",NOT(COUNTIFS(SAISIE!$J$5:$J$204,"*Vent Av./Arr.*",SAISIE!$M$5:$M$204,$M$53)&gt;0)),"",IFERROR(IF(MINIFS(SAISIE!$L$5:$L$204,SAISIE!$J$5:$J$204,"*Vent Av./Arr.*",SAISIE!$M$5:$M$204,$M$53)&gt;=0,MAXIFS(SAISIE!$K$5:$K$204,SAISIE!$J$5:$J$204,"*Vent Av./Arr.*",SAISIE!$M$5:$M$204,$M$53),INDEX(SAISIE!$K$5:$K$204,MATCH(MINIFS(SAISIE!$L$5:$L$204,SAISIE!$J$5:$J$204,"*Vent Av./Arr.*",SAISIE!$M$5:$M$204,$M$53),SAISIE!$L$5:$L$204,0))),"-"))</f>
        <v/>
      </c>
      <c r="K59" s="7">
        <f>IF(OR($M$53="",NOT(COUNTIFS(SAISIE!$J$5:$J$204,"*Vent Av./Arr.*",SAISIE!$M$5:$M$204,$M$53)&gt;0)),"",IFERROR(IF(MINIFS(SAISIE!$L$5:$L$204,SAISIE!$J$5:$J$204,"*Vent Av./Arr.*",SAISIE!$M$5:$M$204,$M$53)&gt;=0,0,MINIFS(SAISIE!$L$5:$L$204,SAISIE!$J$5:$J$204,"*Vent Av./Arr.*",SAISIE!$M$5:$M$204,$M$53)),"-"))</f>
        <v/>
      </c>
      <c r="L59" s="7">
        <f>IF($M$53="","",IF(OR(K59="",K59="-"),"",IF(K59&gt;0,"(soulevement)",IF(K59&lt;0,"(compression)","-"))))</f>
        <v/>
      </c>
    </row>
    <row r="60">
      <c r="A60" s="6">
        <f>IF(OR($F$53="",NOT(MAXIFS(SAISIE!$E$5:$E$204,SAISIE!$B$5:$B$204,"*Vent Av./Arr.*",SAISIE!$F$5:$F$204,$F$53)&gt;0)),"","Vent Av./Arr.")</f>
        <v/>
      </c>
      <c r="B60" s="7">
        <f>IF(OR($F$53="",NOT(MAXIFS(SAISIE!$E$5:$E$204,SAISIE!$B$5:$B$204,"*Vent Av./Arr.*",SAISIE!$F$5:$F$204,$F$53)&gt;0)),"",IFERROR(INDEX(SAISIE!$C$5:$C$204,MATCH(MAXIFS(SAISIE!$E$5:$E$204,SAISIE!$B$5:$B$204,"*Vent Av./Arr.*",SAISIE!$F$5:$F$204,$F$53),SAISIE!$E$5:$E$204,0)),"-"))</f>
        <v/>
      </c>
      <c r="C60" s="7">
        <f>IF(OR($F$53="",NOT(MAXIFS(SAISIE!$E$5:$E$204,SAISIE!$B$5:$B$204,"*Vent Av./Arr.*",SAISIE!$F$5:$F$204,$F$53)&gt;0)),"",IFERROR(INDEX(SAISIE!$D$5:$D$204,MATCH(MAXIFS(SAISIE!$E$5:$E$204,SAISIE!$B$5:$B$204,"*Vent Av./Arr.*",SAISIE!$F$5:$F$204,$F$53),SAISIE!$E$5:$E$204,0)),"-"))</f>
        <v/>
      </c>
      <c r="D60" s="7">
        <f>IF(OR($F$53="",NOT(MAXIFS(SAISIE!$E$5:$E$204,SAISIE!$B$5:$B$204,"*Vent Av./Arr.*",SAISIE!$F$5:$F$204,$F$53)&gt;0)),"",IFERROR(MAXIFS(SAISIE!$E$5:$E$204,SAISIE!$B$5:$B$204,"*Vent Av./Arr.*",SAISIE!$F$5:$F$204,$F$53),"-"))</f>
        <v/>
      </c>
      <c r="E60" s="7">
        <f>IF($F$53="","",IF(OR(D60="",D60="-"),"",IF(D60&gt;0,"(soulevement)",IF(D60&lt;0,"(compression)","-"))))</f>
        <v/>
      </c>
      <c r="I60" s="6">
        <f>IF(OR($M$53="",NOT(MAXIFS(SAISIE!$L$5:$L$204,SAISIE!$J$5:$J$204,"*Vent Av./Arr.*",SAISIE!$M$5:$M$204,$M$53)&gt;0)),"","Vent Av./Arr.")</f>
        <v/>
      </c>
      <c r="J60" s="7">
        <f>IF(OR($M$53="",NOT(MAXIFS(SAISIE!$L$5:$L$204,SAISIE!$J$5:$J$204,"*Vent Av./Arr.*",SAISIE!$M$5:$M$204,$M$53)&gt;0)),"",IFERROR(INDEX(SAISIE!$K$5:$K$204,MATCH(MAXIFS(SAISIE!$L$5:$L$204,SAISIE!$J$5:$J$204,"*Vent Av./Arr.*",SAISIE!$M$5:$M$204,$M$53),SAISIE!$L$5:$L$204,0)),"-"))</f>
        <v/>
      </c>
      <c r="K60" s="7">
        <f>IF(OR($M$53="",NOT(MAXIFS(SAISIE!$L$5:$L$204,SAISIE!$J$5:$J$204,"*Vent Av./Arr.*",SAISIE!$M$5:$M$204,$M$53)&gt;0)),"",IFERROR(MAXIFS(SAISIE!$L$5:$L$204,SAISIE!$J$5:$J$204,"*Vent Av./Arr.*",SAISIE!$M$5:$M$204,$M$53),"-"))</f>
        <v/>
      </c>
      <c r="L60" s="7">
        <f>IF($M$53="","",IF(OR(K60="",K60="-"),"",IF(K60&gt;0,"(soulevement)",IF(K60&lt;0,"(compression)","-"))))</f>
        <v/>
      </c>
    </row>
    <row r="61">
      <c r="A61" s="6">
        <f>IF(OR($F$53="",NOT(COUNTIFS(SAISIE!$B$5:$B$204,"*Vent Arr./Av.*",SAISIE!$F$5:$F$204,$F$53)&gt;0)),"","Vent Arr./Av.")</f>
        <v/>
      </c>
      <c r="B61" s="7">
        <f>IF(OR($F$53="",NOT(COUNTIFS(SAISIE!$B$5:$B$204,"*Vent Arr./Av.*",SAISIE!$F$5:$F$204,$F$53)&gt;0)),"",IFERROR(IF(MINIFS(SAISIE!$E$5:$E$204,SAISIE!$B$5:$B$204,"*Vent Arr./Av.*",SAISIE!$F$5:$F$204,$F$53)&gt;=0,MAXIFS(SAISIE!$C$5:$C$204,SAISIE!$B$5:$B$204,"*Vent Arr./Av.*",SAISIE!$F$5:$F$204,$F$53),INDEX(SAISIE!$C$5:$C$204,MATCH(MINIFS(SAISIE!$E$5:$E$204,SAISIE!$B$5:$B$204,"*Vent Arr./Av.*",SAISIE!$F$5:$F$204,$F$53),SAISIE!$E$5:$E$204,0))),"-"))</f>
        <v/>
      </c>
      <c r="C61" s="7">
        <f>IF(OR($F$53="",NOT(COUNTIFS(SAISIE!$B$5:$B$204,"*Vent Arr./Av.*",SAISIE!$F$5:$F$204,$F$53)&gt;0)),"",IFERROR(IF(MINIFS(SAISIE!$E$5:$E$204,SAISIE!$B$5:$B$204,"*Vent Arr./Av.*",SAISIE!$F$5:$F$204,$F$53)&gt;=0,INDEX(SAISIE!$D$5:$D$204,MATCH(MAXIFS(SAISIE!$C$5:$C$204,SAISIE!$B$5:$B$204,"*Vent Arr./Av.*",SAISIE!$F$5:$F$204,$F$53),SAISIE!$C$5:$C$204,0)),INDEX(SAISIE!$D$5:$D$204,MATCH(MINIFS(SAISIE!$E$5:$E$204,SAISIE!$B$5:$B$204,"*Vent Arr./Av.*",SAISIE!$F$5:$F$204,$F$53),SAISIE!$E$5:$E$204,0))),"-"))</f>
        <v/>
      </c>
      <c r="D61" s="7">
        <f>IF(OR($F$53="",NOT(COUNTIFS(SAISIE!$B$5:$B$204,"*Vent Arr./Av.*",SAISIE!$F$5:$F$204,$F$53)&gt;0)),"",IFERROR(IF(MINIFS(SAISIE!$E$5:$E$204,SAISIE!$B$5:$B$204,"*Vent Arr./Av.*",SAISIE!$F$5:$F$204,$F$53)&gt;=0,0,MINIFS(SAISIE!$E$5:$E$204,SAISIE!$B$5:$B$204,"*Vent Arr./Av.*",SAISIE!$F$5:$F$204,$F$53)),"-"))</f>
        <v/>
      </c>
      <c r="E61" s="7">
        <f>IF($F$53="","",IF(OR(D61="",D61="-"),"",IF(D61&gt;0,"(soulevement)",IF(D61&lt;0,"(compression)","-"))))</f>
        <v/>
      </c>
      <c r="I61" s="6">
        <f>IF(OR($M$53="",NOT(COUNTIFS(SAISIE!$J$5:$J$204,"*Vent Arr./Av.*",SAISIE!$M$5:$M$204,$M$53)&gt;0)),"","Vent Arr./Av.")</f>
        <v/>
      </c>
      <c r="J61" s="7">
        <f>IF(OR($M$53="",NOT(COUNTIFS(SAISIE!$J$5:$J$204,"*Vent Arr./Av.*",SAISIE!$M$5:$M$204,$M$53)&gt;0)),"",IFERROR(IF(MINIFS(SAISIE!$L$5:$L$204,SAISIE!$J$5:$J$204,"*Vent Arr./Av.*",SAISIE!$M$5:$M$204,$M$53)&gt;=0,MAXIFS(SAISIE!$K$5:$K$204,SAISIE!$J$5:$J$204,"*Vent Arr./Av.*",SAISIE!$M$5:$M$204,$M$53),INDEX(SAISIE!$K$5:$K$204,MATCH(MINIFS(SAISIE!$L$5:$L$204,SAISIE!$J$5:$J$204,"*Vent Arr./Av.*",SAISIE!$M$5:$M$204,$M$53),SAISIE!$L$5:$L$204,0))),"-"))</f>
        <v/>
      </c>
      <c r="K61" s="7">
        <f>IF(OR($M$53="",NOT(COUNTIFS(SAISIE!$J$5:$J$204,"*Vent Arr./Av.*",SAISIE!$M$5:$M$204,$M$53)&gt;0)),"",IFERROR(IF(MINIFS(SAISIE!$L$5:$L$204,SAISIE!$J$5:$J$204,"*Vent Arr./Av.*",SAISIE!$M$5:$M$204,$M$53)&gt;=0,0,MINIFS(SAISIE!$L$5:$L$204,SAISIE!$J$5:$J$204,"*Vent Arr./Av.*",SAISIE!$M$5:$M$204,$M$53)),"-"))</f>
        <v/>
      </c>
      <c r="L61" s="7">
        <f>IF($M$53="","",IF(OR(K61="",K61="-"),"",IF(K61&gt;0,"(soulevement)",IF(K61&lt;0,"(compression)","-"))))</f>
        <v/>
      </c>
    </row>
    <row r="62">
      <c r="A62" s="6">
        <f>IF(OR($F$53="",NOT(MAXIFS(SAISIE!$E$5:$E$204,SAISIE!$B$5:$B$204,"*Vent Arr./Av.*",SAISIE!$F$5:$F$204,$F$53)&gt;0)),"","Vent Arr./Av.")</f>
        <v/>
      </c>
      <c r="B62" s="7">
        <f>IF(OR($F$53="",NOT(MAXIFS(SAISIE!$E$5:$E$204,SAISIE!$B$5:$B$204,"*Vent Arr./Av.*",SAISIE!$F$5:$F$204,$F$53)&gt;0)),"",IFERROR(INDEX(SAISIE!$C$5:$C$204,MATCH(MAXIFS(SAISIE!$E$5:$E$204,SAISIE!$B$5:$B$204,"*Vent Arr./Av.*",SAISIE!$F$5:$F$204,$F$53),SAISIE!$E$5:$E$204,0)),"-"))</f>
        <v/>
      </c>
      <c r="C62" s="7">
        <f>IF(OR($F$53="",NOT(MAXIFS(SAISIE!$E$5:$E$204,SAISIE!$B$5:$B$204,"*Vent Arr./Av.*",SAISIE!$F$5:$F$204,$F$53)&gt;0)),"",IFERROR(INDEX(SAISIE!$D$5:$D$204,MATCH(MAXIFS(SAISIE!$E$5:$E$204,SAISIE!$B$5:$B$204,"*Vent Arr./Av.*",SAISIE!$F$5:$F$204,$F$53),SAISIE!$E$5:$E$204,0)),"-"))</f>
        <v/>
      </c>
      <c r="D62" s="7">
        <f>IF(OR($F$53="",NOT(MAXIFS(SAISIE!$E$5:$E$204,SAISIE!$B$5:$B$204,"*Vent Arr./Av.*",SAISIE!$F$5:$F$204,$F$53)&gt;0)),"",IFERROR(MAXIFS(SAISIE!$E$5:$E$204,SAISIE!$B$5:$B$204,"*Vent Arr./Av.*",SAISIE!$F$5:$F$204,$F$53),"-"))</f>
        <v/>
      </c>
      <c r="E62" s="7">
        <f>IF($F$53="","",IF(OR(D62="",D62="-"),"",IF(D62&gt;0,"(soulevement)",IF(D62&lt;0,"(compression)","-"))))</f>
        <v/>
      </c>
      <c r="I62" s="6">
        <f>IF(OR($M$53="",NOT(MAXIFS(SAISIE!$L$5:$L$204,SAISIE!$J$5:$J$204,"*Vent Arr./Av.*",SAISIE!$M$5:$M$204,$M$53)&gt;0)),"","Vent Arr./Av.")</f>
        <v/>
      </c>
      <c r="J62" s="7">
        <f>IF(OR($M$53="",NOT(MAXIFS(SAISIE!$L$5:$L$204,SAISIE!$J$5:$J$204,"*Vent Arr./Av.*",SAISIE!$M$5:$M$204,$M$53)&gt;0)),"",IFERROR(INDEX(SAISIE!$K$5:$K$204,MATCH(MAXIFS(SAISIE!$L$5:$L$204,SAISIE!$J$5:$J$204,"*Vent Arr./Av.*",SAISIE!$M$5:$M$204,$M$53),SAISIE!$L$5:$L$204,0)),"-"))</f>
        <v/>
      </c>
      <c r="K62" s="7">
        <f>IF(OR($M$53="",NOT(MAXIFS(SAISIE!$L$5:$L$204,SAISIE!$J$5:$J$204,"*Vent Arr./Av.*",SAISIE!$M$5:$M$204,$M$53)&gt;0)),"",IFERROR(MAXIFS(SAISIE!$L$5:$L$204,SAISIE!$J$5:$J$204,"*Vent Arr./Av.*",SAISIE!$M$5:$M$204,$M$53),"-"))</f>
        <v/>
      </c>
      <c r="L62" s="7">
        <f>IF($M$53="","",IF(OR(K62="",K62="-"),"",IF(K62&gt;0,"(soulevement)",IF(K62&lt;0,"(compression)","-"))))</f>
        <v/>
      </c>
    </row>
    <row r="63">
      <c r="A63" s="6">
        <f>IF(OR($F$53="",NOT(TRUE)),"","Neige normale")</f>
        <v/>
      </c>
      <c r="B63" s="7">
        <f>IF($F$53="","",IFERROR(INDEX(SAISIE!$C$5:$C$204,MATCH(MINIFS(SAISIE!$E$5:$E$204,SAISIE!$B$5:$B$204,"*Neige*",SAISIE!$B$5:$B$204,"&lt;&gt;*accidentel*",SAISIE!$F$5:$F$204,$F$53),SAISIE!$E$5:$E$204,0)),"-"))</f>
        <v/>
      </c>
      <c r="C63" s="7">
        <f>IF($F$53="","",IFERROR(INDEX(SAISIE!$D$5:$D$204,MATCH(MINIFS(SAISIE!$E$5:$E$204,SAISIE!$B$5:$B$204,"*Neige*",SAISIE!$B$5:$B$204,"&lt;&gt;*accidentel*",SAISIE!$F$5:$F$204,$F$53),SAISIE!$E$5:$E$204,0)),"-"))</f>
        <v/>
      </c>
      <c r="D63" s="7">
        <f>IF($F$53="","",IFERROR(INDEX(SAISIE!$E$5:$E$204,MATCH(MINIFS(SAISIE!$E$5:$E$204,SAISIE!$B$5:$B$204,"*Neige*",SAISIE!$B$5:$B$204,"&lt;&gt;*accidentel*",SAISIE!$F$5:$F$204,$F$53),SAISIE!$E$5:$E$204,0)),"-"))</f>
        <v/>
      </c>
      <c r="E63" s="7">
        <f>IF($F$53="","",IF(OR(D63="",D63="-"),"",IF(D63&gt;0,"(soulevement)",IF(D63&lt;0,"(compression)","-"))))</f>
        <v/>
      </c>
      <c r="I63" s="6">
        <f>IF(OR($M$53="",NOT(TRUE)),"","Neige normale")</f>
        <v/>
      </c>
      <c r="J63" s="7">
        <f>IF($M$53="","",IFERROR(INDEX(SAISIE!$K$5:$K$204,MATCH(MINIFS(SAISIE!$L$5:$L$204,SAISIE!$J$5:$J$204,"*Neige*",SAISIE!$J$5:$J$204,"&lt;&gt;*accidentel*",SAISIE!$M$5:$M$204,$M$53),SAISIE!$L$5:$L$204,0)),"-"))</f>
        <v/>
      </c>
      <c r="K63" s="7">
        <f>IF($M$53="","",IFERROR(INDEX(SAISIE!$L$5:$L$204,MATCH(MINIFS(SAISIE!$L$5:$L$204,SAISIE!$J$5:$J$204,"*Neige*",SAISIE!$J$5:$J$204,"&lt;&gt;*accidentel*",SAISIE!$M$5:$M$204,$M$53),SAISIE!$L$5:$L$204,0)),"-"))</f>
        <v/>
      </c>
      <c r="L63" s="7">
        <f>IF($M$53="","",IF(OR(K63="",K63="-"),"",IF(K63&gt;0,"(soulevement)",IF(K63&lt;0,"(compression)","-"))))</f>
        <v/>
      </c>
    </row>
    <row r="64">
      <c r="A64" s="6">
        <f>IF(OR($F$53="",NOT(TRUE)),"","Neige accidentelle")</f>
        <v/>
      </c>
      <c r="B64" s="7">
        <f>IF($F$53="","",IFERROR(LOOKUP(2,1/((SAISIE!$F$5:$F$204=$F$53)*(ISNUMBER(SEARCH("accidentel",SAISIE!$B$5:$B$204)))),SAISIE!$C$5:$C$204),"-"))</f>
        <v/>
      </c>
      <c r="C64" s="7">
        <f>IF($F$53="","",IFERROR(LOOKUP(2,1/((SAISIE!$F$5:$F$204=$F$53)*(ISNUMBER(SEARCH("accidentel",SAISIE!$B$5:$B$204)))),SAISIE!$D$5:$D$204),"-"))</f>
        <v/>
      </c>
      <c r="D64" s="7">
        <f>IF($F$53="","",IFERROR(LOOKUP(2,1/((SAISIE!$F$5:$F$204=$F$53)*(ISNUMBER(SEARCH("accidentel",SAISIE!$B$5:$B$204)))),SAISIE!$E$5:$E$204),"-"))</f>
        <v/>
      </c>
      <c r="E64" s="7">
        <f>IF($F$53="","",IF(OR(D64="",D64="-"),"",IF(D64&gt;0,"(soulevement)",IF(D64&lt;0,"(compression)","-"))))</f>
        <v/>
      </c>
      <c r="I64" s="6">
        <f>IF(OR($M$53="",NOT(TRUE)),"","Neige accidentelle")</f>
        <v/>
      </c>
      <c r="J64" s="7">
        <f>IF($M$53="","",IFERROR(LOOKUP(2,1/((SAISIE!$M$5:$M$204=$M$53)*(ISNUMBER(SEARCH("accidentel",SAISIE!$J$5:$J$204)))),SAISIE!$K$5:$K$204),"-"))</f>
        <v/>
      </c>
      <c r="K64" s="7">
        <f>IF($M$53="","",IFERROR(LOOKUP(2,1/((SAISIE!$M$5:$M$204=$M$53)*(ISNUMBER(SEARCH("accidentel",SAISIE!$J$5:$J$204)))),SAISIE!$L$5:$L$204),"-"))</f>
        <v/>
      </c>
      <c r="L64" s="7">
        <f>IF($M$53="","",IF(OR(K64="",K64="-"),"",IF(K64&gt;0,"(soulevement)",IF(K64&lt;0,"(compression)","-"))))</f>
        <v/>
      </c>
    </row>
    <row r="65">
      <c r="A65" s="5">
        <f>IF($F$65="","","Noeud "&amp;$F$65)</f>
        <v/>
      </c>
      <c r="B65" s="5" t="n"/>
      <c r="C65" s="5" t="n"/>
      <c r="D65" s="5" t="n"/>
      <c r="E65" s="5" t="n"/>
      <c r="F65">
        <f>IFERROR(INDEX(SAISIE!$F$5:$F$204,AGGREGATE(15,6,ROW(SAISIE!$F$5:$F$204)-ROW(SAISIE!$F$5)+1/(SAISIE!$F$5:$F$204&lt;&gt;"")/(COUNTIF($F$4:F64,SAISIE!$F$5:$F$204)=0),1)),"")</f>
        <v/>
      </c>
      <c r="I65" s="5">
        <f>IF($M$65="","","Noeud "&amp;$M$65)</f>
        <v/>
      </c>
      <c r="J65" s="5" t="n"/>
      <c r="K65" s="5" t="n"/>
      <c r="L65" s="5" t="n"/>
      <c r="M65">
        <f>IFERROR(INDEX(SAISIE!$M$5:$M$204,AGGREGATE(15,6,ROW(SAISIE!$M$5:$M$204)-ROW(SAISIE!$M$5)+1/(SAISIE!$M$5:$M$204&lt;&gt;"")/(COUNTIF($M$4:M64,SAISIE!$M$5:$M$204)=0),1)),"")</f>
        <v/>
      </c>
    </row>
    <row r="66">
      <c r="A66" s="6">
        <f>IF(OR($F$65="",NOT(TRUE)),"","Couverture")</f>
        <v/>
      </c>
      <c r="B66" s="7">
        <f>IF($F$65="","",IFERROR(IFERROR(LOOKUP(2,1/((SAISIE!$F$5:$F$204=$F$65)*(LEFT(SAISIE!$B$5:$B$204,2)="G ")),SAISIE!$C$5:$C$204),LOOKUP(2,1/((SAISIE!$F$5:$F$204=$F$65)*(ISNUMBER(SEARCH("Couverture",SAISIE!$B$5:$B$204)))),SAISIE!$C$5:$C$204)),"-"))</f>
        <v/>
      </c>
      <c r="C66" s="7">
        <f>IF($F$65="","",IFERROR(IFERROR(LOOKUP(2,1/((SAISIE!$F$5:$F$204=$F$65)*(LEFT(SAISIE!$B$5:$B$204,2)="G ")),SAISIE!$D$5:$D$204),LOOKUP(2,1/((SAISIE!$F$5:$F$204=$F$65)*(ISNUMBER(SEARCH("Couverture",SAISIE!$B$5:$B$204)))),SAISIE!$D$5:$D$204)),"-"))</f>
        <v/>
      </c>
      <c r="D66" s="7">
        <f>IF($F$65="","",IFERROR(IFERROR(LOOKUP(2,1/((SAISIE!$F$5:$F$204=$F$65)*(LEFT(SAISIE!$B$5:$B$204,2)="G ")),SAISIE!$E$5:$E$204),LOOKUP(2,1/((SAISIE!$F$5:$F$204=$F$65)*(ISNUMBER(SEARCH("Couverture",SAISIE!$B$5:$B$204)))),SAISIE!$E$5:$E$204)),"-"))</f>
        <v/>
      </c>
      <c r="E66" s="7">
        <f>IF($F$65="","",IF(OR(D66="",D66="-"),"",IF(D66&gt;0,"(soulevement)",IF(D66&lt;0,"(compression)","-"))))</f>
        <v/>
      </c>
      <c r="I66" s="6">
        <f>IF(OR($M$65="",NOT(TRUE)),"","Couverture")</f>
        <v/>
      </c>
      <c r="J66" s="7">
        <f>IF($M$65="","",IFERROR(IFERROR(LOOKUP(2,1/((SAISIE!$M$5:$M$204=$M$65)*(LEFT(SAISIE!$J$5:$J$204,2)="G ")),SAISIE!$K$5:$K$204),LOOKUP(2,1/((SAISIE!$M$5:$M$204=$M$65)*(ISNUMBER(SEARCH("Couverture",SAISIE!$J$5:$J$204)))),SAISIE!$K$5:$K$204)),"-"))</f>
        <v/>
      </c>
      <c r="K66" s="7">
        <f>IF($M$65="","",IFERROR(IFERROR(LOOKUP(2,1/((SAISIE!$M$5:$M$204=$M$65)*(LEFT(SAISIE!$J$5:$J$204,2)="G ")),SAISIE!$L$5:$L$204),LOOKUP(2,1/((SAISIE!$M$5:$M$204=$M$65)*(ISNUMBER(SEARCH("Couverture",SAISIE!$J$5:$J$204)))),SAISIE!$L$5:$L$204)),"-"))</f>
        <v/>
      </c>
      <c r="L66" s="7">
        <f>IF($M$65="","",IF(OR(K66="",K66="-"),"",IF(K66&gt;0,"(soulevement)",IF(K66&lt;0,"(compression)","-"))))</f>
        <v/>
      </c>
    </row>
    <row r="67">
      <c r="A67" s="6">
        <f>IF(OR($F$65="",NOT(COUNTIFS(SAISIE!$B$5:$B$204,"*Vent G/D*",SAISIE!$F$5:$F$204,$F$65)&gt;0)),"","Vent G/D")</f>
        <v/>
      </c>
      <c r="B67" s="7">
        <f>IF(OR($F$65="",NOT(COUNTIFS(SAISIE!$B$5:$B$204,"*Vent G/D*",SAISIE!$F$5:$F$204,$F$65)&gt;0)),"",IFERROR(IF(MINIFS(SAISIE!$E$5:$E$204,SAISIE!$B$5:$B$204,"*Vent G/D*",SAISIE!$F$5:$F$204,$F$65)&gt;=0,MAXIFS(SAISIE!$C$5:$C$204,SAISIE!$B$5:$B$204,"*Vent G/D*",SAISIE!$F$5:$F$204,$F$65),INDEX(SAISIE!$C$5:$C$204,MATCH(MINIFS(SAISIE!$E$5:$E$204,SAISIE!$B$5:$B$204,"*Vent G/D*",SAISIE!$F$5:$F$204,$F$65),SAISIE!$E$5:$E$204,0))),"-"))</f>
        <v/>
      </c>
      <c r="C67" s="7">
        <f>IF(OR($F$65="",NOT(COUNTIFS(SAISIE!$B$5:$B$204,"*Vent G/D*",SAISIE!$F$5:$F$204,$F$65)&gt;0)),"",IFERROR(IF(MINIFS(SAISIE!$E$5:$E$204,SAISIE!$B$5:$B$204,"*Vent G/D*",SAISIE!$F$5:$F$204,$F$65)&gt;=0,INDEX(SAISIE!$D$5:$D$204,MATCH(MAXIFS(SAISIE!$C$5:$C$204,SAISIE!$B$5:$B$204,"*Vent G/D*",SAISIE!$F$5:$F$204,$F$65),SAISIE!$C$5:$C$204,0)),INDEX(SAISIE!$D$5:$D$204,MATCH(MINIFS(SAISIE!$E$5:$E$204,SAISIE!$B$5:$B$204,"*Vent G/D*",SAISIE!$F$5:$F$204,$F$65),SAISIE!$E$5:$E$204,0))),"-"))</f>
        <v/>
      </c>
      <c r="D67" s="7">
        <f>IF(OR($F$65="",NOT(COUNTIFS(SAISIE!$B$5:$B$204,"*Vent G/D*",SAISIE!$F$5:$F$204,$F$65)&gt;0)),"",IFERROR(IF(MINIFS(SAISIE!$E$5:$E$204,SAISIE!$B$5:$B$204,"*Vent G/D*",SAISIE!$F$5:$F$204,$F$65)&gt;=0,0,MINIFS(SAISIE!$E$5:$E$204,SAISIE!$B$5:$B$204,"*Vent G/D*",SAISIE!$F$5:$F$204,$F$65)),"-"))</f>
        <v/>
      </c>
      <c r="E67" s="7">
        <f>IF($F$65="","",IF(OR(D67="",D67="-"),"",IF(D67&gt;0,"(soulevement)",IF(D67&lt;0,"(compression)","-"))))</f>
        <v/>
      </c>
      <c r="I67" s="6">
        <f>IF(OR($M$65="",NOT(COUNTIFS(SAISIE!$J$5:$J$204,"*Vent G/D*",SAISIE!$M$5:$M$204,$M$65)&gt;0)),"","Vent G/D")</f>
        <v/>
      </c>
      <c r="J67" s="7">
        <f>IF(OR($M$65="",NOT(COUNTIFS(SAISIE!$J$5:$J$204,"*Vent G/D*",SAISIE!$M$5:$M$204,$M$65)&gt;0)),"",IFERROR(IF(MINIFS(SAISIE!$L$5:$L$204,SAISIE!$J$5:$J$204,"*Vent G/D*",SAISIE!$M$5:$M$204,$M$65)&gt;=0,MAXIFS(SAISIE!$K$5:$K$204,SAISIE!$J$5:$J$204,"*Vent G/D*",SAISIE!$M$5:$M$204,$M$65),INDEX(SAISIE!$K$5:$K$204,MATCH(MINIFS(SAISIE!$L$5:$L$204,SAISIE!$J$5:$J$204,"*Vent G/D*",SAISIE!$M$5:$M$204,$M$65),SAISIE!$L$5:$L$204,0))),"-"))</f>
        <v/>
      </c>
      <c r="K67" s="7">
        <f>IF(OR($M$65="",NOT(COUNTIFS(SAISIE!$J$5:$J$204,"*Vent G/D*",SAISIE!$M$5:$M$204,$M$65)&gt;0)),"",IFERROR(IF(MINIFS(SAISIE!$L$5:$L$204,SAISIE!$J$5:$J$204,"*Vent G/D*",SAISIE!$M$5:$M$204,$M$65)&gt;=0,0,MINIFS(SAISIE!$L$5:$L$204,SAISIE!$J$5:$J$204,"*Vent G/D*",SAISIE!$M$5:$M$204,$M$65)),"-"))</f>
        <v/>
      </c>
      <c r="L67" s="7">
        <f>IF($M$65="","",IF(OR(K67="",K67="-"),"",IF(K67&gt;0,"(soulevement)",IF(K67&lt;0,"(compression)","-"))))</f>
        <v/>
      </c>
    </row>
    <row r="68">
      <c r="A68" s="6">
        <f>IF(OR($F$65="",NOT(MAXIFS(SAISIE!$E$5:$E$204,SAISIE!$B$5:$B$204,"*Vent G/D*",SAISIE!$F$5:$F$204,$F$65)&gt;0)),"","Vent G/D")</f>
        <v/>
      </c>
      <c r="B68" s="7">
        <f>IF(OR($F$65="",NOT(MAXIFS(SAISIE!$E$5:$E$204,SAISIE!$B$5:$B$204,"*Vent G/D*",SAISIE!$F$5:$F$204,$F$65)&gt;0)),"",IFERROR(INDEX(SAISIE!$C$5:$C$204,MATCH(MAXIFS(SAISIE!$E$5:$E$204,SAISIE!$B$5:$B$204,"*Vent G/D*",SAISIE!$F$5:$F$204,$F$65),SAISIE!$E$5:$E$204,0)),"-"))</f>
        <v/>
      </c>
      <c r="C68" s="7">
        <f>IF(OR($F$65="",NOT(MAXIFS(SAISIE!$E$5:$E$204,SAISIE!$B$5:$B$204,"*Vent G/D*",SAISIE!$F$5:$F$204,$F$65)&gt;0)),"",IFERROR(INDEX(SAISIE!$D$5:$D$204,MATCH(MAXIFS(SAISIE!$E$5:$E$204,SAISIE!$B$5:$B$204,"*Vent G/D*",SAISIE!$F$5:$F$204,$F$65),SAISIE!$E$5:$E$204,0)),"-"))</f>
        <v/>
      </c>
      <c r="D68" s="7">
        <f>IF(OR($F$65="",NOT(MAXIFS(SAISIE!$E$5:$E$204,SAISIE!$B$5:$B$204,"*Vent G/D*",SAISIE!$F$5:$F$204,$F$65)&gt;0)),"",IFERROR(MAXIFS(SAISIE!$E$5:$E$204,SAISIE!$B$5:$B$204,"*Vent G/D*",SAISIE!$F$5:$F$204,$F$65),"-"))</f>
        <v/>
      </c>
      <c r="E68" s="7">
        <f>IF($F$65="","",IF(OR(D68="",D68="-"),"",IF(D68&gt;0,"(soulevement)",IF(D68&lt;0,"(compression)","-"))))</f>
        <v/>
      </c>
      <c r="I68" s="6">
        <f>IF(OR($M$65="",NOT(MAXIFS(SAISIE!$L$5:$L$204,SAISIE!$J$5:$J$204,"*Vent G/D*",SAISIE!$M$5:$M$204,$M$65)&gt;0)),"","Vent G/D")</f>
        <v/>
      </c>
      <c r="J68" s="7">
        <f>IF(OR($M$65="",NOT(MAXIFS(SAISIE!$L$5:$L$204,SAISIE!$J$5:$J$204,"*Vent G/D*",SAISIE!$M$5:$M$204,$M$65)&gt;0)),"",IFERROR(INDEX(SAISIE!$K$5:$K$204,MATCH(MAXIFS(SAISIE!$L$5:$L$204,SAISIE!$J$5:$J$204,"*Vent G/D*",SAISIE!$M$5:$M$204,$M$65),SAISIE!$L$5:$L$204,0)),"-"))</f>
        <v/>
      </c>
      <c r="K68" s="7">
        <f>IF(OR($M$65="",NOT(MAXIFS(SAISIE!$L$5:$L$204,SAISIE!$J$5:$J$204,"*Vent G/D*",SAISIE!$M$5:$M$204,$M$65)&gt;0)),"",IFERROR(MAXIFS(SAISIE!$L$5:$L$204,SAISIE!$J$5:$J$204,"*Vent G/D*",SAISIE!$M$5:$M$204,$M$65),"-"))</f>
        <v/>
      </c>
      <c r="L68" s="7">
        <f>IF($M$65="","",IF(OR(K68="",K68="-"),"",IF(K68&gt;0,"(soulevement)",IF(K68&lt;0,"(compression)","-"))))</f>
        <v/>
      </c>
    </row>
    <row r="69">
      <c r="A69" s="6">
        <f>IF(OR($F$65="",NOT(COUNTIFS(SAISIE!$B$5:$B$204,"*Vent D/G*",SAISIE!$F$5:$F$204,$F$65)&gt;0)),"","Vent D/G")</f>
        <v/>
      </c>
      <c r="B69" s="7">
        <f>IF(OR($F$65="",NOT(COUNTIFS(SAISIE!$B$5:$B$204,"*Vent D/G*",SAISIE!$F$5:$F$204,$F$65)&gt;0)),"",IFERROR(IF(MINIFS(SAISIE!$E$5:$E$204,SAISIE!$B$5:$B$204,"*Vent D/G*",SAISIE!$F$5:$F$204,$F$65)&gt;=0,MAXIFS(SAISIE!$C$5:$C$204,SAISIE!$B$5:$B$204,"*Vent D/G*",SAISIE!$F$5:$F$204,$F$65),INDEX(SAISIE!$C$5:$C$204,MATCH(MINIFS(SAISIE!$E$5:$E$204,SAISIE!$B$5:$B$204,"*Vent D/G*",SAISIE!$F$5:$F$204,$F$65),SAISIE!$E$5:$E$204,0))),"-"))</f>
        <v/>
      </c>
      <c r="C69" s="7">
        <f>IF(OR($F$65="",NOT(COUNTIFS(SAISIE!$B$5:$B$204,"*Vent D/G*",SAISIE!$F$5:$F$204,$F$65)&gt;0)),"",IFERROR(IF(MINIFS(SAISIE!$E$5:$E$204,SAISIE!$B$5:$B$204,"*Vent D/G*",SAISIE!$F$5:$F$204,$F$65)&gt;=0,INDEX(SAISIE!$D$5:$D$204,MATCH(MAXIFS(SAISIE!$C$5:$C$204,SAISIE!$B$5:$B$204,"*Vent D/G*",SAISIE!$F$5:$F$204,$F$65),SAISIE!$C$5:$C$204,0)),INDEX(SAISIE!$D$5:$D$204,MATCH(MINIFS(SAISIE!$E$5:$E$204,SAISIE!$B$5:$B$204,"*Vent D/G*",SAISIE!$F$5:$F$204,$F$65),SAISIE!$E$5:$E$204,0))),"-"))</f>
        <v/>
      </c>
      <c r="D69" s="7">
        <f>IF(OR($F$65="",NOT(COUNTIFS(SAISIE!$B$5:$B$204,"*Vent D/G*",SAISIE!$F$5:$F$204,$F$65)&gt;0)),"",IFERROR(IF(MINIFS(SAISIE!$E$5:$E$204,SAISIE!$B$5:$B$204,"*Vent D/G*",SAISIE!$F$5:$F$204,$F$65)&gt;=0,0,MINIFS(SAISIE!$E$5:$E$204,SAISIE!$B$5:$B$204,"*Vent D/G*",SAISIE!$F$5:$F$204,$F$65)),"-"))</f>
        <v/>
      </c>
      <c r="E69" s="7">
        <f>IF($F$65="","",IF(OR(D69="",D69="-"),"",IF(D69&gt;0,"(soulevement)",IF(D69&lt;0,"(compression)","-"))))</f>
        <v/>
      </c>
      <c r="I69" s="6">
        <f>IF(OR($M$65="",NOT(COUNTIFS(SAISIE!$J$5:$J$204,"*Vent D/G*",SAISIE!$M$5:$M$204,$M$65)&gt;0)),"","Vent D/G")</f>
        <v/>
      </c>
      <c r="J69" s="7">
        <f>IF(OR($M$65="",NOT(COUNTIFS(SAISIE!$J$5:$J$204,"*Vent D/G*",SAISIE!$M$5:$M$204,$M$65)&gt;0)),"",IFERROR(IF(MINIFS(SAISIE!$L$5:$L$204,SAISIE!$J$5:$J$204,"*Vent D/G*",SAISIE!$M$5:$M$204,$M$65)&gt;=0,MAXIFS(SAISIE!$K$5:$K$204,SAISIE!$J$5:$J$204,"*Vent D/G*",SAISIE!$M$5:$M$204,$M$65),INDEX(SAISIE!$K$5:$K$204,MATCH(MINIFS(SAISIE!$L$5:$L$204,SAISIE!$J$5:$J$204,"*Vent D/G*",SAISIE!$M$5:$M$204,$M$65),SAISIE!$L$5:$L$204,0))),"-"))</f>
        <v/>
      </c>
      <c r="K69" s="7">
        <f>IF(OR($M$65="",NOT(COUNTIFS(SAISIE!$J$5:$J$204,"*Vent D/G*",SAISIE!$M$5:$M$204,$M$65)&gt;0)),"",IFERROR(IF(MINIFS(SAISIE!$L$5:$L$204,SAISIE!$J$5:$J$204,"*Vent D/G*",SAISIE!$M$5:$M$204,$M$65)&gt;=0,0,MINIFS(SAISIE!$L$5:$L$204,SAISIE!$J$5:$J$204,"*Vent D/G*",SAISIE!$M$5:$M$204,$M$65)),"-"))</f>
        <v/>
      </c>
      <c r="L69" s="7">
        <f>IF($M$65="","",IF(OR(K69="",K69="-"),"",IF(K69&gt;0,"(soulevement)",IF(K69&lt;0,"(compression)","-"))))</f>
        <v/>
      </c>
    </row>
    <row r="70">
      <c r="A70" s="6">
        <f>IF(OR($F$65="",NOT(MAXIFS(SAISIE!$E$5:$E$204,SAISIE!$B$5:$B$204,"*Vent D/G*",SAISIE!$F$5:$F$204,$F$65)&gt;0)),"","Vent D/G")</f>
        <v/>
      </c>
      <c r="B70" s="7">
        <f>IF(OR($F$65="",NOT(MAXIFS(SAISIE!$E$5:$E$204,SAISIE!$B$5:$B$204,"*Vent D/G*",SAISIE!$F$5:$F$204,$F$65)&gt;0)),"",IFERROR(INDEX(SAISIE!$C$5:$C$204,MATCH(MAXIFS(SAISIE!$E$5:$E$204,SAISIE!$B$5:$B$204,"*Vent D/G*",SAISIE!$F$5:$F$204,$F$65),SAISIE!$E$5:$E$204,0)),"-"))</f>
        <v/>
      </c>
      <c r="C70" s="7">
        <f>IF(OR($F$65="",NOT(MAXIFS(SAISIE!$E$5:$E$204,SAISIE!$B$5:$B$204,"*Vent D/G*",SAISIE!$F$5:$F$204,$F$65)&gt;0)),"",IFERROR(INDEX(SAISIE!$D$5:$D$204,MATCH(MAXIFS(SAISIE!$E$5:$E$204,SAISIE!$B$5:$B$204,"*Vent D/G*",SAISIE!$F$5:$F$204,$F$65),SAISIE!$E$5:$E$204,0)),"-"))</f>
        <v/>
      </c>
      <c r="D70" s="7">
        <f>IF(OR($F$65="",NOT(MAXIFS(SAISIE!$E$5:$E$204,SAISIE!$B$5:$B$204,"*Vent D/G*",SAISIE!$F$5:$F$204,$F$65)&gt;0)),"",IFERROR(MAXIFS(SAISIE!$E$5:$E$204,SAISIE!$B$5:$B$204,"*Vent D/G*",SAISIE!$F$5:$F$204,$F$65),"-"))</f>
        <v/>
      </c>
      <c r="E70" s="7">
        <f>IF($F$65="","",IF(OR(D70="",D70="-"),"",IF(D70&gt;0,"(soulevement)",IF(D70&lt;0,"(compression)","-"))))</f>
        <v/>
      </c>
      <c r="I70" s="6">
        <f>IF(OR($M$65="",NOT(MAXIFS(SAISIE!$L$5:$L$204,SAISIE!$J$5:$J$204,"*Vent D/G*",SAISIE!$M$5:$M$204,$M$65)&gt;0)),"","Vent D/G")</f>
        <v/>
      </c>
      <c r="J70" s="7">
        <f>IF(OR($M$65="",NOT(MAXIFS(SAISIE!$L$5:$L$204,SAISIE!$J$5:$J$204,"*Vent D/G*",SAISIE!$M$5:$M$204,$M$65)&gt;0)),"",IFERROR(INDEX(SAISIE!$K$5:$K$204,MATCH(MAXIFS(SAISIE!$L$5:$L$204,SAISIE!$J$5:$J$204,"*Vent D/G*",SAISIE!$M$5:$M$204,$M$65),SAISIE!$L$5:$L$204,0)),"-"))</f>
        <v/>
      </c>
      <c r="K70" s="7">
        <f>IF(OR($M$65="",NOT(MAXIFS(SAISIE!$L$5:$L$204,SAISIE!$J$5:$J$204,"*Vent D/G*",SAISIE!$M$5:$M$204,$M$65)&gt;0)),"",IFERROR(MAXIFS(SAISIE!$L$5:$L$204,SAISIE!$J$5:$J$204,"*Vent D/G*",SAISIE!$M$5:$M$204,$M$65),"-"))</f>
        <v/>
      </c>
      <c r="L70" s="7">
        <f>IF($M$65="","",IF(OR(K70="",K70="-"),"",IF(K70&gt;0,"(soulevement)",IF(K70&lt;0,"(compression)","-"))))</f>
        <v/>
      </c>
    </row>
    <row r="71">
      <c r="A71" s="6">
        <f>IF(OR($F$65="",NOT(COUNTIFS(SAISIE!$B$5:$B$204,"*Vent Av./Arr.*",SAISIE!$F$5:$F$204,$F$65)&gt;0)),"","Vent Av./Arr.")</f>
        <v/>
      </c>
      <c r="B71" s="7">
        <f>IF(OR($F$65="",NOT(COUNTIFS(SAISIE!$B$5:$B$204,"*Vent Av./Arr.*",SAISIE!$F$5:$F$204,$F$65)&gt;0)),"",IFERROR(IF(MINIFS(SAISIE!$E$5:$E$204,SAISIE!$B$5:$B$204,"*Vent Av./Arr.*",SAISIE!$F$5:$F$204,$F$65)&gt;=0,MAXIFS(SAISIE!$C$5:$C$204,SAISIE!$B$5:$B$204,"*Vent Av./Arr.*",SAISIE!$F$5:$F$204,$F$65),INDEX(SAISIE!$C$5:$C$204,MATCH(MINIFS(SAISIE!$E$5:$E$204,SAISIE!$B$5:$B$204,"*Vent Av./Arr.*",SAISIE!$F$5:$F$204,$F$65),SAISIE!$E$5:$E$204,0))),"-"))</f>
        <v/>
      </c>
      <c r="C71" s="7">
        <f>IF(OR($F$65="",NOT(COUNTIFS(SAISIE!$B$5:$B$204,"*Vent Av./Arr.*",SAISIE!$F$5:$F$204,$F$65)&gt;0)),"",IFERROR(IF(MINIFS(SAISIE!$E$5:$E$204,SAISIE!$B$5:$B$204,"*Vent Av./Arr.*",SAISIE!$F$5:$F$204,$F$65)&gt;=0,INDEX(SAISIE!$D$5:$D$204,MATCH(MAXIFS(SAISIE!$C$5:$C$204,SAISIE!$B$5:$B$204,"*Vent Av./Arr.*",SAISIE!$F$5:$F$204,$F$65),SAISIE!$C$5:$C$204,0)),INDEX(SAISIE!$D$5:$D$204,MATCH(MINIFS(SAISIE!$E$5:$E$204,SAISIE!$B$5:$B$204,"*Vent Av./Arr.*",SAISIE!$F$5:$F$204,$F$65),SAISIE!$E$5:$E$204,0))),"-"))</f>
        <v/>
      </c>
      <c r="D71" s="7">
        <f>IF(OR($F$65="",NOT(COUNTIFS(SAISIE!$B$5:$B$204,"*Vent Av./Arr.*",SAISIE!$F$5:$F$204,$F$65)&gt;0)),"",IFERROR(IF(MINIFS(SAISIE!$E$5:$E$204,SAISIE!$B$5:$B$204,"*Vent Av./Arr.*",SAISIE!$F$5:$F$204,$F$65)&gt;=0,0,MINIFS(SAISIE!$E$5:$E$204,SAISIE!$B$5:$B$204,"*Vent Av./Arr.*",SAISIE!$F$5:$F$204,$F$65)),"-"))</f>
        <v/>
      </c>
      <c r="E71" s="7">
        <f>IF($F$65="","",IF(OR(D71="",D71="-"),"",IF(D71&gt;0,"(soulevement)",IF(D71&lt;0,"(compression)","-"))))</f>
        <v/>
      </c>
      <c r="I71" s="6">
        <f>IF(OR($M$65="",NOT(COUNTIFS(SAISIE!$J$5:$J$204,"*Vent Av./Arr.*",SAISIE!$M$5:$M$204,$M$65)&gt;0)),"","Vent Av./Arr.")</f>
        <v/>
      </c>
      <c r="J71" s="7">
        <f>IF(OR($M$65="",NOT(COUNTIFS(SAISIE!$J$5:$J$204,"*Vent Av./Arr.*",SAISIE!$M$5:$M$204,$M$65)&gt;0)),"",IFERROR(IF(MINIFS(SAISIE!$L$5:$L$204,SAISIE!$J$5:$J$204,"*Vent Av./Arr.*",SAISIE!$M$5:$M$204,$M$65)&gt;=0,MAXIFS(SAISIE!$K$5:$K$204,SAISIE!$J$5:$J$204,"*Vent Av./Arr.*",SAISIE!$M$5:$M$204,$M$65),INDEX(SAISIE!$K$5:$K$204,MATCH(MINIFS(SAISIE!$L$5:$L$204,SAISIE!$J$5:$J$204,"*Vent Av./Arr.*",SAISIE!$M$5:$M$204,$M$65),SAISIE!$L$5:$L$204,0))),"-"))</f>
        <v/>
      </c>
      <c r="K71" s="7">
        <f>IF(OR($M$65="",NOT(COUNTIFS(SAISIE!$J$5:$J$204,"*Vent Av./Arr.*",SAISIE!$M$5:$M$204,$M$65)&gt;0)),"",IFERROR(IF(MINIFS(SAISIE!$L$5:$L$204,SAISIE!$J$5:$J$204,"*Vent Av./Arr.*",SAISIE!$M$5:$M$204,$M$65)&gt;=0,0,MINIFS(SAISIE!$L$5:$L$204,SAISIE!$J$5:$J$204,"*Vent Av./Arr.*",SAISIE!$M$5:$M$204,$M$65)),"-"))</f>
        <v/>
      </c>
      <c r="L71" s="7">
        <f>IF($M$65="","",IF(OR(K71="",K71="-"),"",IF(K71&gt;0,"(soulevement)",IF(K71&lt;0,"(compression)","-"))))</f>
        <v/>
      </c>
    </row>
    <row r="72">
      <c r="A72" s="6">
        <f>IF(OR($F$65="",NOT(MAXIFS(SAISIE!$E$5:$E$204,SAISIE!$B$5:$B$204,"*Vent Av./Arr.*",SAISIE!$F$5:$F$204,$F$65)&gt;0)),"","Vent Av./Arr.")</f>
        <v/>
      </c>
      <c r="B72" s="7">
        <f>IF(OR($F$65="",NOT(MAXIFS(SAISIE!$E$5:$E$204,SAISIE!$B$5:$B$204,"*Vent Av./Arr.*",SAISIE!$F$5:$F$204,$F$65)&gt;0)),"",IFERROR(INDEX(SAISIE!$C$5:$C$204,MATCH(MAXIFS(SAISIE!$E$5:$E$204,SAISIE!$B$5:$B$204,"*Vent Av./Arr.*",SAISIE!$F$5:$F$204,$F$65),SAISIE!$E$5:$E$204,0)),"-"))</f>
        <v/>
      </c>
      <c r="C72" s="7">
        <f>IF(OR($F$65="",NOT(MAXIFS(SAISIE!$E$5:$E$204,SAISIE!$B$5:$B$204,"*Vent Av./Arr.*",SAISIE!$F$5:$F$204,$F$65)&gt;0)),"",IFERROR(INDEX(SAISIE!$D$5:$D$204,MATCH(MAXIFS(SAISIE!$E$5:$E$204,SAISIE!$B$5:$B$204,"*Vent Av./Arr.*",SAISIE!$F$5:$F$204,$F$65),SAISIE!$E$5:$E$204,0)),"-"))</f>
        <v/>
      </c>
      <c r="D72" s="7">
        <f>IF(OR($F$65="",NOT(MAXIFS(SAISIE!$E$5:$E$204,SAISIE!$B$5:$B$204,"*Vent Av./Arr.*",SAISIE!$F$5:$F$204,$F$65)&gt;0)),"",IFERROR(MAXIFS(SAISIE!$E$5:$E$204,SAISIE!$B$5:$B$204,"*Vent Av./Arr.*",SAISIE!$F$5:$F$204,$F$65),"-"))</f>
        <v/>
      </c>
      <c r="E72" s="7">
        <f>IF($F$65="","",IF(OR(D72="",D72="-"),"",IF(D72&gt;0,"(soulevement)",IF(D72&lt;0,"(compression)","-"))))</f>
        <v/>
      </c>
      <c r="I72" s="6">
        <f>IF(OR($M$65="",NOT(MAXIFS(SAISIE!$L$5:$L$204,SAISIE!$J$5:$J$204,"*Vent Av./Arr.*",SAISIE!$M$5:$M$204,$M$65)&gt;0)),"","Vent Av./Arr.")</f>
        <v/>
      </c>
      <c r="J72" s="7">
        <f>IF(OR($M$65="",NOT(MAXIFS(SAISIE!$L$5:$L$204,SAISIE!$J$5:$J$204,"*Vent Av./Arr.*",SAISIE!$M$5:$M$204,$M$65)&gt;0)),"",IFERROR(INDEX(SAISIE!$K$5:$K$204,MATCH(MAXIFS(SAISIE!$L$5:$L$204,SAISIE!$J$5:$J$204,"*Vent Av./Arr.*",SAISIE!$M$5:$M$204,$M$65),SAISIE!$L$5:$L$204,0)),"-"))</f>
        <v/>
      </c>
      <c r="K72" s="7">
        <f>IF(OR($M$65="",NOT(MAXIFS(SAISIE!$L$5:$L$204,SAISIE!$J$5:$J$204,"*Vent Av./Arr.*",SAISIE!$M$5:$M$204,$M$65)&gt;0)),"",IFERROR(MAXIFS(SAISIE!$L$5:$L$204,SAISIE!$J$5:$J$204,"*Vent Av./Arr.*",SAISIE!$M$5:$M$204,$M$65),"-"))</f>
        <v/>
      </c>
      <c r="L72" s="7">
        <f>IF($M$65="","",IF(OR(K72="",K72="-"),"",IF(K72&gt;0,"(soulevement)",IF(K72&lt;0,"(compression)","-"))))</f>
        <v/>
      </c>
    </row>
    <row r="73">
      <c r="A73" s="6">
        <f>IF(OR($F$65="",NOT(COUNTIFS(SAISIE!$B$5:$B$204,"*Vent Arr./Av.*",SAISIE!$F$5:$F$204,$F$65)&gt;0)),"","Vent Arr./Av.")</f>
        <v/>
      </c>
      <c r="B73" s="7">
        <f>IF(OR($F$65="",NOT(COUNTIFS(SAISIE!$B$5:$B$204,"*Vent Arr./Av.*",SAISIE!$F$5:$F$204,$F$65)&gt;0)),"",IFERROR(IF(MINIFS(SAISIE!$E$5:$E$204,SAISIE!$B$5:$B$204,"*Vent Arr./Av.*",SAISIE!$F$5:$F$204,$F$65)&gt;=0,MAXIFS(SAISIE!$C$5:$C$204,SAISIE!$B$5:$B$204,"*Vent Arr./Av.*",SAISIE!$F$5:$F$204,$F$65),INDEX(SAISIE!$C$5:$C$204,MATCH(MINIFS(SAISIE!$E$5:$E$204,SAISIE!$B$5:$B$204,"*Vent Arr./Av.*",SAISIE!$F$5:$F$204,$F$65),SAISIE!$E$5:$E$204,0))),"-"))</f>
        <v/>
      </c>
      <c r="C73" s="7">
        <f>IF(OR($F$65="",NOT(COUNTIFS(SAISIE!$B$5:$B$204,"*Vent Arr./Av.*",SAISIE!$F$5:$F$204,$F$65)&gt;0)),"",IFERROR(IF(MINIFS(SAISIE!$E$5:$E$204,SAISIE!$B$5:$B$204,"*Vent Arr./Av.*",SAISIE!$F$5:$F$204,$F$65)&gt;=0,INDEX(SAISIE!$D$5:$D$204,MATCH(MAXIFS(SAISIE!$C$5:$C$204,SAISIE!$B$5:$B$204,"*Vent Arr./Av.*",SAISIE!$F$5:$F$204,$F$65),SAISIE!$C$5:$C$204,0)),INDEX(SAISIE!$D$5:$D$204,MATCH(MINIFS(SAISIE!$E$5:$E$204,SAISIE!$B$5:$B$204,"*Vent Arr./Av.*",SAISIE!$F$5:$F$204,$F$65),SAISIE!$E$5:$E$204,0))),"-"))</f>
        <v/>
      </c>
      <c r="D73" s="7">
        <f>IF(OR($F$65="",NOT(COUNTIFS(SAISIE!$B$5:$B$204,"*Vent Arr./Av.*",SAISIE!$F$5:$F$204,$F$65)&gt;0)),"",IFERROR(IF(MINIFS(SAISIE!$E$5:$E$204,SAISIE!$B$5:$B$204,"*Vent Arr./Av.*",SAISIE!$F$5:$F$204,$F$65)&gt;=0,0,MINIFS(SAISIE!$E$5:$E$204,SAISIE!$B$5:$B$204,"*Vent Arr./Av.*",SAISIE!$F$5:$F$204,$F$65)),"-"))</f>
        <v/>
      </c>
      <c r="E73" s="7">
        <f>IF($F$65="","",IF(OR(D73="",D73="-"),"",IF(D73&gt;0,"(soulevement)",IF(D73&lt;0,"(compression)","-"))))</f>
        <v/>
      </c>
      <c r="I73" s="6">
        <f>IF(OR($M$65="",NOT(COUNTIFS(SAISIE!$J$5:$J$204,"*Vent Arr./Av.*",SAISIE!$M$5:$M$204,$M$65)&gt;0)),"","Vent Arr./Av.")</f>
        <v/>
      </c>
      <c r="J73" s="7">
        <f>IF(OR($M$65="",NOT(COUNTIFS(SAISIE!$J$5:$J$204,"*Vent Arr./Av.*",SAISIE!$M$5:$M$204,$M$65)&gt;0)),"",IFERROR(IF(MINIFS(SAISIE!$L$5:$L$204,SAISIE!$J$5:$J$204,"*Vent Arr./Av.*",SAISIE!$M$5:$M$204,$M$65)&gt;=0,MAXIFS(SAISIE!$K$5:$K$204,SAISIE!$J$5:$J$204,"*Vent Arr./Av.*",SAISIE!$M$5:$M$204,$M$65),INDEX(SAISIE!$K$5:$K$204,MATCH(MINIFS(SAISIE!$L$5:$L$204,SAISIE!$J$5:$J$204,"*Vent Arr./Av.*",SAISIE!$M$5:$M$204,$M$65),SAISIE!$L$5:$L$204,0))),"-"))</f>
        <v/>
      </c>
      <c r="K73" s="7">
        <f>IF(OR($M$65="",NOT(COUNTIFS(SAISIE!$J$5:$J$204,"*Vent Arr./Av.*",SAISIE!$M$5:$M$204,$M$65)&gt;0)),"",IFERROR(IF(MINIFS(SAISIE!$L$5:$L$204,SAISIE!$J$5:$J$204,"*Vent Arr./Av.*",SAISIE!$M$5:$M$204,$M$65)&gt;=0,0,MINIFS(SAISIE!$L$5:$L$204,SAISIE!$J$5:$J$204,"*Vent Arr./Av.*",SAISIE!$M$5:$M$204,$M$65)),"-"))</f>
        <v/>
      </c>
      <c r="L73" s="7">
        <f>IF($M$65="","",IF(OR(K73="",K73="-"),"",IF(K73&gt;0,"(soulevement)",IF(K73&lt;0,"(compression)","-"))))</f>
        <v/>
      </c>
    </row>
    <row r="74">
      <c r="A74" s="6">
        <f>IF(OR($F$65="",NOT(MAXIFS(SAISIE!$E$5:$E$204,SAISIE!$B$5:$B$204,"*Vent Arr./Av.*",SAISIE!$F$5:$F$204,$F$65)&gt;0)),"","Vent Arr./Av.")</f>
        <v/>
      </c>
      <c r="B74" s="7">
        <f>IF(OR($F$65="",NOT(MAXIFS(SAISIE!$E$5:$E$204,SAISIE!$B$5:$B$204,"*Vent Arr./Av.*",SAISIE!$F$5:$F$204,$F$65)&gt;0)),"",IFERROR(INDEX(SAISIE!$C$5:$C$204,MATCH(MAXIFS(SAISIE!$E$5:$E$204,SAISIE!$B$5:$B$204,"*Vent Arr./Av.*",SAISIE!$F$5:$F$204,$F$65),SAISIE!$E$5:$E$204,0)),"-"))</f>
        <v/>
      </c>
      <c r="C74" s="7">
        <f>IF(OR($F$65="",NOT(MAXIFS(SAISIE!$E$5:$E$204,SAISIE!$B$5:$B$204,"*Vent Arr./Av.*",SAISIE!$F$5:$F$204,$F$65)&gt;0)),"",IFERROR(INDEX(SAISIE!$D$5:$D$204,MATCH(MAXIFS(SAISIE!$E$5:$E$204,SAISIE!$B$5:$B$204,"*Vent Arr./Av.*",SAISIE!$F$5:$F$204,$F$65),SAISIE!$E$5:$E$204,0)),"-"))</f>
        <v/>
      </c>
      <c r="D74" s="7">
        <f>IF(OR($F$65="",NOT(MAXIFS(SAISIE!$E$5:$E$204,SAISIE!$B$5:$B$204,"*Vent Arr./Av.*",SAISIE!$F$5:$F$204,$F$65)&gt;0)),"",IFERROR(MAXIFS(SAISIE!$E$5:$E$204,SAISIE!$B$5:$B$204,"*Vent Arr./Av.*",SAISIE!$F$5:$F$204,$F$65),"-"))</f>
        <v/>
      </c>
      <c r="E74" s="7">
        <f>IF($F$65="","",IF(OR(D74="",D74="-"),"",IF(D74&gt;0,"(soulevement)",IF(D74&lt;0,"(compression)","-"))))</f>
        <v/>
      </c>
      <c r="I74" s="6">
        <f>IF(OR($M$65="",NOT(MAXIFS(SAISIE!$L$5:$L$204,SAISIE!$J$5:$J$204,"*Vent Arr./Av.*",SAISIE!$M$5:$M$204,$M$65)&gt;0)),"","Vent Arr./Av.")</f>
        <v/>
      </c>
      <c r="J74" s="7">
        <f>IF(OR($M$65="",NOT(MAXIFS(SAISIE!$L$5:$L$204,SAISIE!$J$5:$J$204,"*Vent Arr./Av.*",SAISIE!$M$5:$M$204,$M$65)&gt;0)),"",IFERROR(INDEX(SAISIE!$K$5:$K$204,MATCH(MAXIFS(SAISIE!$L$5:$L$204,SAISIE!$J$5:$J$204,"*Vent Arr./Av.*",SAISIE!$M$5:$M$204,$M$65),SAISIE!$L$5:$L$204,0)),"-"))</f>
        <v/>
      </c>
      <c r="K74" s="7">
        <f>IF(OR($M$65="",NOT(MAXIFS(SAISIE!$L$5:$L$204,SAISIE!$J$5:$J$204,"*Vent Arr./Av.*",SAISIE!$M$5:$M$204,$M$65)&gt;0)),"",IFERROR(MAXIFS(SAISIE!$L$5:$L$204,SAISIE!$J$5:$J$204,"*Vent Arr./Av.*",SAISIE!$M$5:$M$204,$M$65),"-"))</f>
        <v/>
      </c>
      <c r="L74" s="7">
        <f>IF($M$65="","",IF(OR(K74="",K74="-"),"",IF(K74&gt;0,"(soulevement)",IF(K74&lt;0,"(compression)","-"))))</f>
        <v/>
      </c>
    </row>
    <row r="75">
      <c r="A75" s="6">
        <f>IF(OR($F$65="",NOT(TRUE)),"","Neige normale")</f>
        <v/>
      </c>
      <c r="B75" s="7">
        <f>IF($F$65="","",IFERROR(INDEX(SAISIE!$C$5:$C$204,MATCH(MINIFS(SAISIE!$E$5:$E$204,SAISIE!$B$5:$B$204,"*Neige*",SAISIE!$B$5:$B$204,"&lt;&gt;*accidentel*",SAISIE!$F$5:$F$204,$F$65),SAISIE!$E$5:$E$204,0)),"-"))</f>
        <v/>
      </c>
      <c r="C75" s="7">
        <f>IF($F$65="","",IFERROR(INDEX(SAISIE!$D$5:$D$204,MATCH(MINIFS(SAISIE!$E$5:$E$204,SAISIE!$B$5:$B$204,"*Neige*",SAISIE!$B$5:$B$204,"&lt;&gt;*accidentel*",SAISIE!$F$5:$F$204,$F$65),SAISIE!$E$5:$E$204,0)),"-"))</f>
        <v/>
      </c>
      <c r="D75" s="7">
        <f>IF($F$65="","",IFERROR(INDEX(SAISIE!$E$5:$E$204,MATCH(MINIFS(SAISIE!$E$5:$E$204,SAISIE!$B$5:$B$204,"*Neige*",SAISIE!$B$5:$B$204,"&lt;&gt;*accidentel*",SAISIE!$F$5:$F$204,$F$65),SAISIE!$E$5:$E$204,0)),"-"))</f>
        <v/>
      </c>
      <c r="E75" s="7">
        <f>IF($F$65="","",IF(OR(D75="",D75="-"),"",IF(D75&gt;0,"(soulevement)",IF(D75&lt;0,"(compression)","-"))))</f>
        <v/>
      </c>
      <c r="I75" s="6">
        <f>IF(OR($M$65="",NOT(TRUE)),"","Neige normale")</f>
        <v/>
      </c>
      <c r="J75" s="7">
        <f>IF($M$65="","",IFERROR(INDEX(SAISIE!$K$5:$K$204,MATCH(MINIFS(SAISIE!$L$5:$L$204,SAISIE!$J$5:$J$204,"*Neige*",SAISIE!$J$5:$J$204,"&lt;&gt;*accidentel*",SAISIE!$M$5:$M$204,$M$65),SAISIE!$L$5:$L$204,0)),"-"))</f>
        <v/>
      </c>
      <c r="K75" s="7">
        <f>IF($M$65="","",IFERROR(INDEX(SAISIE!$L$5:$L$204,MATCH(MINIFS(SAISIE!$L$5:$L$204,SAISIE!$J$5:$J$204,"*Neige*",SAISIE!$J$5:$J$204,"&lt;&gt;*accidentel*",SAISIE!$M$5:$M$204,$M$65),SAISIE!$L$5:$L$204,0)),"-"))</f>
        <v/>
      </c>
      <c r="L75" s="7">
        <f>IF($M$65="","",IF(OR(K75="",K75="-"),"",IF(K75&gt;0,"(soulevement)",IF(K75&lt;0,"(compression)","-"))))</f>
        <v/>
      </c>
    </row>
    <row r="76">
      <c r="A76" s="6">
        <f>IF(OR($F$65="",NOT(TRUE)),"","Neige accidentelle")</f>
        <v/>
      </c>
      <c r="B76" s="7">
        <f>IF($F$65="","",IFERROR(LOOKUP(2,1/((SAISIE!$F$5:$F$204=$F$65)*(ISNUMBER(SEARCH("accidentel",SAISIE!$B$5:$B$204)))),SAISIE!$C$5:$C$204),"-"))</f>
        <v/>
      </c>
      <c r="C76" s="7">
        <f>IF($F$65="","",IFERROR(LOOKUP(2,1/((SAISIE!$F$5:$F$204=$F$65)*(ISNUMBER(SEARCH("accidentel",SAISIE!$B$5:$B$204)))),SAISIE!$D$5:$D$204),"-"))</f>
        <v/>
      </c>
      <c r="D76" s="7">
        <f>IF($F$65="","",IFERROR(LOOKUP(2,1/((SAISIE!$F$5:$F$204=$F$65)*(ISNUMBER(SEARCH("accidentel",SAISIE!$B$5:$B$204)))),SAISIE!$E$5:$E$204),"-"))</f>
        <v/>
      </c>
      <c r="E76" s="7">
        <f>IF($F$65="","",IF(OR(D76="",D76="-"),"",IF(D76&gt;0,"(soulevement)",IF(D76&lt;0,"(compression)","-"))))</f>
        <v/>
      </c>
      <c r="I76" s="6">
        <f>IF(OR($M$65="",NOT(TRUE)),"","Neige accidentelle")</f>
        <v/>
      </c>
      <c r="J76" s="7">
        <f>IF($M$65="","",IFERROR(LOOKUP(2,1/((SAISIE!$M$5:$M$204=$M$65)*(ISNUMBER(SEARCH("accidentel",SAISIE!$J$5:$J$204)))),SAISIE!$K$5:$K$204),"-"))</f>
        <v/>
      </c>
      <c r="K76" s="7">
        <f>IF($M$65="","",IFERROR(LOOKUP(2,1/((SAISIE!$M$5:$M$204=$M$65)*(ISNUMBER(SEARCH("accidentel",SAISIE!$J$5:$J$204)))),SAISIE!$L$5:$L$204),"-"))</f>
        <v/>
      </c>
      <c r="L76" s="7">
        <f>IF($M$65="","",IF(OR(K76="",K76="-"),"",IF(K76&gt;0,"(soulevement)",IF(K76&lt;0,"(compression)","-"))))</f>
        <v/>
      </c>
    </row>
    <row r="77">
      <c r="A77" s="5">
        <f>IF($F$77="","","Noeud "&amp;$F$77)</f>
        <v/>
      </c>
      <c r="B77" s="5" t="n"/>
      <c r="C77" s="5" t="n"/>
      <c r="D77" s="5" t="n"/>
      <c r="E77" s="5" t="n"/>
      <c r="F77">
        <f>IFERROR(INDEX(SAISIE!$F$5:$F$204,AGGREGATE(15,6,ROW(SAISIE!$F$5:$F$204)-ROW(SAISIE!$F$5)+1/(SAISIE!$F$5:$F$204&lt;&gt;"")/(COUNTIF($F$4:F76,SAISIE!$F$5:$F$204)=0),1)),"")</f>
        <v/>
      </c>
      <c r="I77" s="5">
        <f>IF($M$77="","","Noeud "&amp;$M$77)</f>
        <v/>
      </c>
      <c r="J77" s="5" t="n"/>
      <c r="K77" s="5" t="n"/>
      <c r="L77" s="5" t="n"/>
      <c r="M77">
        <f>IFERROR(INDEX(SAISIE!$M$5:$M$204,AGGREGATE(15,6,ROW(SAISIE!$M$5:$M$204)-ROW(SAISIE!$M$5)+1/(SAISIE!$M$5:$M$204&lt;&gt;"")/(COUNTIF($M$4:M76,SAISIE!$M$5:$M$204)=0),1)),"")</f>
        <v/>
      </c>
    </row>
    <row r="78">
      <c r="A78" s="6">
        <f>IF(OR($F$77="",NOT(TRUE)),"","Couverture")</f>
        <v/>
      </c>
      <c r="B78" s="7">
        <f>IF($F$77="","",IFERROR(IFERROR(LOOKUP(2,1/((SAISIE!$F$5:$F$204=$F$77)*(LEFT(SAISIE!$B$5:$B$204,2)="G ")),SAISIE!$C$5:$C$204),LOOKUP(2,1/((SAISIE!$F$5:$F$204=$F$77)*(ISNUMBER(SEARCH("Couverture",SAISIE!$B$5:$B$204)))),SAISIE!$C$5:$C$204)),"-"))</f>
        <v/>
      </c>
      <c r="C78" s="7">
        <f>IF($F$77="","",IFERROR(IFERROR(LOOKUP(2,1/((SAISIE!$F$5:$F$204=$F$77)*(LEFT(SAISIE!$B$5:$B$204,2)="G ")),SAISIE!$D$5:$D$204),LOOKUP(2,1/((SAISIE!$F$5:$F$204=$F$77)*(ISNUMBER(SEARCH("Couverture",SAISIE!$B$5:$B$204)))),SAISIE!$D$5:$D$204)),"-"))</f>
        <v/>
      </c>
      <c r="D78" s="7">
        <f>IF($F$77="","",IFERROR(IFERROR(LOOKUP(2,1/((SAISIE!$F$5:$F$204=$F$77)*(LEFT(SAISIE!$B$5:$B$204,2)="G ")),SAISIE!$E$5:$E$204),LOOKUP(2,1/((SAISIE!$F$5:$F$204=$F$77)*(ISNUMBER(SEARCH("Couverture",SAISIE!$B$5:$B$204)))),SAISIE!$E$5:$E$204)),"-"))</f>
        <v/>
      </c>
      <c r="E78" s="7">
        <f>IF($F$77="","",IF(OR(D78="",D78="-"),"",IF(D78&gt;0,"(soulevement)",IF(D78&lt;0,"(compression)","-"))))</f>
        <v/>
      </c>
      <c r="I78" s="6">
        <f>IF(OR($M$77="",NOT(TRUE)),"","Couverture")</f>
        <v/>
      </c>
      <c r="J78" s="7">
        <f>IF($M$77="","",IFERROR(IFERROR(LOOKUP(2,1/((SAISIE!$M$5:$M$204=$M$77)*(LEFT(SAISIE!$J$5:$J$204,2)="G ")),SAISIE!$K$5:$K$204),LOOKUP(2,1/((SAISIE!$M$5:$M$204=$M$77)*(ISNUMBER(SEARCH("Couverture",SAISIE!$J$5:$J$204)))),SAISIE!$K$5:$K$204)),"-"))</f>
        <v/>
      </c>
      <c r="K78" s="7">
        <f>IF($M$77="","",IFERROR(IFERROR(LOOKUP(2,1/((SAISIE!$M$5:$M$204=$M$77)*(LEFT(SAISIE!$J$5:$J$204,2)="G ")),SAISIE!$L$5:$L$204),LOOKUP(2,1/((SAISIE!$M$5:$M$204=$M$77)*(ISNUMBER(SEARCH("Couverture",SAISIE!$J$5:$J$204)))),SAISIE!$L$5:$L$204)),"-"))</f>
        <v/>
      </c>
      <c r="L78" s="7">
        <f>IF($M$77="","",IF(OR(K78="",K78="-"),"",IF(K78&gt;0,"(soulevement)",IF(K78&lt;0,"(compression)","-"))))</f>
        <v/>
      </c>
    </row>
    <row r="79">
      <c r="A79" s="6">
        <f>IF(OR($F$77="",NOT(COUNTIFS(SAISIE!$B$5:$B$204,"*Vent G/D*",SAISIE!$F$5:$F$204,$F$77)&gt;0)),"","Vent G/D")</f>
        <v/>
      </c>
      <c r="B79" s="7">
        <f>IF(OR($F$77="",NOT(COUNTIFS(SAISIE!$B$5:$B$204,"*Vent G/D*",SAISIE!$F$5:$F$204,$F$77)&gt;0)),"",IFERROR(IF(MINIFS(SAISIE!$E$5:$E$204,SAISIE!$B$5:$B$204,"*Vent G/D*",SAISIE!$F$5:$F$204,$F$77)&gt;=0,MAXIFS(SAISIE!$C$5:$C$204,SAISIE!$B$5:$B$204,"*Vent G/D*",SAISIE!$F$5:$F$204,$F$77),INDEX(SAISIE!$C$5:$C$204,MATCH(MINIFS(SAISIE!$E$5:$E$204,SAISIE!$B$5:$B$204,"*Vent G/D*",SAISIE!$F$5:$F$204,$F$77),SAISIE!$E$5:$E$204,0))),"-"))</f>
        <v/>
      </c>
      <c r="C79" s="7">
        <f>IF(OR($F$77="",NOT(COUNTIFS(SAISIE!$B$5:$B$204,"*Vent G/D*",SAISIE!$F$5:$F$204,$F$77)&gt;0)),"",IFERROR(IF(MINIFS(SAISIE!$E$5:$E$204,SAISIE!$B$5:$B$204,"*Vent G/D*",SAISIE!$F$5:$F$204,$F$77)&gt;=0,INDEX(SAISIE!$D$5:$D$204,MATCH(MAXIFS(SAISIE!$C$5:$C$204,SAISIE!$B$5:$B$204,"*Vent G/D*",SAISIE!$F$5:$F$204,$F$77),SAISIE!$C$5:$C$204,0)),INDEX(SAISIE!$D$5:$D$204,MATCH(MINIFS(SAISIE!$E$5:$E$204,SAISIE!$B$5:$B$204,"*Vent G/D*",SAISIE!$F$5:$F$204,$F$77),SAISIE!$E$5:$E$204,0))),"-"))</f>
        <v/>
      </c>
      <c r="D79" s="7">
        <f>IF(OR($F$77="",NOT(COUNTIFS(SAISIE!$B$5:$B$204,"*Vent G/D*",SAISIE!$F$5:$F$204,$F$77)&gt;0)),"",IFERROR(IF(MINIFS(SAISIE!$E$5:$E$204,SAISIE!$B$5:$B$204,"*Vent G/D*",SAISIE!$F$5:$F$204,$F$77)&gt;=0,0,MINIFS(SAISIE!$E$5:$E$204,SAISIE!$B$5:$B$204,"*Vent G/D*",SAISIE!$F$5:$F$204,$F$77)),"-"))</f>
        <v/>
      </c>
      <c r="E79" s="7">
        <f>IF($F$77="","",IF(OR(D79="",D79="-"),"",IF(D79&gt;0,"(soulevement)",IF(D79&lt;0,"(compression)","-"))))</f>
        <v/>
      </c>
      <c r="I79" s="6">
        <f>IF(OR($M$77="",NOT(COUNTIFS(SAISIE!$J$5:$J$204,"*Vent G/D*",SAISIE!$M$5:$M$204,$M$77)&gt;0)),"","Vent G/D")</f>
        <v/>
      </c>
      <c r="J79" s="7">
        <f>IF(OR($M$77="",NOT(COUNTIFS(SAISIE!$J$5:$J$204,"*Vent G/D*",SAISIE!$M$5:$M$204,$M$77)&gt;0)),"",IFERROR(IF(MINIFS(SAISIE!$L$5:$L$204,SAISIE!$J$5:$J$204,"*Vent G/D*",SAISIE!$M$5:$M$204,$M$77)&gt;=0,MAXIFS(SAISIE!$K$5:$K$204,SAISIE!$J$5:$J$204,"*Vent G/D*",SAISIE!$M$5:$M$204,$M$77),INDEX(SAISIE!$K$5:$K$204,MATCH(MINIFS(SAISIE!$L$5:$L$204,SAISIE!$J$5:$J$204,"*Vent G/D*",SAISIE!$M$5:$M$204,$M$77),SAISIE!$L$5:$L$204,0))),"-"))</f>
        <v/>
      </c>
      <c r="K79" s="7">
        <f>IF(OR($M$77="",NOT(COUNTIFS(SAISIE!$J$5:$J$204,"*Vent G/D*",SAISIE!$M$5:$M$204,$M$77)&gt;0)),"",IFERROR(IF(MINIFS(SAISIE!$L$5:$L$204,SAISIE!$J$5:$J$204,"*Vent G/D*",SAISIE!$M$5:$M$204,$M$77)&gt;=0,0,MINIFS(SAISIE!$L$5:$L$204,SAISIE!$J$5:$J$204,"*Vent G/D*",SAISIE!$M$5:$M$204,$M$77)),"-"))</f>
        <v/>
      </c>
      <c r="L79" s="7">
        <f>IF($M$77="","",IF(OR(K79="",K79="-"),"",IF(K79&gt;0,"(soulevement)",IF(K79&lt;0,"(compression)","-"))))</f>
        <v/>
      </c>
    </row>
    <row r="80">
      <c r="A80" s="6">
        <f>IF(OR($F$77="",NOT(MAXIFS(SAISIE!$E$5:$E$204,SAISIE!$B$5:$B$204,"*Vent G/D*",SAISIE!$F$5:$F$204,$F$77)&gt;0)),"","Vent G/D")</f>
        <v/>
      </c>
      <c r="B80" s="7">
        <f>IF(OR($F$77="",NOT(MAXIFS(SAISIE!$E$5:$E$204,SAISIE!$B$5:$B$204,"*Vent G/D*",SAISIE!$F$5:$F$204,$F$77)&gt;0)),"",IFERROR(INDEX(SAISIE!$C$5:$C$204,MATCH(MAXIFS(SAISIE!$E$5:$E$204,SAISIE!$B$5:$B$204,"*Vent G/D*",SAISIE!$F$5:$F$204,$F$77),SAISIE!$E$5:$E$204,0)),"-"))</f>
        <v/>
      </c>
      <c r="C80" s="7">
        <f>IF(OR($F$77="",NOT(MAXIFS(SAISIE!$E$5:$E$204,SAISIE!$B$5:$B$204,"*Vent G/D*",SAISIE!$F$5:$F$204,$F$77)&gt;0)),"",IFERROR(INDEX(SAISIE!$D$5:$D$204,MATCH(MAXIFS(SAISIE!$E$5:$E$204,SAISIE!$B$5:$B$204,"*Vent G/D*",SAISIE!$F$5:$F$204,$F$77),SAISIE!$E$5:$E$204,0)),"-"))</f>
        <v/>
      </c>
      <c r="D80" s="7">
        <f>IF(OR($F$77="",NOT(MAXIFS(SAISIE!$E$5:$E$204,SAISIE!$B$5:$B$204,"*Vent G/D*",SAISIE!$F$5:$F$204,$F$77)&gt;0)),"",IFERROR(MAXIFS(SAISIE!$E$5:$E$204,SAISIE!$B$5:$B$204,"*Vent G/D*",SAISIE!$F$5:$F$204,$F$77),"-"))</f>
        <v/>
      </c>
      <c r="E80" s="7">
        <f>IF($F$77="","",IF(OR(D80="",D80="-"),"",IF(D80&gt;0,"(soulevement)",IF(D80&lt;0,"(compression)","-"))))</f>
        <v/>
      </c>
      <c r="I80" s="6">
        <f>IF(OR($M$77="",NOT(MAXIFS(SAISIE!$L$5:$L$204,SAISIE!$J$5:$J$204,"*Vent G/D*",SAISIE!$M$5:$M$204,$M$77)&gt;0)),"","Vent G/D")</f>
        <v/>
      </c>
      <c r="J80" s="7">
        <f>IF(OR($M$77="",NOT(MAXIFS(SAISIE!$L$5:$L$204,SAISIE!$J$5:$J$204,"*Vent G/D*",SAISIE!$M$5:$M$204,$M$77)&gt;0)),"",IFERROR(INDEX(SAISIE!$K$5:$K$204,MATCH(MAXIFS(SAISIE!$L$5:$L$204,SAISIE!$J$5:$J$204,"*Vent G/D*",SAISIE!$M$5:$M$204,$M$77),SAISIE!$L$5:$L$204,0)),"-"))</f>
        <v/>
      </c>
      <c r="K80" s="7">
        <f>IF(OR($M$77="",NOT(MAXIFS(SAISIE!$L$5:$L$204,SAISIE!$J$5:$J$204,"*Vent G/D*",SAISIE!$M$5:$M$204,$M$77)&gt;0)),"",IFERROR(MAXIFS(SAISIE!$L$5:$L$204,SAISIE!$J$5:$J$204,"*Vent G/D*",SAISIE!$M$5:$M$204,$M$77),"-"))</f>
        <v/>
      </c>
      <c r="L80" s="7">
        <f>IF($M$77="","",IF(OR(K80="",K80="-"),"",IF(K80&gt;0,"(soulevement)",IF(K80&lt;0,"(compression)","-"))))</f>
        <v/>
      </c>
    </row>
    <row r="81">
      <c r="A81" s="6">
        <f>IF(OR($F$77="",NOT(COUNTIFS(SAISIE!$B$5:$B$204,"*Vent D/G*",SAISIE!$F$5:$F$204,$F$77)&gt;0)),"","Vent D/G")</f>
        <v/>
      </c>
      <c r="B81" s="7">
        <f>IF(OR($F$77="",NOT(COUNTIFS(SAISIE!$B$5:$B$204,"*Vent D/G*",SAISIE!$F$5:$F$204,$F$77)&gt;0)),"",IFERROR(IF(MINIFS(SAISIE!$E$5:$E$204,SAISIE!$B$5:$B$204,"*Vent D/G*",SAISIE!$F$5:$F$204,$F$77)&gt;=0,MAXIFS(SAISIE!$C$5:$C$204,SAISIE!$B$5:$B$204,"*Vent D/G*",SAISIE!$F$5:$F$204,$F$77),INDEX(SAISIE!$C$5:$C$204,MATCH(MINIFS(SAISIE!$E$5:$E$204,SAISIE!$B$5:$B$204,"*Vent D/G*",SAISIE!$F$5:$F$204,$F$77),SAISIE!$E$5:$E$204,0))),"-"))</f>
        <v/>
      </c>
      <c r="C81" s="7">
        <f>IF(OR($F$77="",NOT(COUNTIFS(SAISIE!$B$5:$B$204,"*Vent D/G*",SAISIE!$F$5:$F$204,$F$77)&gt;0)),"",IFERROR(IF(MINIFS(SAISIE!$E$5:$E$204,SAISIE!$B$5:$B$204,"*Vent D/G*",SAISIE!$F$5:$F$204,$F$77)&gt;=0,INDEX(SAISIE!$D$5:$D$204,MATCH(MAXIFS(SAISIE!$C$5:$C$204,SAISIE!$B$5:$B$204,"*Vent D/G*",SAISIE!$F$5:$F$204,$F$77),SAISIE!$C$5:$C$204,0)),INDEX(SAISIE!$D$5:$D$204,MATCH(MINIFS(SAISIE!$E$5:$E$204,SAISIE!$B$5:$B$204,"*Vent D/G*",SAISIE!$F$5:$F$204,$F$77),SAISIE!$E$5:$E$204,0))),"-"))</f>
        <v/>
      </c>
      <c r="D81" s="7">
        <f>IF(OR($F$77="",NOT(COUNTIFS(SAISIE!$B$5:$B$204,"*Vent D/G*",SAISIE!$F$5:$F$204,$F$77)&gt;0)),"",IFERROR(IF(MINIFS(SAISIE!$E$5:$E$204,SAISIE!$B$5:$B$204,"*Vent D/G*",SAISIE!$F$5:$F$204,$F$77)&gt;=0,0,MINIFS(SAISIE!$E$5:$E$204,SAISIE!$B$5:$B$204,"*Vent D/G*",SAISIE!$F$5:$F$204,$F$77)),"-"))</f>
        <v/>
      </c>
      <c r="E81" s="7">
        <f>IF($F$77="","",IF(OR(D81="",D81="-"),"",IF(D81&gt;0,"(soulevement)",IF(D81&lt;0,"(compression)","-"))))</f>
        <v/>
      </c>
      <c r="I81" s="6">
        <f>IF(OR($M$77="",NOT(COUNTIFS(SAISIE!$J$5:$J$204,"*Vent D/G*",SAISIE!$M$5:$M$204,$M$77)&gt;0)),"","Vent D/G")</f>
        <v/>
      </c>
      <c r="J81" s="7">
        <f>IF(OR($M$77="",NOT(COUNTIFS(SAISIE!$J$5:$J$204,"*Vent D/G*",SAISIE!$M$5:$M$204,$M$77)&gt;0)),"",IFERROR(IF(MINIFS(SAISIE!$L$5:$L$204,SAISIE!$J$5:$J$204,"*Vent D/G*",SAISIE!$M$5:$M$204,$M$77)&gt;=0,MAXIFS(SAISIE!$K$5:$K$204,SAISIE!$J$5:$J$204,"*Vent D/G*",SAISIE!$M$5:$M$204,$M$77),INDEX(SAISIE!$K$5:$K$204,MATCH(MINIFS(SAISIE!$L$5:$L$204,SAISIE!$J$5:$J$204,"*Vent D/G*",SAISIE!$M$5:$M$204,$M$77),SAISIE!$L$5:$L$204,0))),"-"))</f>
        <v/>
      </c>
      <c r="K81" s="7">
        <f>IF(OR($M$77="",NOT(COUNTIFS(SAISIE!$J$5:$J$204,"*Vent D/G*",SAISIE!$M$5:$M$204,$M$77)&gt;0)),"",IFERROR(IF(MINIFS(SAISIE!$L$5:$L$204,SAISIE!$J$5:$J$204,"*Vent D/G*",SAISIE!$M$5:$M$204,$M$77)&gt;=0,0,MINIFS(SAISIE!$L$5:$L$204,SAISIE!$J$5:$J$204,"*Vent D/G*",SAISIE!$M$5:$M$204,$M$77)),"-"))</f>
        <v/>
      </c>
      <c r="L81" s="7">
        <f>IF($M$77="","",IF(OR(K81="",K81="-"),"",IF(K81&gt;0,"(soulevement)",IF(K81&lt;0,"(compression)","-"))))</f>
        <v/>
      </c>
    </row>
    <row r="82">
      <c r="A82" s="6">
        <f>IF(OR($F$77="",NOT(MAXIFS(SAISIE!$E$5:$E$204,SAISIE!$B$5:$B$204,"*Vent D/G*",SAISIE!$F$5:$F$204,$F$77)&gt;0)),"","Vent D/G")</f>
        <v/>
      </c>
      <c r="B82" s="7">
        <f>IF(OR($F$77="",NOT(MAXIFS(SAISIE!$E$5:$E$204,SAISIE!$B$5:$B$204,"*Vent D/G*",SAISIE!$F$5:$F$204,$F$77)&gt;0)),"",IFERROR(INDEX(SAISIE!$C$5:$C$204,MATCH(MAXIFS(SAISIE!$E$5:$E$204,SAISIE!$B$5:$B$204,"*Vent D/G*",SAISIE!$F$5:$F$204,$F$77),SAISIE!$E$5:$E$204,0)),"-"))</f>
        <v/>
      </c>
      <c r="C82" s="7">
        <f>IF(OR($F$77="",NOT(MAXIFS(SAISIE!$E$5:$E$204,SAISIE!$B$5:$B$204,"*Vent D/G*",SAISIE!$F$5:$F$204,$F$77)&gt;0)),"",IFERROR(INDEX(SAISIE!$D$5:$D$204,MATCH(MAXIFS(SAISIE!$E$5:$E$204,SAISIE!$B$5:$B$204,"*Vent D/G*",SAISIE!$F$5:$F$204,$F$77),SAISIE!$E$5:$E$204,0)),"-"))</f>
        <v/>
      </c>
      <c r="D82" s="7">
        <f>IF(OR($F$77="",NOT(MAXIFS(SAISIE!$E$5:$E$204,SAISIE!$B$5:$B$204,"*Vent D/G*",SAISIE!$F$5:$F$204,$F$77)&gt;0)),"",IFERROR(MAXIFS(SAISIE!$E$5:$E$204,SAISIE!$B$5:$B$204,"*Vent D/G*",SAISIE!$F$5:$F$204,$F$77),"-"))</f>
        <v/>
      </c>
      <c r="E82" s="7">
        <f>IF($F$77="","",IF(OR(D82="",D82="-"),"",IF(D82&gt;0,"(soulevement)",IF(D82&lt;0,"(compression)","-"))))</f>
        <v/>
      </c>
      <c r="I82" s="6">
        <f>IF(OR($M$77="",NOT(MAXIFS(SAISIE!$L$5:$L$204,SAISIE!$J$5:$J$204,"*Vent D/G*",SAISIE!$M$5:$M$204,$M$77)&gt;0)),"","Vent D/G")</f>
        <v/>
      </c>
      <c r="J82" s="7">
        <f>IF(OR($M$77="",NOT(MAXIFS(SAISIE!$L$5:$L$204,SAISIE!$J$5:$J$204,"*Vent D/G*",SAISIE!$M$5:$M$204,$M$77)&gt;0)),"",IFERROR(INDEX(SAISIE!$K$5:$K$204,MATCH(MAXIFS(SAISIE!$L$5:$L$204,SAISIE!$J$5:$J$204,"*Vent D/G*",SAISIE!$M$5:$M$204,$M$77),SAISIE!$L$5:$L$204,0)),"-"))</f>
        <v/>
      </c>
      <c r="K82" s="7">
        <f>IF(OR($M$77="",NOT(MAXIFS(SAISIE!$L$5:$L$204,SAISIE!$J$5:$J$204,"*Vent D/G*",SAISIE!$M$5:$M$204,$M$77)&gt;0)),"",IFERROR(MAXIFS(SAISIE!$L$5:$L$204,SAISIE!$J$5:$J$204,"*Vent D/G*",SAISIE!$M$5:$M$204,$M$77),"-"))</f>
        <v/>
      </c>
      <c r="L82" s="7">
        <f>IF($M$77="","",IF(OR(K82="",K82="-"),"",IF(K82&gt;0,"(soulevement)",IF(K82&lt;0,"(compression)","-"))))</f>
        <v/>
      </c>
    </row>
    <row r="83">
      <c r="A83" s="6">
        <f>IF(OR($F$77="",NOT(COUNTIFS(SAISIE!$B$5:$B$204,"*Vent Av./Arr.*",SAISIE!$F$5:$F$204,$F$77)&gt;0)),"","Vent Av./Arr.")</f>
        <v/>
      </c>
      <c r="B83" s="7">
        <f>IF(OR($F$77="",NOT(COUNTIFS(SAISIE!$B$5:$B$204,"*Vent Av./Arr.*",SAISIE!$F$5:$F$204,$F$77)&gt;0)),"",IFERROR(IF(MINIFS(SAISIE!$E$5:$E$204,SAISIE!$B$5:$B$204,"*Vent Av./Arr.*",SAISIE!$F$5:$F$204,$F$77)&gt;=0,MAXIFS(SAISIE!$C$5:$C$204,SAISIE!$B$5:$B$204,"*Vent Av./Arr.*",SAISIE!$F$5:$F$204,$F$77),INDEX(SAISIE!$C$5:$C$204,MATCH(MINIFS(SAISIE!$E$5:$E$204,SAISIE!$B$5:$B$204,"*Vent Av./Arr.*",SAISIE!$F$5:$F$204,$F$77),SAISIE!$E$5:$E$204,0))),"-"))</f>
        <v/>
      </c>
      <c r="C83" s="7">
        <f>IF(OR($F$77="",NOT(COUNTIFS(SAISIE!$B$5:$B$204,"*Vent Av./Arr.*",SAISIE!$F$5:$F$204,$F$77)&gt;0)),"",IFERROR(IF(MINIFS(SAISIE!$E$5:$E$204,SAISIE!$B$5:$B$204,"*Vent Av./Arr.*",SAISIE!$F$5:$F$204,$F$77)&gt;=0,INDEX(SAISIE!$D$5:$D$204,MATCH(MAXIFS(SAISIE!$C$5:$C$204,SAISIE!$B$5:$B$204,"*Vent Av./Arr.*",SAISIE!$F$5:$F$204,$F$77),SAISIE!$C$5:$C$204,0)),INDEX(SAISIE!$D$5:$D$204,MATCH(MINIFS(SAISIE!$E$5:$E$204,SAISIE!$B$5:$B$204,"*Vent Av./Arr.*",SAISIE!$F$5:$F$204,$F$77),SAISIE!$E$5:$E$204,0))),"-"))</f>
        <v/>
      </c>
      <c r="D83" s="7">
        <f>IF(OR($F$77="",NOT(COUNTIFS(SAISIE!$B$5:$B$204,"*Vent Av./Arr.*",SAISIE!$F$5:$F$204,$F$77)&gt;0)),"",IFERROR(IF(MINIFS(SAISIE!$E$5:$E$204,SAISIE!$B$5:$B$204,"*Vent Av./Arr.*",SAISIE!$F$5:$F$204,$F$77)&gt;=0,0,MINIFS(SAISIE!$E$5:$E$204,SAISIE!$B$5:$B$204,"*Vent Av./Arr.*",SAISIE!$F$5:$F$204,$F$77)),"-"))</f>
        <v/>
      </c>
      <c r="E83" s="7">
        <f>IF($F$77="","",IF(OR(D83="",D83="-"),"",IF(D83&gt;0,"(soulevement)",IF(D83&lt;0,"(compression)","-"))))</f>
        <v/>
      </c>
      <c r="I83" s="6">
        <f>IF(OR($M$77="",NOT(COUNTIFS(SAISIE!$J$5:$J$204,"*Vent Av./Arr.*",SAISIE!$M$5:$M$204,$M$77)&gt;0)),"","Vent Av./Arr.")</f>
        <v/>
      </c>
      <c r="J83" s="7">
        <f>IF(OR($M$77="",NOT(COUNTIFS(SAISIE!$J$5:$J$204,"*Vent Av./Arr.*",SAISIE!$M$5:$M$204,$M$77)&gt;0)),"",IFERROR(IF(MINIFS(SAISIE!$L$5:$L$204,SAISIE!$J$5:$J$204,"*Vent Av./Arr.*",SAISIE!$M$5:$M$204,$M$77)&gt;=0,MAXIFS(SAISIE!$K$5:$K$204,SAISIE!$J$5:$J$204,"*Vent Av./Arr.*",SAISIE!$M$5:$M$204,$M$77),INDEX(SAISIE!$K$5:$K$204,MATCH(MINIFS(SAISIE!$L$5:$L$204,SAISIE!$J$5:$J$204,"*Vent Av./Arr.*",SAISIE!$M$5:$M$204,$M$77),SAISIE!$L$5:$L$204,0))),"-"))</f>
        <v/>
      </c>
      <c r="K83" s="7">
        <f>IF(OR($M$77="",NOT(COUNTIFS(SAISIE!$J$5:$J$204,"*Vent Av./Arr.*",SAISIE!$M$5:$M$204,$M$77)&gt;0)),"",IFERROR(IF(MINIFS(SAISIE!$L$5:$L$204,SAISIE!$J$5:$J$204,"*Vent Av./Arr.*",SAISIE!$M$5:$M$204,$M$77)&gt;=0,0,MINIFS(SAISIE!$L$5:$L$204,SAISIE!$J$5:$J$204,"*Vent Av./Arr.*",SAISIE!$M$5:$M$204,$M$77)),"-"))</f>
        <v/>
      </c>
      <c r="L83" s="7">
        <f>IF($M$77="","",IF(OR(K83="",K83="-"),"",IF(K83&gt;0,"(soulevement)",IF(K83&lt;0,"(compression)","-"))))</f>
        <v/>
      </c>
    </row>
    <row r="84">
      <c r="A84" s="6">
        <f>IF(OR($F$77="",NOT(MAXIFS(SAISIE!$E$5:$E$204,SAISIE!$B$5:$B$204,"*Vent Av./Arr.*",SAISIE!$F$5:$F$204,$F$77)&gt;0)),"","Vent Av./Arr.")</f>
        <v/>
      </c>
      <c r="B84" s="7">
        <f>IF(OR($F$77="",NOT(MAXIFS(SAISIE!$E$5:$E$204,SAISIE!$B$5:$B$204,"*Vent Av./Arr.*",SAISIE!$F$5:$F$204,$F$77)&gt;0)),"",IFERROR(INDEX(SAISIE!$C$5:$C$204,MATCH(MAXIFS(SAISIE!$E$5:$E$204,SAISIE!$B$5:$B$204,"*Vent Av./Arr.*",SAISIE!$F$5:$F$204,$F$77),SAISIE!$E$5:$E$204,0)),"-"))</f>
        <v/>
      </c>
      <c r="C84" s="7">
        <f>IF(OR($F$77="",NOT(MAXIFS(SAISIE!$E$5:$E$204,SAISIE!$B$5:$B$204,"*Vent Av./Arr.*",SAISIE!$F$5:$F$204,$F$77)&gt;0)),"",IFERROR(INDEX(SAISIE!$D$5:$D$204,MATCH(MAXIFS(SAISIE!$E$5:$E$204,SAISIE!$B$5:$B$204,"*Vent Av./Arr.*",SAISIE!$F$5:$F$204,$F$77),SAISIE!$E$5:$E$204,0)),"-"))</f>
        <v/>
      </c>
      <c r="D84" s="7">
        <f>IF(OR($F$77="",NOT(MAXIFS(SAISIE!$E$5:$E$204,SAISIE!$B$5:$B$204,"*Vent Av./Arr.*",SAISIE!$F$5:$F$204,$F$77)&gt;0)),"",IFERROR(MAXIFS(SAISIE!$E$5:$E$204,SAISIE!$B$5:$B$204,"*Vent Av./Arr.*",SAISIE!$F$5:$F$204,$F$77),"-"))</f>
        <v/>
      </c>
      <c r="E84" s="7">
        <f>IF($F$77="","",IF(OR(D84="",D84="-"),"",IF(D84&gt;0,"(soulevement)",IF(D84&lt;0,"(compression)","-"))))</f>
        <v/>
      </c>
      <c r="I84" s="6">
        <f>IF(OR($M$77="",NOT(MAXIFS(SAISIE!$L$5:$L$204,SAISIE!$J$5:$J$204,"*Vent Av./Arr.*",SAISIE!$M$5:$M$204,$M$77)&gt;0)),"","Vent Av./Arr.")</f>
        <v/>
      </c>
      <c r="J84" s="7">
        <f>IF(OR($M$77="",NOT(MAXIFS(SAISIE!$L$5:$L$204,SAISIE!$J$5:$J$204,"*Vent Av./Arr.*",SAISIE!$M$5:$M$204,$M$77)&gt;0)),"",IFERROR(INDEX(SAISIE!$K$5:$K$204,MATCH(MAXIFS(SAISIE!$L$5:$L$204,SAISIE!$J$5:$J$204,"*Vent Av./Arr.*",SAISIE!$M$5:$M$204,$M$77),SAISIE!$L$5:$L$204,0)),"-"))</f>
        <v/>
      </c>
      <c r="K84" s="7">
        <f>IF(OR($M$77="",NOT(MAXIFS(SAISIE!$L$5:$L$204,SAISIE!$J$5:$J$204,"*Vent Av./Arr.*",SAISIE!$M$5:$M$204,$M$77)&gt;0)),"",IFERROR(MAXIFS(SAISIE!$L$5:$L$204,SAISIE!$J$5:$J$204,"*Vent Av./Arr.*",SAISIE!$M$5:$M$204,$M$77),"-"))</f>
        <v/>
      </c>
      <c r="L84" s="7">
        <f>IF($M$77="","",IF(OR(K84="",K84="-"),"",IF(K84&gt;0,"(soulevement)",IF(K84&lt;0,"(compression)","-"))))</f>
        <v/>
      </c>
    </row>
    <row r="85">
      <c r="A85" s="6">
        <f>IF(OR($F$77="",NOT(COUNTIFS(SAISIE!$B$5:$B$204,"*Vent Arr./Av.*",SAISIE!$F$5:$F$204,$F$77)&gt;0)),"","Vent Arr./Av.")</f>
        <v/>
      </c>
      <c r="B85" s="7">
        <f>IF(OR($F$77="",NOT(COUNTIFS(SAISIE!$B$5:$B$204,"*Vent Arr./Av.*",SAISIE!$F$5:$F$204,$F$77)&gt;0)),"",IFERROR(IF(MINIFS(SAISIE!$E$5:$E$204,SAISIE!$B$5:$B$204,"*Vent Arr./Av.*",SAISIE!$F$5:$F$204,$F$77)&gt;=0,MAXIFS(SAISIE!$C$5:$C$204,SAISIE!$B$5:$B$204,"*Vent Arr./Av.*",SAISIE!$F$5:$F$204,$F$77),INDEX(SAISIE!$C$5:$C$204,MATCH(MINIFS(SAISIE!$E$5:$E$204,SAISIE!$B$5:$B$204,"*Vent Arr./Av.*",SAISIE!$F$5:$F$204,$F$77),SAISIE!$E$5:$E$204,0))),"-"))</f>
        <v/>
      </c>
      <c r="C85" s="7">
        <f>IF(OR($F$77="",NOT(COUNTIFS(SAISIE!$B$5:$B$204,"*Vent Arr./Av.*",SAISIE!$F$5:$F$204,$F$77)&gt;0)),"",IFERROR(IF(MINIFS(SAISIE!$E$5:$E$204,SAISIE!$B$5:$B$204,"*Vent Arr./Av.*",SAISIE!$F$5:$F$204,$F$77)&gt;=0,INDEX(SAISIE!$D$5:$D$204,MATCH(MAXIFS(SAISIE!$C$5:$C$204,SAISIE!$B$5:$B$204,"*Vent Arr./Av.*",SAISIE!$F$5:$F$204,$F$77),SAISIE!$C$5:$C$204,0)),INDEX(SAISIE!$D$5:$D$204,MATCH(MINIFS(SAISIE!$E$5:$E$204,SAISIE!$B$5:$B$204,"*Vent Arr./Av.*",SAISIE!$F$5:$F$204,$F$77),SAISIE!$E$5:$E$204,0))),"-"))</f>
        <v/>
      </c>
      <c r="D85" s="7">
        <f>IF(OR($F$77="",NOT(COUNTIFS(SAISIE!$B$5:$B$204,"*Vent Arr./Av.*",SAISIE!$F$5:$F$204,$F$77)&gt;0)),"",IFERROR(IF(MINIFS(SAISIE!$E$5:$E$204,SAISIE!$B$5:$B$204,"*Vent Arr./Av.*",SAISIE!$F$5:$F$204,$F$77)&gt;=0,0,MINIFS(SAISIE!$E$5:$E$204,SAISIE!$B$5:$B$204,"*Vent Arr./Av.*",SAISIE!$F$5:$F$204,$F$77)),"-"))</f>
        <v/>
      </c>
      <c r="E85" s="7">
        <f>IF($F$77="","",IF(OR(D85="",D85="-"),"",IF(D85&gt;0,"(soulevement)",IF(D85&lt;0,"(compression)","-"))))</f>
        <v/>
      </c>
      <c r="I85" s="6">
        <f>IF(OR($M$77="",NOT(COUNTIFS(SAISIE!$J$5:$J$204,"*Vent Arr./Av.*",SAISIE!$M$5:$M$204,$M$77)&gt;0)),"","Vent Arr./Av.")</f>
        <v/>
      </c>
      <c r="J85" s="7">
        <f>IF(OR($M$77="",NOT(COUNTIFS(SAISIE!$J$5:$J$204,"*Vent Arr./Av.*",SAISIE!$M$5:$M$204,$M$77)&gt;0)),"",IFERROR(IF(MINIFS(SAISIE!$L$5:$L$204,SAISIE!$J$5:$J$204,"*Vent Arr./Av.*",SAISIE!$M$5:$M$204,$M$77)&gt;=0,MAXIFS(SAISIE!$K$5:$K$204,SAISIE!$J$5:$J$204,"*Vent Arr./Av.*",SAISIE!$M$5:$M$204,$M$77),INDEX(SAISIE!$K$5:$K$204,MATCH(MINIFS(SAISIE!$L$5:$L$204,SAISIE!$J$5:$J$204,"*Vent Arr./Av.*",SAISIE!$M$5:$M$204,$M$77),SAISIE!$L$5:$L$204,0))),"-"))</f>
        <v/>
      </c>
      <c r="K85" s="7">
        <f>IF(OR($M$77="",NOT(COUNTIFS(SAISIE!$J$5:$J$204,"*Vent Arr./Av.*",SAISIE!$M$5:$M$204,$M$77)&gt;0)),"",IFERROR(IF(MINIFS(SAISIE!$L$5:$L$204,SAISIE!$J$5:$J$204,"*Vent Arr./Av.*",SAISIE!$M$5:$M$204,$M$77)&gt;=0,0,MINIFS(SAISIE!$L$5:$L$204,SAISIE!$J$5:$J$204,"*Vent Arr./Av.*",SAISIE!$M$5:$M$204,$M$77)),"-"))</f>
        <v/>
      </c>
      <c r="L85" s="7">
        <f>IF($M$77="","",IF(OR(K85="",K85="-"),"",IF(K85&gt;0,"(soulevement)",IF(K85&lt;0,"(compression)","-"))))</f>
        <v/>
      </c>
    </row>
    <row r="86">
      <c r="A86" s="6">
        <f>IF(OR($F$77="",NOT(MAXIFS(SAISIE!$E$5:$E$204,SAISIE!$B$5:$B$204,"*Vent Arr./Av.*",SAISIE!$F$5:$F$204,$F$77)&gt;0)),"","Vent Arr./Av.")</f>
        <v/>
      </c>
      <c r="B86" s="7">
        <f>IF(OR($F$77="",NOT(MAXIFS(SAISIE!$E$5:$E$204,SAISIE!$B$5:$B$204,"*Vent Arr./Av.*",SAISIE!$F$5:$F$204,$F$77)&gt;0)),"",IFERROR(INDEX(SAISIE!$C$5:$C$204,MATCH(MAXIFS(SAISIE!$E$5:$E$204,SAISIE!$B$5:$B$204,"*Vent Arr./Av.*",SAISIE!$F$5:$F$204,$F$77),SAISIE!$E$5:$E$204,0)),"-"))</f>
        <v/>
      </c>
      <c r="C86" s="7">
        <f>IF(OR($F$77="",NOT(MAXIFS(SAISIE!$E$5:$E$204,SAISIE!$B$5:$B$204,"*Vent Arr./Av.*",SAISIE!$F$5:$F$204,$F$77)&gt;0)),"",IFERROR(INDEX(SAISIE!$D$5:$D$204,MATCH(MAXIFS(SAISIE!$E$5:$E$204,SAISIE!$B$5:$B$204,"*Vent Arr./Av.*",SAISIE!$F$5:$F$204,$F$77),SAISIE!$E$5:$E$204,0)),"-"))</f>
        <v/>
      </c>
      <c r="D86" s="7">
        <f>IF(OR($F$77="",NOT(MAXIFS(SAISIE!$E$5:$E$204,SAISIE!$B$5:$B$204,"*Vent Arr./Av.*",SAISIE!$F$5:$F$204,$F$77)&gt;0)),"",IFERROR(MAXIFS(SAISIE!$E$5:$E$204,SAISIE!$B$5:$B$204,"*Vent Arr./Av.*",SAISIE!$F$5:$F$204,$F$77),"-"))</f>
        <v/>
      </c>
      <c r="E86" s="7">
        <f>IF($F$77="","",IF(OR(D86="",D86="-"),"",IF(D86&gt;0,"(soulevement)",IF(D86&lt;0,"(compression)","-"))))</f>
        <v/>
      </c>
      <c r="I86" s="6">
        <f>IF(OR($M$77="",NOT(MAXIFS(SAISIE!$L$5:$L$204,SAISIE!$J$5:$J$204,"*Vent Arr./Av.*",SAISIE!$M$5:$M$204,$M$77)&gt;0)),"","Vent Arr./Av.")</f>
        <v/>
      </c>
      <c r="J86" s="7">
        <f>IF(OR($M$77="",NOT(MAXIFS(SAISIE!$L$5:$L$204,SAISIE!$J$5:$J$204,"*Vent Arr./Av.*",SAISIE!$M$5:$M$204,$M$77)&gt;0)),"",IFERROR(INDEX(SAISIE!$K$5:$K$204,MATCH(MAXIFS(SAISIE!$L$5:$L$204,SAISIE!$J$5:$J$204,"*Vent Arr./Av.*",SAISIE!$M$5:$M$204,$M$77),SAISIE!$L$5:$L$204,0)),"-"))</f>
        <v/>
      </c>
      <c r="K86" s="7">
        <f>IF(OR($M$77="",NOT(MAXIFS(SAISIE!$L$5:$L$204,SAISIE!$J$5:$J$204,"*Vent Arr./Av.*",SAISIE!$M$5:$M$204,$M$77)&gt;0)),"",IFERROR(MAXIFS(SAISIE!$L$5:$L$204,SAISIE!$J$5:$J$204,"*Vent Arr./Av.*",SAISIE!$M$5:$M$204,$M$77),"-"))</f>
        <v/>
      </c>
      <c r="L86" s="7">
        <f>IF($M$77="","",IF(OR(K86="",K86="-"),"",IF(K86&gt;0,"(soulevement)",IF(K86&lt;0,"(compression)","-"))))</f>
        <v/>
      </c>
    </row>
    <row r="87">
      <c r="A87" s="6">
        <f>IF(OR($F$77="",NOT(TRUE)),"","Neige normale")</f>
        <v/>
      </c>
      <c r="B87" s="7">
        <f>IF($F$77="","",IFERROR(INDEX(SAISIE!$C$5:$C$204,MATCH(MINIFS(SAISIE!$E$5:$E$204,SAISIE!$B$5:$B$204,"*Neige*",SAISIE!$B$5:$B$204,"&lt;&gt;*accidentel*",SAISIE!$F$5:$F$204,$F$77),SAISIE!$E$5:$E$204,0)),"-"))</f>
        <v/>
      </c>
      <c r="C87" s="7">
        <f>IF($F$77="","",IFERROR(INDEX(SAISIE!$D$5:$D$204,MATCH(MINIFS(SAISIE!$E$5:$E$204,SAISIE!$B$5:$B$204,"*Neige*",SAISIE!$B$5:$B$204,"&lt;&gt;*accidentel*",SAISIE!$F$5:$F$204,$F$77),SAISIE!$E$5:$E$204,0)),"-"))</f>
        <v/>
      </c>
      <c r="D87" s="7">
        <f>IF($F$77="","",IFERROR(INDEX(SAISIE!$E$5:$E$204,MATCH(MINIFS(SAISIE!$E$5:$E$204,SAISIE!$B$5:$B$204,"*Neige*",SAISIE!$B$5:$B$204,"&lt;&gt;*accidentel*",SAISIE!$F$5:$F$204,$F$77),SAISIE!$E$5:$E$204,0)),"-"))</f>
        <v/>
      </c>
      <c r="E87" s="7">
        <f>IF($F$77="","",IF(OR(D87="",D87="-"),"",IF(D87&gt;0,"(soulevement)",IF(D87&lt;0,"(compression)","-"))))</f>
        <v/>
      </c>
      <c r="I87" s="6">
        <f>IF(OR($M$77="",NOT(TRUE)),"","Neige normale")</f>
        <v/>
      </c>
      <c r="J87" s="7">
        <f>IF($M$77="","",IFERROR(INDEX(SAISIE!$K$5:$K$204,MATCH(MINIFS(SAISIE!$L$5:$L$204,SAISIE!$J$5:$J$204,"*Neige*",SAISIE!$J$5:$J$204,"&lt;&gt;*accidentel*",SAISIE!$M$5:$M$204,$M$77),SAISIE!$L$5:$L$204,0)),"-"))</f>
        <v/>
      </c>
      <c r="K87" s="7">
        <f>IF($M$77="","",IFERROR(INDEX(SAISIE!$L$5:$L$204,MATCH(MINIFS(SAISIE!$L$5:$L$204,SAISIE!$J$5:$J$204,"*Neige*",SAISIE!$J$5:$J$204,"&lt;&gt;*accidentel*",SAISIE!$M$5:$M$204,$M$77),SAISIE!$L$5:$L$204,0)),"-"))</f>
        <v/>
      </c>
      <c r="L87" s="7">
        <f>IF($M$77="","",IF(OR(K87="",K87="-"),"",IF(K87&gt;0,"(soulevement)",IF(K87&lt;0,"(compression)","-"))))</f>
        <v/>
      </c>
    </row>
    <row r="88">
      <c r="A88" s="6">
        <f>IF(OR($F$77="",NOT(TRUE)),"","Neige accidentelle")</f>
        <v/>
      </c>
      <c r="B88" s="7">
        <f>IF($F$77="","",IFERROR(LOOKUP(2,1/((SAISIE!$F$5:$F$204=$F$77)*(ISNUMBER(SEARCH("accidentel",SAISIE!$B$5:$B$204)))),SAISIE!$C$5:$C$204),"-"))</f>
        <v/>
      </c>
      <c r="C88" s="7">
        <f>IF($F$77="","",IFERROR(LOOKUP(2,1/((SAISIE!$F$5:$F$204=$F$77)*(ISNUMBER(SEARCH("accidentel",SAISIE!$B$5:$B$204)))),SAISIE!$D$5:$D$204),"-"))</f>
        <v/>
      </c>
      <c r="D88" s="7">
        <f>IF($F$77="","",IFERROR(LOOKUP(2,1/((SAISIE!$F$5:$F$204=$F$77)*(ISNUMBER(SEARCH("accidentel",SAISIE!$B$5:$B$204)))),SAISIE!$E$5:$E$204),"-"))</f>
        <v/>
      </c>
      <c r="E88" s="7">
        <f>IF($F$77="","",IF(OR(D88="",D88="-"),"",IF(D88&gt;0,"(soulevement)",IF(D88&lt;0,"(compression)","-"))))</f>
        <v/>
      </c>
      <c r="I88" s="6">
        <f>IF(OR($M$77="",NOT(TRUE)),"","Neige accidentelle")</f>
        <v/>
      </c>
      <c r="J88" s="7">
        <f>IF($M$77="","",IFERROR(LOOKUP(2,1/((SAISIE!$M$5:$M$204=$M$77)*(ISNUMBER(SEARCH("accidentel",SAISIE!$J$5:$J$204)))),SAISIE!$K$5:$K$204),"-"))</f>
        <v/>
      </c>
      <c r="K88" s="7">
        <f>IF($M$77="","",IFERROR(LOOKUP(2,1/((SAISIE!$M$5:$M$204=$M$77)*(ISNUMBER(SEARCH("accidentel",SAISIE!$J$5:$J$204)))),SAISIE!$L$5:$L$204),"-"))</f>
        <v/>
      </c>
      <c r="L88" s="7">
        <f>IF($M$77="","",IF(OR(K88="",K88="-"),"",IF(K88&gt;0,"(soulevement)",IF(K88&lt;0,"(compression)","-"))))</f>
        <v/>
      </c>
    </row>
    <row r="89">
      <c r="A89" s="5">
        <f>IF($F$89="","","Noeud "&amp;$F$89)</f>
        <v/>
      </c>
      <c r="B89" s="5" t="n"/>
      <c r="C89" s="5" t="n"/>
      <c r="D89" s="5" t="n"/>
      <c r="E89" s="5" t="n"/>
      <c r="F89">
        <f>IFERROR(INDEX(SAISIE!$F$5:$F$204,AGGREGATE(15,6,ROW(SAISIE!$F$5:$F$204)-ROW(SAISIE!$F$5)+1/(SAISIE!$F$5:$F$204&lt;&gt;"")/(COUNTIF($F$4:F88,SAISIE!$F$5:$F$204)=0),1)),"")</f>
        <v/>
      </c>
      <c r="I89" s="5">
        <f>IF($M$89="","","Noeud "&amp;$M$89)</f>
        <v/>
      </c>
      <c r="J89" s="5" t="n"/>
      <c r="K89" s="5" t="n"/>
      <c r="L89" s="5" t="n"/>
      <c r="M89">
        <f>IFERROR(INDEX(SAISIE!$M$5:$M$204,AGGREGATE(15,6,ROW(SAISIE!$M$5:$M$204)-ROW(SAISIE!$M$5)+1/(SAISIE!$M$5:$M$204&lt;&gt;"")/(COUNTIF($M$4:M88,SAISIE!$M$5:$M$204)=0),1)),"")</f>
        <v/>
      </c>
    </row>
    <row r="90">
      <c r="A90" s="6">
        <f>IF(OR($F$89="",NOT(TRUE)),"","Couverture")</f>
        <v/>
      </c>
      <c r="B90" s="7">
        <f>IF($F$89="","",IFERROR(IFERROR(LOOKUP(2,1/((SAISIE!$F$5:$F$204=$F$89)*(LEFT(SAISIE!$B$5:$B$204,2)="G ")),SAISIE!$C$5:$C$204),LOOKUP(2,1/((SAISIE!$F$5:$F$204=$F$89)*(ISNUMBER(SEARCH("Couverture",SAISIE!$B$5:$B$204)))),SAISIE!$C$5:$C$204)),"-"))</f>
        <v/>
      </c>
      <c r="C90" s="7">
        <f>IF($F$89="","",IFERROR(IFERROR(LOOKUP(2,1/((SAISIE!$F$5:$F$204=$F$89)*(LEFT(SAISIE!$B$5:$B$204,2)="G ")),SAISIE!$D$5:$D$204),LOOKUP(2,1/((SAISIE!$F$5:$F$204=$F$89)*(ISNUMBER(SEARCH("Couverture",SAISIE!$B$5:$B$204)))),SAISIE!$D$5:$D$204)),"-"))</f>
        <v/>
      </c>
      <c r="D90" s="7">
        <f>IF($F$89="","",IFERROR(IFERROR(LOOKUP(2,1/((SAISIE!$F$5:$F$204=$F$89)*(LEFT(SAISIE!$B$5:$B$204,2)="G ")),SAISIE!$E$5:$E$204),LOOKUP(2,1/((SAISIE!$F$5:$F$204=$F$89)*(ISNUMBER(SEARCH("Couverture",SAISIE!$B$5:$B$204)))),SAISIE!$E$5:$E$204)),"-"))</f>
        <v/>
      </c>
      <c r="E90" s="7">
        <f>IF($F$89="","",IF(OR(D90="",D90="-"),"",IF(D90&gt;0,"(soulevement)",IF(D90&lt;0,"(compression)","-"))))</f>
        <v/>
      </c>
      <c r="I90" s="6">
        <f>IF(OR($M$89="",NOT(TRUE)),"","Couverture")</f>
        <v/>
      </c>
      <c r="J90" s="7">
        <f>IF($M$89="","",IFERROR(IFERROR(LOOKUP(2,1/((SAISIE!$M$5:$M$204=$M$89)*(LEFT(SAISIE!$J$5:$J$204,2)="G ")),SAISIE!$K$5:$K$204),LOOKUP(2,1/((SAISIE!$M$5:$M$204=$M$89)*(ISNUMBER(SEARCH("Couverture",SAISIE!$J$5:$J$204)))),SAISIE!$K$5:$K$204)),"-"))</f>
        <v/>
      </c>
      <c r="K90" s="7">
        <f>IF($M$89="","",IFERROR(IFERROR(LOOKUP(2,1/((SAISIE!$M$5:$M$204=$M$89)*(LEFT(SAISIE!$J$5:$J$204,2)="G ")),SAISIE!$L$5:$L$204),LOOKUP(2,1/((SAISIE!$M$5:$M$204=$M$89)*(ISNUMBER(SEARCH("Couverture",SAISIE!$J$5:$J$204)))),SAISIE!$L$5:$L$204)),"-"))</f>
        <v/>
      </c>
      <c r="L90" s="7">
        <f>IF($M$89="","",IF(OR(K90="",K90="-"),"",IF(K90&gt;0,"(soulevement)",IF(K90&lt;0,"(compression)","-"))))</f>
        <v/>
      </c>
    </row>
    <row r="91">
      <c r="A91" s="6">
        <f>IF(OR($F$89="",NOT(COUNTIFS(SAISIE!$B$5:$B$204,"*Vent G/D*",SAISIE!$F$5:$F$204,$F$89)&gt;0)),"","Vent G/D")</f>
        <v/>
      </c>
      <c r="B91" s="7">
        <f>IF(OR($F$89="",NOT(COUNTIFS(SAISIE!$B$5:$B$204,"*Vent G/D*",SAISIE!$F$5:$F$204,$F$89)&gt;0)),"",IFERROR(IF(MINIFS(SAISIE!$E$5:$E$204,SAISIE!$B$5:$B$204,"*Vent G/D*",SAISIE!$F$5:$F$204,$F$89)&gt;=0,MAXIFS(SAISIE!$C$5:$C$204,SAISIE!$B$5:$B$204,"*Vent G/D*",SAISIE!$F$5:$F$204,$F$89),INDEX(SAISIE!$C$5:$C$204,MATCH(MINIFS(SAISIE!$E$5:$E$204,SAISIE!$B$5:$B$204,"*Vent G/D*",SAISIE!$F$5:$F$204,$F$89),SAISIE!$E$5:$E$204,0))),"-"))</f>
        <v/>
      </c>
      <c r="C91" s="7">
        <f>IF(OR($F$89="",NOT(COUNTIFS(SAISIE!$B$5:$B$204,"*Vent G/D*",SAISIE!$F$5:$F$204,$F$89)&gt;0)),"",IFERROR(IF(MINIFS(SAISIE!$E$5:$E$204,SAISIE!$B$5:$B$204,"*Vent G/D*",SAISIE!$F$5:$F$204,$F$89)&gt;=0,INDEX(SAISIE!$D$5:$D$204,MATCH(MAXIFS(SAISIE!$C$5:$C$204,SAISIE!$B$5:$B$204,"*Vent G/D*",SAISIE!$F$5:$F$204,$F$89),SAISIE!$C$5:$C$204,0)),INDEX(SAISIE!$D$5:$D$204,MATCH(MINIFS(SAISIE!$E$5:$E$204,SAISIE!$B$5:$B$204,"*Vent G/D*",SAISIE!$F$5:$F$204,$F$89),SAISIE!$E$5:$E$204,0))),"-"))</f>
        <v/>
      </c>
      <c r="D91" s="7">
        <f>IF(OR($F$89="",NOT(COUNTIFS(SAISIE!$B$5:$B$204,"*Vent G/D*",SAISIE!$F$5:$F$204,$F$89)&gt;0)),"",IFERROR(IF(MINIFS(SAISIE!$E$5:$E$204,SAISIE!$B$5:$B$204,"*Vent G/D*",SAISIE!$F$5:$F$204,$F$89)&gt;=0,0,MINIFS(SAISIE!$E$5:$E$204,SAISIE!$B$5:$B$204,"*Vent G/D*",SAISIE!$F$5:$F$204,$F$89)),"-"))</f>
        <v/>
      </c>
      <c r="E91" s="7">
        <f>IF($F$89="","",IF(OR(D91="",D91="-"),"",IF(D91&gt;0,"(soulevement)",IF(D91&lt;0,"(compression)","-"))))</f>
        <v/>
      </c>
      <c r="I91" s="6">
        <f>IF(OR($M$89="",NOT(COUNTIFS(SAISIE!$J$5:$J$204,"*Vent G/D*",SAISIE!$M$5:$M$204,$M$89)&gt;0)),"","Vent G/D")</f>
        <v/>
      </c>
      <c r="J91" s="7">
        <f>IF(OR($M$89="",NOT(COUNTIFS(SAISIE!$J$5:$J$204,"*Vent G/D*",SAISIE!$M$5:$M$204,$M$89)&gt;0)),"",IFERROR(IF(MINIFS(SAISIE!$L$5:$L$204,SAISIE!$J$5:$J$204,"*Vent G/D*",SAISIE!$M$5:$M$204,$M$89)&gt;=0,MAXIFS(SAISIE!$K$5:$K$204,SAISIE!$J$5:$J$204,"*Vent G/D*",SAISIE!$M$5:$M$204,$M$89),INDEX(SAISIE!$K$5:$K$204,MATCH(MINIFS(SAISIE!$L$5:$L$204,SAISIE!$J$5:$J$204,"*Vent G/D*",SAISIE!$M$5:$M$204,$M$89),SAISIE!$L$5:$L$204,0))),"-"))</f>
        <v/>
      </c>
      <c r="K91" s="7">
        <f>IF(OR($M$89="",NOT(COUNTIFS(SAISIE!$J$5:$J$204,"*Vent G/D*",SAISIE!$M$5:$M$204,$M$89)&gt;0)),"",IFERROR(IF(MINIFS(SAISIE!$L$5:$L$204,SAISIE!$J$5:$J$204,"*Vent G/D*",SAISIE!$M$5:$M$204,$M$89)&gt;=0,0,MINIFS(SAISIE!$L$5:$L$204,SAISIE!$J$5:$J$204,"*Vent G/D*",SAISIE!$M$5:$M$204,$M$89)),"-"))</f>
        <v/>
      </c>
      <c r="L91" s="7">
        <f>IF($M$89="","",IF(OR(K91="",K91="-"),"",IF(K91&gt;0,"(soulevement)",IF(K91&lt;0,"(compression)","-"))))</f>
        <v/>
      </c>
    </row>
    <row r="92">
      <c r="A92" s="6">
        <f>IF(OR($F$89="",NOT(MAXIFS(SAISIE!$E$5:$E$204,SAISIE!$B$5:$B$204,"*Vent G/D*",SAISIE!$F$5:$F$204,$F$89)&gt;0)),"","Vent G/D")</f>
        <v/>
      </c>
      <c r="B92" s="7">
        <f>IF(OR($F$89="",NOT(MAXIFS(SAISIE!$E$5:$E$204,SAISIE!$B$5:$B$204,"*Vent G/D*",SAISIE!$F$5:$F$204,$F$89)&gt;0)),"",IFERROR(INDEX(SAISIE!$C$5:$C$204,MATCH(MAXIFS(SAISIE!$E$5:$E$204,SAISIE!$B$5:$B$204,"*Vent G/D*",SAISIE!$F$5:$F$204,$F$89),SAISIE!$E$5:$E$204,0)),"-"))</f>
        <v/>
      </c>
      <c r="C92" s="7">
        <f>IF(OR($F$89="",NOT(MAXIFS(SAISIE!$E$5:$E$204,SAISIE!$B$5:$B$204,"*Vent G/D*",SAISIE!$F$5:$F$204,$F$89)&gt;0)),"",IFERROR(INDEX(SAISIE!$D$5:$D$204,MATCH(MAXIFS(SAISIE!$E$5:$E$204,SAISIE!$B$5:$B$204,"*Vent G/D*",SAISIE!$F$5:$F$204,$F$89),SAISIE!$E$5:$E$204,0)),"-"))</f>
        <v/>
      </c>
      <c r="D92" s="7">
        <f>IF(OR($F$89="",NOT(MAXIFS(SAISIE!$E$5:$E$204,SAISIE!$B$5:$B$204,"*Vent G/D*",SAISIE!$F$5:$F$204,$F$89)&gt;0)),"",IFERROR(MAXIFS(SAISIE!$E$5:$E$204,SAISIE!$B$5:$B$204,"*Vent G/D*",SAISIE!$F$5:$F$204,$F$89),"-"))</f>
        <v/>
      </c>
      <c r="E92" s="7">
        <f>IF($F$89="","",IF(OR(D92="",D92="-"),"",IF(D92&gt;0,"(soulevement)",IF(D92&lt;0,"(compression)","-"))))</f>
        <v/>
      </c>
      <c r="I92" s="6">
        <f>IF(OR($M$89="",NOT(MAXIFS(SAISIE!$L$5:$L$204,SAISIE!$J$5:$J$204,"*Vent G/D*",SAISIE!$M$5:$M$204,$M$89)&gt;0)),"","Vent G/D")</f>
        <v/>
      </c>
      <c r="J92" s="7">
        <f>IF(OR($M$89="",NOT(MAXIFS(SAISIE!$L$5:$L$204,SAISIE!$J$5:$J$204,"*Vent G/D*",SAISIE!$M$5:$M$204,$M$89)&gt;0)),"",IFERROR(INDEX(SAISIE!$K$5:$K$204,MATCH(MAXIFS(SAISIE!$L$5:$L$204,SAISIE!$J$5:$J$204,"*Vent G/D*",SAISIE!$M$5:$M$204,$M$89),SAISIE!$L$5:$L$204,0)),"-"))</f>
        <v/>
      </c>
      <c r="K92" s="7">
        <f>IF(OR($M$89="",NOT(MAXIFS(SAISIE!$L$5:$L$204,SAISIE!$J$5:$J$204,"*Vent G/D*",SAISIE!$M$5:$M$204,$M$89)&gt;0)),"",IFERROR(MAXIFS(SAISIE!$L$5:$L$204,SAISIE!$J$5:$J$204,"*Vent G/D*",SAISIE!$M$5:$M$204,$M$89),"-"))</f>
        <v/>
      </c>
      <c r="L92" s="7">
        <f>IF($M$89="","",IF(OR(K92="",K92="-"),"",IF(K92&gt;0,"(soulevement)",IF(K92&lt;0,"(compression)","-"))))</f>
        <v/>
      </c>
    </row>
    <row r="93">
      <c r="A93" s="6">
        <f>IF(OR($F$89="",NOT(COUNTIFS(SAISIE!$B$5:$B$204,"*Vent D/G*",SAISIE!$F$5:$F$204,$F$89)&gt;0)),"","Vent D/G")</f>
        <v/>
      </c>
      <c r="B93" s="7">
        <f>IF(OR($F$89="",NOT(COUNTIFS(SAISIE!$B$5:$B$204,"*Vent D/G*",SAISIE!$F$5:$F$204,$F$89)&gt;0)),"",IFERROR(IF(MINIFS(SAISIE!$E$5:$E$204,SAISIE!$B$5:$B$204,"*Vent D/G*",SAISIE!$F$5:$F$204,$F$89)&gt;=0,MAXIFS(SAISIE!$C$5:$C$204,SAISIE!$B$5:$B$204,"*Vent D/G*",SAISIE!$F$5:$F$204,$F$89),INDEX(SAISIE!$C$5:$C$204,MATCH(MINIFS(SAISIE!$E$5:$E$204,SAISIE!$B$5:$B$204,"*Vent D/G*",SAISIE!$F$5:$F$204,$F$89),SAISIE!$E$5:$E$204,0))),"-"))</f>
        <v/>
      </c>
      <c r="C93" s="7">
        <f>IF(OR($F$89="",NOT(COUNTIFS(SAISIE!$B$5:$B$204,"*Vent D/G*",SAISIE!$F$5:$F$204,$F$89)&gt;0)),"",IFERROR(IF(MINIFS(SAISIE!$E$5:$E$204,SAISIE!$B$5:$B$204,"*Vent D/G*",SAISIE!$F$5:$F$204,$F$89)&gt;=0,INDEX(SAISIE!$D$5:$D$204,MATCH(MAXIFS(SAISIE!$C$5:$C$204,SAISIE!$B$5:$B$204,"*Vent D/G*",SAISIE!$F$5:$F$204,$F$89),SAISIE!$C$5:$C$204,0)),INDEX(SAISIE!$D$5:$D$204,MATCH(MINIFS(SAISIE!$E$5:$E$204,SAISIE!$B$5:$B$204,"*Vent D/G*",SAISIE!$F$5:$F$204,$F$89),SAISIE!$E$5:$E$204,0))),"-"))</f>
        <v/>
      </c>
      <c r="D93" s="7">
        <f>IF(OR($F$89="",NOT(COUNTIFS(SAISIE!$B$5:$B$204,"*Vent D/G*",SAISIE!$F$5:$F$204,$F$89)&gt;0)),"",IFERROR(IF(MINIFS(SAISIE!$E$5:$E$204,SAISIE!$B$5:$B$204,"*Vent D/G*",SAISIE!$F$5:$F$204,$F$89)&gt;=0,0,MINIFS(SAISIE!$E$5:$E$204,SAISIE!$B$5:$B$204,"*Vent D/G*",SAISIE!$F$5:$F$204,$F$89)),"-"))</f>
        <v/>
      </c>
      <c r="E93" s="7">
        <f>IF($F$89="","",IF(OR(D93="",D93="-"),"",IF(D93&gt;0,"(soulevement)",IF(D93&lt;0,"(compression)","-"))))</f>
        <v/>
      </c>
      <c r="I93" s="6">
        <f>IF(OR($M$89="",NOT(COUNTIFS(SAISIE!$J$5:$J$204,"*Vent D/G*",SAISIE!$M$5:$M$204,$M$89)&gt;0)),"","Vent D/G")</f>
        <v/>
      </c>
      <c r="J93" s="7">
        <f>IF(OR($M$89="",NOT(COUNTIFS(SAISIE!$J$5:$J$204,"*Vent D/G*",SAISIE!$M$5:$M$204,$M$89)&gt;0)),"",IFERROR(IF(MINIFS(SAISIE!$L$5:$L$204,SAISIE!$J$5:$J$204,"*Vent D/G*",SAISIE!$M$5:$M$204,$M$89)&gt;=0,MAXIFS(SAISIE!$K$5:$K$204,SAISIE!$J$5:$J$204,"*Vent D/G*",SAISIE!$M$5:$M$204,$M$89),INDEX(SAISIE!$K$5:$K$204,MATCH(MINIFS(SAISIE!$L$5:$L$204,SAISIE!$J$5:$J$204,"*Vent D/G*",SAISIE!$M$5:$M$204,$M$89),SAISIE!$L$5:$L$204,0))),"-"))</f>
        <v/>
      </c>
      <c r="K93" s="7">
        <f>IF(OR($M$89="",NOT(COUNTIFS(SAISIE!$J$5:$J$204,"*Vent D/G*",SAISIE!$M$5:$M$204,$M$89)&gt;0)),"",IFERROR(IF(MINIFS(SAISIE!$L$5:$L$204,SAISIE!$J$5:$J$204,"*Vent D/G*",SAISIE!$M$5:$M$204,$M$89)&gt;=0,0,MINIFS(SAISIE!$L$5:$L$204,SAISIE!$J$5:$J$204,"*Vent D/G*",SAISIE!$M$5:$M$204,$M$89)),"-"))</f>
        <v/>
      </c>
      <c r="L93" s="7">
        <f>IF($M$89="","",IF(OR(K93="",K93="-"),"",IF(K93&gt;0,"(soulevement)",IF(K93&lt;0,"(compression)","-"))))</f>
        <v/>
      </c>
    </row>
    <row r="94">
      <c r="A94" s="6">
        <f>IF(OR($F$89="",NOT(MAXIFS(SAISIE!$E$5:$E$204,SAISIE!$B$5:$B$204,"*Vent D/G*",SAISIE!$F$5:$F$204,$F$89)&gt;0)),"","Vent D/G")</f>
        <v/>
      </c>
      <c r="B94" s="7">
        <f>IF(OR($F$89="",NOT(MAXIFS(SAISIE!$E$5:$E$204,SAISIE!$B$5:$B$204,"*Vent D/G*",SAISIE!$F$5:$F$204,$F$89)&gt;0)),"",IFERROR(INDEX(SAISIE!$C$5:$C$204,MATCH(MAXIFS(SAISIE!$E$5:$E$204,SAISIE!$B$5:$B$204,"*Vent D/G*",SAISIE!$F$5:$F$204,$F$89),SAISIE!$E$5:$E$204,0)),"-"))</f>
        <v/>
      </c>
      <c r="C94" s="7">
        <f>IF(OR($F$89="",NOT(MAXIFS(SAISIE!$E$5:$E$204,SAISIE!$B$5:$B$204,"*Vent D/G*",SAISIE!$F$5:$F$204,$F$89)&gt;0)),"",IFERROR(INDEX(SAISIE!$D$5:$D$204,MATCH(MAXIFS(SAISIE!$E$5:$E$204,SAISIE!$B$5:$B$204,"*Vent D/G*",SAISIE!$F$5:$F$204,$F$89),SAISIE!$E$5:$E$204,0)),"-"))</f>
        <v/>
      </c>
      <c r="D94" s="7">
        <f>IF(OR($F$89="",NOT(MAXIFS(SAISIE!$E$5:$E$204,SAISIE!$B$5:$B$204,"*Vent D/G*",SAISIE!$F$5:$F$204,$F$89)&gt;0)),"",IFERROR(MAXIFS(SAISIE!$E$5:$E$204,SAISIE!$B$5:$B$204,"*Vent D/G*",SAISIE!$F$5:$F$204,$F$89),"-"))</f>
        <v/>
      </c>
      <c r="E94" s="7">
        <f>IF($F$89="","",IF(OR(D94="",D94="-"),"",IF(D94&gt;0,"(soulevement)",IF(D94&lt;0,"(compression)","-"))))</f>
        <v/>
      </c>
      <c r="I94" s="6">
        <f>IF(OR($M$89="",NOT(MAXIFS(SAISIE!$L$5:$L$204,SAISIE!$J$5:$J$204,"*Vent D/G*",SAISIE!$M$5:$M$204,$M$89)&gt;0)),"","Vent D/G")</f>
        <v/>
      </c>
      <c r="J94" s="7">
        <f>IF(OR($M$89="",NOT(MAXIFS(SAISIE!$L$5:$L$204,SAISIE!$J$5:$J$204,"*Vent D/G*",SAISIE!$M$5:$M$204,$M$89)&gt;0)),"",IFERROR(INDEX(SAISIE!$K$5:$K$204,MATCH(MAXIFS(SAISIE!$L$5:$L$204,SAISIE!$J$5:$J$204,"*Vent D/G*",SAISIE!$M$5:$M$204,$M$89),SAISIE!$L$5:$L$204,0)),"-"))</f>
        <v/>
      </c>
      <c r="K94" s="7">
        <f>IF(OR($M$89="",NOT(MAXIFS(SAISIE!$L$5:$L$204,SAISIE!$J$5:$J$204,"*Vent D/G*",SAISIE!$M$5:$M$204,$M$89)&gt;0)),"",IFERROR(MAXIFS(SAISIE!$L$5:$L$204,SAISIE!$J$5:$J$204,"*Vent D/G*",SAISIE!$M$5:$M$204,$M$89),"-"))</f>
        <v/>
      </c>
      <c r="L94" s="7">
        <f>IF($M$89="","",IF(OR(K94="",K94="-"),"",IF(K94&gt;0,"(soulevement)",IF(K94&lt;0,"(compression)","-"))))</f>
        <v/>
      </c>
    </row>
    <row r="95">
      <c r="A95" s="6">
        <f>IF(OR($F$89="",NOT(COUNTIFS(SAISIE!$B$5:$B$204,"*Vent Av./Arr.*",SAISIE!$F$5:$F$204,$F$89)&gt;0)),"","Vent Av./Arr.")</f>
        <v/>
      </c>
      <c r="B95" s="7">
        <f>IF(OR($F$89="",NOT(COUNTIFS(SAISIE!$B$5:$B$204,"*Vent Av./Arr.*",SAISIE!$F$5:$F$204,$F$89)&gt;0)),"",IFERROR(IF(MINIFS(SAISIE!$E$5:$E$204,SAISIE!$B$5:$B$204,"*Vent Av./Arr.*",SAISIE!$F$5:$F$204,$F$89)&gt;=0,MAXIFS(SAISIE!$C$5:$C$204,SAISIE!$B$5:$B$204,"*Vent Av./Arr.*",SAISIE!$F$5:$F$204,$F$89),INDEX(SAISIE!$C$5:$C$204,MATCH(MINIFS(SAISIE!$E$5:$E$204,SAISIE!$B$5:$B$204,"*Vent Av./Arr.*",SAISIE!$F$5:$F$204,$F$89),SAISIE!$E$5:$E$204,0))),"-"))</f>
        <v/>
      </c>
      <c r="C95" s="7">
        <f>IF(OR($F$89="",NOT(COUNTIFS(SAISIE!$B$5:$B$204,"*Vent Av./Arr.*",SAISIE!$F$5:$F$204,$F$89)&gt;0)),"",IFERROR(IF(MINIFS(SAISIE!$E$5:$E$204,SAISIE!$B$5:$B$204,"*Vent Av./Arr.*",SAISIE!$F$5:$F$204,$F$89)&gt;=0,INDEX(SAISIE!$D$5:$D$204,MATCH(MAXIFS(SAISIE!$C$5:$C$204,SAISIE!$B$5:$B$204,"*Vent Av./Arr.*",SAISIE!$F$5:$F$204,$F$89),SAISIE!$C$5:$C$204,0)),INDEX(SAISIE!$D$5:$D$204,MATCH(MINIFS(SAISIE!$E$5:$E$204,SAISIE!$B$5:$B$204,"*Vent Av./Arr.*",SAISIE!$F$5:$F$204,$F$89),SAISIE!$E$5:$E$204,0))),"-"))</f>
        <v/>
      </c>
      <c r="D95" s="7">
        <f>IF(OR($F$89="",NOT(COUNTIFS(SAISIE!$B$5:$B$204,"*Vent Av./Arr.*",SAISIE!$F$5:$F$204,$F$89)&gt;0)),"",IFERROR(IF(MINIFS(SAISIE!$E$5:$E$204,SAISIE!$B$5:$B$204,"*Vent Av./Arr.*",SAISIE!$F$5:$F$204,$F$89)&gt;=0,0,MINIFS(SAISIE!$E$5:$E$204,SAISIE!$B$5:$B$204,"*Vent Av./Arr.*",SAISIE!$F$5:$F$204,$F$89)),"-"))</f>
        <v/>
      </c>
      <c r="E95" s="7">
        <f>IF($F$89="","",IF(OR(D95="",D95="-"),"",IF(D95&gt;0,"(soulevement)",IF(D95&lt;0,"(compression)","-"))))</f>
        <v/>
      </c>
      <c r="I95" s="6">
        <f>IF(OR($M$89="",NOT(COUNTIFS(SAISIE!$J$5:$J$204,"*Vent Av./Arr.*",SAISIE!$M$5:$M$204,$M$89)&gt;0)),"","Vent Av./Arr.")</f>
        <v/>
      </c>
      <c r="J95" s="7">
        <f>IF(OR($M$89="",NOT(COUNTIFS(SAISIE!$J$5:$J$204,"*Vent Av./Arr.*",SAISIE!$M$5:$M$204,$M$89)&gt;0)),"",IFERROR(IF(MINIFS(SAISIE!$L$5:$L$204,SAISIE!$J$5:$J$204,"*Vent Av./Arr.*",SAISIE!$M$5:$M$204,$M$89)&gt;=0,MAXIFS(SAISIE!$K$5:$K$204,SAISIE!$J$5:$J$204,"*Vent Av./Arr.*",SAISIE!$M$5:$M$204,$M$89),INDEX(SAISIE!$K$5:$K$204,MATCH(MINIFS(SAISIE!$L$5:$L$204,SAISIE!$J$5:$J$204,"*Vent Av./Arr.*",SAISIE!$M$5:$M$204,$M$89),SAISIE!$L$5:$L$204,0))),"-"))</f>
        <v/>
      </c>
      <c r="K95" s="7">
        <f>IF(OR($M$89="",NOT(COUNTIFS(SAISIE!$J$5:$J$204,"*Vent Av./Arr.*",SAISIE!$M$5:$M$204,$M$89)&gt;0)),"",IFERROR(IF(MINIFS(SAISIE!$L$5:$L$204,SAISIE!$J$5:$J$204,"*Vent Av./Arr.*",SAISIE!$M$5:$M$204,$M$89)&gt;=0,0,MINIFS(SAISIE!$L$5:$L$204,SAISIE!$J$5:$J$204,"*Vent Av./Arr.*",SAISIE!$M$5:$M$204,$M$89)),"-"))</f>
        <v/>
      </c>
      <c r="L95" s="7">
        <f>IF($M$89="","",IF(OR(K95="",K95="-"),"",IF(K95&gt;0,"(soulevement)",IF(K95&lt;0,"(compression)","-"))))</f>
        <v/>
      </c>
    </row>
    <row r="96">
      <c r="A96" s="6">
        <f>IF(OR($F$89="",NOT(MAXIFS(SAISIE!$E$5:$E$204,SAISIE!$B$5:$B$204,"*Vent Av./Arr.*",SAISIE!$F$5:$F$204,$F$89)&gt;0)),"","Vent Av./Arr.")</f>
        <v/>
      </c>
      <c r="B96" s="7">
        <f>IF(OR($F$89="",NOT(MAXIFS(SAISIE!$E$5:$E$204,SAISIE!$B$5:$B$204,"*Vent Av./Arr.*",SAISIE!$F$5:$F$204,$F$89)&gt;0)),"",IFERROR(INDEX(SAISIE!$C$5:$C$204,MATCH(MAXIFS(SAISIE!$E$5:$E$204,SAISIE!$B$5:$B$204,"*Vent Av./Arr.*",SAISIE!$F$5:$F$204,$F$89),SAISIE!$E$5:$E$204,0)),"-"))</f>
        <v/>
      </c>
      <c r="C96" s="7">
        <f>IF(OR($F$89="",NOT(MAXIFS(SAISIE!$E$5:$E$204,SAISIE!$B$5:$B$204,"*Vent Av./Arr.*",SAISIE!$F$5:$F$204,$F$89)&gt;0)),"",IFERROR(INDEX(SAISIE!$D$5:$D$204,MATCH(MAXIFS(SAISIE!$E$5:$E$204,SAISIE!$B$5:$B$204,"*Vent Av./Arr.*",SAISIE!$F$5:$F$204,$F$89),SAISIE!$E$5:$E$204,0)),"-"))</f>
        <v/>
      </c>
      <c r="D96" s="7">
        <f>IF(OR($F$89="",NOT(MAXIFS(SAISIE!$E$5:$E$204,SAISIE!$B$5:$B$204,"*Vent Av./Arr.*",SAISIE!$F$5:$F$204,$F$89)&gt;0)),"",IFERROR(MAXIFS(SAISIE!$E$5:$E$204,SAISIE!$B$5:$B$204,"*Vent Av./Arr.*",SAISIE!$F$5:$F$204,$F$89),"-"))</f>
        <v/>
      </c>
      <c r="E96" s="7">
        <f>IF($F$89="","",IF(OR(D96="",D96="-"),"",IF(D96&gt;0,"(soulevement)",IF(D96&lt;0,"(compression)","-"))))</f>
        <v/>
      </c>
      <c r="I96" s="6">
        <f>IF(OR($M$89="",NOT(MAXIFS(SAISIE!$L$5:$L$204,SAISIE!$J$5:$J$204,"*Vent Av./Arr.*",SAISIE!$M$5:$M$204,$M$89)&gt;0)),"","Vent Av./Arr.")</f>
        <v/>
      </c>
      <c r="J96" s="7">
        <f>IF(OR($M$89="",NOT(MAXIFS(SAISIE!$L$5:$L$204,SAISIE!$J$5:$J$204,"*Vent Av./Arr.*",SAISIE!$M$5:$M$204,$M$89)&gt;0)),"",IFERROR(INDEX(SAISIE!$K$5:$K$204,MATCH(MAXIFS(SAISIE!$L$5:$L$204,SAISIE!$J$5:$J$204,"*Vent Av./Arr.*",SAISIE!$M$5:$M$204,$M$89),SAISIE!$L$5:$L$204,0)),"-"))</f>
        <v/>
      </c>
      <c r="K96" s="7">
        <f>IF(OR($M$89="",NOT(MAXIFS(SAISIE!$L$5:$L$204,SAISIE!$J$5:$J$204,"*Vent Av./Arr.*",SAISIE!$M$5:$M$204,$M$89)&gt;0)),"",IFERROR(MAXIFS(SAISIE!$L$5:$L$204,SAISIE!$J$5:$J$204,"*Vent Av./Arr.*",SAISIE!$M$5:$M$204,$M$89),"-"))</f>
        <v/>
      </c>
      <c r="L96" s="7">
        <f>IF($M$89="","",IF(OR(K96="",K96="-"),"",IF(K96&gt;0,"(soulevement)",IF(K96&lt;0,"(compression)","-"))))</f>
        <v/>
      </c>
    </row>
    <row r="97">
      <c r="A97" s="6">
        <f>IF(OR($F$89="",NOT(COUNTIFS(SAISIE!$B$5:$B$204,"*Vent Arr./Av.*",SAISIE!$F$5:$F$204,$F$89)&gt;0)),"","Vent Arr./Av.")</f>
        <v/>
      </c>
      <c r="B97" s="7">
        <f>IF(OR($F$89="",NOT(COUNTIFS(SAISIE!$B$5:$B$204,"*Vent Arr./Av.*",SAISIE!$F$5:$F$204,$F$89)&gt;0)),"",IFERROR(IF(MINIFS(SAISIE!$E$5:$E$204,SAISIE!$B$5:$B$204,"*Vent Arr./Av.*",SAISIE!$F$5:$F$204,$F$89)&gt;=0,MAXIFS(SAISIE!$C$5:$C$204,SAISIE!$B$5:$B$204,"*Vent Arr./Av.*",SAISIE!$F$5:$F$204,$F$89),INDEX(SAISIE!$C$5:$C$204,MATCH(MINIFS(SAISIE!$E$5:$E$204,SAISIE!$B$5:$B$204,"*Vent Arr./Av.*",SAISIE!$F$5:$F$204,$F$89),SAISIE!$E$5:$E$204,0))),"-"))</f>
        <v/>
      </c>
      <c r="C97" s="7">
        <f>IF(OR($F$89="",NOT(COUNTIFS(SAISIE!$B$5:$B$204,"*Vent Arr./Av.*",SAISIE!$F$5:$F$204,$F$89)&gt;0)),"",IFERROR(IF(MINIFS(SAISIE!$E$5:$E$204,SAISIE!$B$5:$B$204,"*Vent Arr./Av.*",SAISIE!$F$5:$F$204,$F$89)&gt;=0,INDEX(SAISIE!$D$5:$D$204,MATCH(MAXIFS(SAISIE!$C$5:$C$204,SAISIE!$B$5:$B$204,"*Vent Arr./Av.*",SAISIE!$F$5:$F$204,$F$89),SAISIE!$C$5:$C$204,0)),INDEX(SAISIE!$D$5:$D$204,MATCH(MINIFS(SAISIE!$E$5:$E$204,SAISIE!$B$5:$B$204,"*Vent Arr./Av.*",SAISIE!$F$5:$F$204,$F$89),SAISIE!$E$5:$E$204,0))),"-"))</f>
        <v/>
      </c>
      <c r="D97" s="7">
        <f>IF(OR($F$89="",NOT(COUNTIFS(SAISIE!$B$5:$B$204,"*Vent Arr./Av.*",SAISIE!$F$5:$F$204,$F$89)&gt;0)),"",IFERROR(IF(MINIFS(SAISIE!$E$5:$E$204,SAISIE!$B$5:$B$204,"*Vent Arr./Av.*",SAISIE!$F$5:$F$204,$F$89)&gt;=0,0,MINIFS(SAISIE!$E$5:$E$204,SAISIE!$B$5:$B$204,"*Vent Arr./Av.*",SAISIE!$F$5:$F$204,$F$89)),"-"))</f>
        <v/>
      </c>
      <c r="E97" s="7">
        <f>IF($F$89="","",IF(OR(D97="",D97="-"),"",IF(D97&gt;0,"(soulevement)",IF(D97&lt;0,"(compression)","-"))))</f>
        <v/>
      </c>
      <c r="I97" s="6">
        <f>IF(OR($M$89="",NOT(COUNTIFS(SAISIE!$J$5:$J$204,"*Vent Arr./Av.*",SAISIE!$M$5:$M$204,$M$89)&gt;0)),"","Vent Arr./Av.")</f>
        <v/>
      </c>
      <c r="J97" s="7">
        <f>IF(OR($M$89="",NOT(COUNTIFS(SAISIE!$J$5:$J$204,"*Vent Arr./Av.*",SAISIE!$M$5:$M$204,$M$89)&gt;0)),"",IFERROR(IF(MINIFS(SAISIE!$L$5:$L$204,SAISIE!$J$5:$J$204,"*Vent Arr./Av.*",SAISIE!$M$5:$M$204,$M$89)&gt;=0,MAXIFS(SAISIE!$K$5:$K$204,SAISIE!$J$5:$J$204,"*Vent Arr./Av.*",SAISIE!$M$5:$M$204,$M$89),INDEX(SAISIE!$K$5:$K$204,MATCH(MINIFS(SAISIE!$L$5:$L$204,SAISIE!$J$5:$J$204,"*Vent Arr./Av.*",SAISIE!$M$5:$M$204,$M$89),SAISIE!$L$5:$L$204,0))),"-"))</f>
        <v/>
      </c>
      <c r="K97" s="7">
        <f>IF(OR($M$89="",NOT(COUNTIFS(SAISIE!$J$5:$J$204,"*Vent Arr./Av.*",SAISIE!$M$5:$M$204,$M$89)&gt;0)),"",IFERROR(IF(MINIFS(SAISIE!$L$5:$L$204,SAISIE!$J$5:$J$204,"*Vent Arr./Av.*",SAISIE!$M$5:$M$204,$M$89)&gt;=0,0,MINIFS(SAISIE!$L$5:$L$204,SAISIE!$J$5:$J$204,"*Vent Arr./Av.*",SAISIE!$M$5:$M$204,$M$89)),"-"))</f>
        <v/>
      </c>
      <c r="L97" s="7">
        <f>IF($M$89="","",IF(OR(K97="",K97="-"),"",IF(K97&gt;0,"(soulevement)",IF(K97&lt;0,"(compression)","-"))))</f>
        <v/>
      </c>
    </row>
    <row r="98">
      <c r="A98" s="6">
        <f>IF(OR($F$89="",NOT(MAXIFS(SAISIE!$E$5:$E$204,SAISIE!$B$5:$B$204,"*Vent Arr./Av.*",SAISIE!$F$5:$F$204,$F$89)&gt;0)),"","Vent Arr./Av.")</f>
        <v/>
      </c>
      <c r="B98" s="7">
        <f>IF(OR($F$89="",NOT(MAXIFS(SAISIE!$E$5:$E$204,SAISIE!$B$5:$B$204,"*Vent Arr./Av.*",SAISIE!$F$5:$F$204,$F$89)&gt;0)),"",IFERROR(INDEX(SAISIE!$C$5:$C$204,MATCH(MAXIFS(SAISIE!$E$5:$E$204,SAISIE!$B$5:$B$204,"*Vent Arr./Av.*",SAISIE!$F$5:$F$204,$F$89),SAISIE!$E$5:$E$204,0)),"-"))</f>
        <v/>
      </c>
      <c r="C98" s="7">
        <f>IF(OR($F$89="",NOT(MAXIFS(SAISIE!$E$5:$E$204,SAISIE!$B$5:$B$204,"*Vent Arr./Av.*",SAISIE!$F$5:$F$204,$F$89)&gt;0)),"",IFERROR(INDEX(SAISIE!$D$5:$D$204,MATCH(MAXIFS(SAISIE!$E$5:$E$204,SAISIE!$B$5:$B$204,"*Vent Arr./Av.*",SAISIE!$F$5:$F$204,$F$89),SAISIE!$E$5:$E$204,0)),"-"))</f>
        <v/>
      </c>
      <c r="D98" s="7">
        <f>IF(OR($F$89="",NOT(MAXIFS(SAISIE!$E$5:$E$204,SAISIE!$B$5:$B$204,"*Vent Arr./Av.*",SAISIE!$F$5:$F$204,$F$89)&gt;0)),"",IFERROR(MAXIFS(SAISIE!$E$5:$E$204,SAISIE!$B$5:$B$204,"*Vent Arr./Av.*",SAISIE!$F$5:$F$204,$F$89),"-"))</f>
        <v/>
      </c>
      <c r="E98" s="7">
        <f>IF($F$89="","",IF(OR(D98="",D98="-"),"",IF(D98&gt;0,"(soulevement)",IF(D98&lt;0,"(compression)","-"))))</f>
        <v/>
      </c>
      <c r="I98" s="6">
        <f>IF(OR($M$89="",NOT(MAXIFS(SAISIE!$L$5:$L$204,SAISIE!$J$5:$J$204,"*Vent Arr./Av.*",SAISIE!$M$5:$M$204,$M$89)&gt;0)),"","Vent Arr./Av.")</f>
        <v/>
      </c>
      <c r="J98" s="7">
        <f>IF(OR($M$89="",NOT(MAXIFS(SAISIE!$L$5:$L$204,SAISIE!$J$5:$J$204,"*Vent Arr./Av.*",SAISIE!$M$5:$M$204,$M$89)&gt;0)),"",IFERROR(INDEX(SAISIE!$K$5:$K$204,MATCH(MAXIFS(SAISIE!$L$5:$L$204,SAISIE!$J$5:$J$204,"*Vent Arr./Av.*",SAISIE!$M$5:$M$204,$M$89),SAISIE!$L$5:$L$204,0)),"-"))</f>
        <v/>
      </c>
      <c r="K98" s="7">
        <f>IF(OR($M$89="",NOT(MAXIFS(SAISIE!$L$5:$L$204,SAISIE!$J$5:$J$204,"*Vent Arr./Av.*",SAISIE!$M$5:$M$204,$M$89)&gt;0)),"",IFERROR(MAXIFS(SAISIE!$L$5:$L$204,SAISIE!$J$5:$J$204,"*Vent Arr./Av.*",SAISIE!$M$5:$M$204,$M$89),"-"))</f>
        <v/>
      </c>
      <c r="L98" s="7">
        <f>IF($M$89="","",IF(OR(K98="",K98="-"),"",IF(K98&gt;0,"(soulevement)",IF(K98&lt;0,"(compression)","-"))))</f>
        <v/>
      </c>
    </row>
    <row r="99">
      <c r="A99" s="6">
        <f>IF(OR($F$89="",NOT(TRUE)),"","Neige normale")</f>
        <v/>
      </c>
      <c r="B99" s="7">
        <f>IF($F$89="","",IFERROR(INDEX(SAISIE!$C$5:$C$204,MATCH(MINIFS(SAISIE!$E$5:$E$204,SAISIE!$B$5:$B$204,"*Neige*",SAISIE!$B$5:$B$204,"&lt;&gt;*accidentel*",SAISIE!$F$5:$F$204,$F$89),SAISIE!$E$5:$E$204,0)),"-"))</f>
        <v/>
      </c>
      <c r="C99" s="7">
        <f>IF($F$89="","",IFERROR(INDEX(SAISIE!$D$5:$D$204,MATCH(MINIFS(SAISIE!$E$5:$E$204,SAISIE!$B$5:$B$204,"*Neige*",SAISIE!$B$5:$B$204,"&lt;&gt;*accidentel*",SAISIE!$F$5:$F$204,$F$89),SAISIE!$E$5:$E$204,0)),"-"))</f>
        <v/>
      </c>
      <c r="D99" s="7">
        <f>IF($F$89="","",IFERROR(INDEX(SAISIE!$E$5:$E$204,MATCH(MINIFS(SAISIE!$E$5:$E$204,SAISIE!$B$5:$B$204,"*Neige*",SAISIE!$B$5:$B$204,"&lt;&gt;*accidentel*",SAISIE!$F$5:$F$204,$F$89),SAISIE!$E$5:$E$204,0)),"-"))</f>
        <v/>
      </c>
      <c r="E99" s="7">
        <f>IF($F$89="","",IF(OR(D99="",D99="-"),"",IF(D99&gt;0,"(soulevement)",IF(D99&lt;0,"(compression)","-"))))</f>
        <v/>
      </c>
      <c r="I99" s="6">
        <f>IF(OR($M$89="",NOT(TRUE)),"","Neige normale")</f>
        <v/>
      </c>
      <c r="J99" s="7">
        <f>IF($M$89="","",IFERROR(INDEX(SAISIE!$K$5:$K$204,MATCH(MINIFS(SAISIE!$L$5:$L$204,SAISIE!$J$5:$J$204,"*Neige*",SAISIE!$J$5:$J$204,"&lt;&gt;*accidentel*",SAISIE!$M$5:$M$204,$M$89),SAISIE!$L$5:$L$204,0)),"-"))</f>
        <v/>
      </c>
      <c r="K99" s="7">
        <f>IF($M$89="","",IFERROR(INDEX(SAISIE!$L$5:$L$204,MATCH(MINIFS(SAISIE!$L$5:$L$204,SAISIE!$J$5:$J$204,"*Neige*",SAISIE!$J$5:$J$204,"&lt;&gt;*accidentel*",SAISIE!$M$5:$M$204,$M$89),SAISIE!$L$5:$L$204,0)),"-"))</f>
        <v/>
      </c>
      <c r="L99" s="7">
        <f>IF($M$89="","",IF(OR(K99="",K99="-"),"",IF(K99&gt;0,"(soulevement)",IF(K99&lt;0,"(compression)","-"))))</f>
        <v/>
      </c>
    </row>
    <row r="100">
      <c r="A100" s="6">
        <f>IF(OR($F$89="",NOT(TRUE)),"","Neige accidentelle")</f>
        <v/>
      </c>
      <c r="B100" s="7">
        <f>IF($F$89="","",IFERROR(LOOKUP(2,1/((SAISIE!$F$5:$F$204=$F$89)*(ISNUMBER(SEARCH("accidentel",SAISIE!$B$5:$B$204)))),SAISIE!$C$5:$C$204),"-"))</f>
        <v/>
      </c>
      <c r="C100" s="7">
        <f>IF($F$89="","",IFERROR(LOOKUP(2,1/((SAISIE!$F$5:$F$204=$F$89)*(ISNUMBER(SEARCH("accidentel",SAISIE!$B$5:$B$204)))),SAISIE!$D$5:$D$204),"-"))</f>
        <v/>
      </c>
      <c r="D100" s="7">
        <f>IF($F$89="","",IFERROR(LOOKUP(2,1/((SAISIE!$F$5:$F$204=$F$89)*(ISNUMBER(SEARCH("accidentel",SAISIE!$B$5:$B$204)))),SAISIE!$E$5:$E$204),"-"))</f>
        <v/>
      </c>
      <c r="E100" s="7">
        <f>IF($F$89="","",IF(OR(D100="",D100="-"),"",IF(D100&gt;0,"(soulevement)",IF(D100&lt;0,"(compression)","-"))))</f>
        <v/>
      </c>
      <c r="I100" s="6">
        <f>IF(OR($M$89="",NOT(TRUE)),"","Neige accidentelle")</f>
        <v/>
      </c>
      <c r="J100" s="7">
        <f>IF($M$89="","",IFERROR(LOOKUP(2,1/((SAISIE!$M$5:$M$204=$M$89)*(ISNUMBER(SEARCH("accidentel",SAISIE!$J$5:$J$204)))),SAISIE!$K$5:$K$204),"-"))</f>
        <v/>
      </c>
      <c r="K100" s="7">
        <f>IF($M$89="","",IFERROR(LOOKUP(2,1/((SAISIE!$M$5:$M$204=$M$89)*(ISNUMBER(SEARCH("accidentel",SAISIE!$J$5:$J$204)))),SAISIE!$L$5:$L$204),"-"))</f>
        <v/>
      </c>
      <c r="L100" s="7">
        <f>IF($M$89="","",IF(OR(K100="",K100="-"),"",IF(K100&gt;0,"(soulevement)",IF(K100&lt;0,"(compression)","-"))))</f>
        <v/>
      </c>
    </row>
    <row r="101">
      <c r="A101" s="5">
        <f>IF($F$101="","","Noeud "&amp;$F$101)</f>
        <v/>
      </c>
      <c r="B101" s="5" t="n"/>
      <c r="C101" s="5" t="n"/>
      <c r="D101" s="5" t="n"/>
      <c r="E101" s="5" t="n"/>
      <c r="F101">
        <f>IFERROR(INDEX(SAISIE!$F$5:$F$204,AGGREGATE(15,6,ROW(SAISIE!$F$5:$F$204)-ROW(SAISIE!$F$5)+1/(SAISIE!$F$5:$F$204&lt;&gt;"")/(COUNTIF($F$4:F100,SAISIE!$F$5:$F$204)=0),1)),"")</f>
        <v/>
      </c>
      <c r="I101" s="5">
        <f>IF($M$101="","","Noeud "&amp;$M$101)</f>
        <v/>
      </c>
      <c r="J101" s="5" t="n"/>
      <c r="K101" s="5" t="n"/>
      <c r="L101" s="5" t="n"/>
      <c r="M101">
        <f>IFERROR(INDEX(SAISIE!$M$5:$M$204,AGGREGATE(15,6,ROW(SAISIE!$M$5:$M$204)-ROW(SAISIE!$M$5)+1/(SAISIE!$M$5:$M$204&lt;&gt;"")/(COUNTIF($M$4:M100,SAISIE!$M$5:$M$204)=0),1)),"")</f>
        <v/>
      </c>
    </row>
    <row r="102">
      <c r="A102" s="6">
        <f>IF(OR($F$101="",NOT(TRUE)),"","Couverture")</f>
        <v/>
      </c>
      <c r="B102" s="7">
        <f>IF($F$101="","",IFERROR(IFERROR(LOOKUP(2,1/((SAISIE!$F$5:$F$204=$F$101)*(LEFT(SAISIE!$B$5:$B$204,2)="G ")),SAISIE!$C$5:$C$204),LOOKUP(2,1/((SAISIE!$F$5:$F$204=$F$101)*(ISNUMBER(SEARCH("Couverture",SAISIE!$B$5:$B$204)))),SAISIE!$C$5:$C$204)),"-"))</f>
        <v/>
      </c>
      <c r="C102" s="7">
        <f>IF($F$101="","",IFERROR(IFERROR(LOOKUP(2,1/((SAISIE!$F$5:$F$204=$F$101)*(LEFT(SAISIE!$B$5:$B$204,2)="G ")),SAISIE!$D$5:$D$204),LOOKUP(2,1/((SAISIE!$F$5:$F$204=$F$101)*(ISNUMBER(SEARCH("Couverture",SAISIE!$B$5:$B$204)))),SAISIE!$D$5:$D$204)),"-"))</f>
        <v/>
      </c>
      <c r="D102" s="7">
        <f>IF($F$101="","",IFERROR(IFERROR(LOOKUP(2,1/((SAISIE!$F$5:$F$204=$F$101)*(LEFT(SAISIE!$B$5:$B$204,2)="G ")),SAISIE!$E$5:$E$204),LOOKUP(2,1/((SAISIE!$F$5:$F$204=$F$101)*(ISNUMBER(SEARCH("Couverture",SAISIE!$B$5:$B$204)))),SAISIE!$E$5:$E$204)),"-"))</f>
        <v/>
      </c>
      <c r="E102" s="7">
        <f>IF($F$101="","",IF(OR(D102="",D102="-"),"",IF(D102&gt;0,"(soulevement)",IF(D102&lt;0,"(compression)","-"))))</f>
        <v/>
      </c>
      <c r="I102" s="6">
        <f>IF(OR($M$101="",NOT(TRUE)),"","Couverture")</f>
        <v/>
      </c>
      <c r="J102" s="7">
        <f>IF($M$101="","",IFERROR(IFERROR(LOOKUP(2,1/((SAISIE!$M$5:$M$204=$M$101)*(LEFT(SAISIE!$J$5:$J$204,2)="G ")),SAISIE!$K$5:$K$204),LOOKUP(2,1/((SAISIE!$M$5:$M$204=$M$101)*(ISNUMBER(SEARCH("Couverture",SAISIE!$J$5:$J$204)))),SAISIE!$K$5:$K$204)),"-"))</f>
        <v/>
      </c>
      <c r="K102" s="7">
        <f>IF($M$101="","",IFERROR(IFERROR(LOOKUP(2,1/((SAISIE!$M$5:$M$204=$M$101)*(LEFT(SAISIE!$J$5:$J$204,2)="G ")),SAISIE!$L$5:$L$204),LOOKUP(2,1/((SAISIE!$M$5:$M$204=$M$101)*(ISNUMBER(SEARCH("Couverture",SAISIE!$J$5:$J$204)))),SAISIE!$L$5:$L$204)),"-"))</f>
        <v/>
      </c>
      <c r="L102" s="7">
        <f>IF($M$101="","",IF(OR(K102="",K102="-"),"",IF(K102&gt;0,"(soulevement)",IF(K102&lt;0,"(compression)","-"))))</f>
        <v/>
      </c>
    </row>
    <row r="103">
      <c r="A103" s="6">
        <f>IF(OR($F$101="",NOT(COUNTIFS(SAISIE!$B$5:$B$204,"*Vent G/D*",SAISIE!$F$5:$F$204,$F$101)&gt;0)),"","Vent G/D")</f>
        <v/>
      </c>
      <c r="B103" s="7">
        <f>IF(OR($F$101="",NOT(COUNTIFS(SAISIE!$B$5:$B$204,"*Vent G/D*",SAISIE!$F$5:$F$204,$F$101)&gt;0)),"",IFERROR(IF(MINIFS(SAISIE!$E$5:$E$204,SAISIE!$B$5:$B$204,"*Vent G/D*",SAISIE!$F$5:$F$204,$F$101)&gt;=0,MAXIFS(SAISIE!$C$5:$C$204,SAISIE!$B$5:$B$204,"*Vent G/D*",SAISIE!$F$5:$F$204,$F$101),INDEX(SAISIE!$C$5:$C$204,MATCH(MINIFS(SAISIE!$E$5:$E$204,SAISIE!$B$5:$B$204,"*Vent G/D*",SAISIE!$F$5:$F$204,$F$101),SAISIE!$E$5:$E$204,0))),"-"))</f>
        <v/>
      </c>
      <c r="C103" s="7">
        <f>IF(OR($F$101="",NOT(COUNTIFS(SAISIE!$B$5:$B$204,"*Vent G/D*",SAISIE!$F$5:$F$204,$F$101)&gt;0)),"",IFERROR(IF(MINIFS(SAISIE!$E$5:$E$204,SAISIE!$B$5:$B$204,"*Vent G/D*",SAISIE!$F$5:$F$204,$F$101)&gt;=0,INDEX(SAISIE!$D$5:$D$204,MATCH(MAXIFS(SAISIE!$C$5:$C$204,SAISIE!$B$5:$B$204,"*Vent G/D*",SAISIE!$F$5:$F$204,$F$101),SAISIE!$C$5:$C$204,0)),INDEX(SAISIE!$D$5:$D$204,MATCH(MINIFS(SAISIE!$E$5:$E$204,SAISIE!$B$5:$B$204,"*Vent G/D*",SAISIE!$F$5:$F$204,$F$101),SAISIE!$E$5:$E$204,0))),"-"))</f>
        <v/>
      </c>
      <c r="D103" s="7">
        <f>IF(OR($F$101="",NOT(COUNTIFS(SAISIE!$B$5:$B$204,"*Vent G/D*",SAISIE!$F$5:$F$204,$F$101)&gt;0)),"",IFERROR(IF(MINIFS(SAISIE!$E$5:$E$204,SAISIE!$B$5:$B$204,"*Vent G/D*",SAISIE!$F$5:$F$204,$F$101)&gt;=0,0,MINIFS(SAISIE!$E$5:$E$204,SAISIE!$B$5:$B$204,"*Vent G/D*",SAISIE!$F$5:$F$204,$F$101)),"-"))</f>
        <v/>
      </c>
      <c r="E103" s="7">
        <f>IF($F$101="","",IF(OR(D103="",D103="-"),"",IF(D103&gt;0,"(soulevement)",IF(D103&lt;0,"(compression)","-"))))</f>
        <v/>
      </c>
      <c r="I103" s="6">
        <f>IF(OR($M$101="",NOT(COUNTIFS(SAISIE!$J$5:$J$204,"*Vent G/D*",SAISIE!$M$5:$M$204,$M$101)&gt;0)),"","Vent G/D")</f>
        <v/>
      </c>
      <c r="J103" s="7">
        <f>IF(OR($M$101="",NOT(COUNTIFS(SAISIE!$J$5:$J$204,"*Vent G/D*",SAISIE!$M$5:$M$204,$M$101)&gt;0)),"",IFERROR(IF(MINIFS(SAISIE!$L$5:$L$204,SAISIE!$J$5:$J$204,"*Vent G/D*",SAISIE!$M$5:$M$204,$M$101)&gt;=0,MAXIFS(SAISIE!$K$5:$K$204,SAISIE!$J$5:$J$204,"*Vent G/D*",SAISIE!$M$5:$M$204,$M$101),INDEX(SAISIE!$K$5:$K$204,MATCH(MINIFS(SAISIE!$L$5:$L$204,SAISIE!$J$5:$J$204,"*Vent G/D*",SAISIE!$M$5:$M$204,$M$101),SAISIE!$L$5:$L$204,0))),"-"))</f>
        <v/>
      </c>
      <c r="K103" s="7">
        <f>IF(OR($M$101="",NOT(COUNTIFS(SAISIE!$J$5:$J$204,"*Vent G/D*",SAISIE!$M$5:$M$204,$M$101)&gt;0)),"",IFERROR(IF(MINIFS(SAISIE!$L$5:$L$204,SAISIE!$J$5:$J$204,"*Vent G/D*",SAISIE!$M$5:$M$204,$M$101)&gt;=0,0,MINIFS(SAISIE!$L$5:$L$204,SAISIE!$J$5:$J$204,"*Vent G/D*",SAISIE!$M$5:$M$204,$M$101)),"-"))</f>
        <v/>
      </c>
      <c r="L103" s="7">
        <f>IF($M$101="","",IF(OR(K103="",K103="-"),"",IF(K103&gt;0,"(soulevement)",IF(K103&lt;0,"(compression)","-"))))</f>
        <v/>
      </c>
    </row>
    <row r="104">
      <c r="A104" s="6">
        <f>IF(OR($F$101="",NOT(MAXIFS(SAISIE!$E$5:$E$204,SAISIE!$B$5:$B$204,"*Vent G/D*",SAISIE!$F$5:$F$204,$F$101)&gt;0)),"","Vent G/D")</f>
        <v/>
      </c>
      <c r="B104" s="7">
        <f>IF(OR($F$101="",NOT(MAXIFS(SAISIE!$E$5:$E$204,SAISIE!$B$5:$B$204,"*Vent G/D*",SAISIE!$F$5:$F$204,$F$101)&gt;0)),"",IFERROR(INDEX(SAISIE!$C$5:$C$204,MATCH(MAXIFS(SAISIE!$E$5:$E$204,SAISIE!$B$5:$B$204,"*Vent G/D*",SAISIE!$F$5:$F$204,$F$101),SAISIE!$E$5:$E$204,0)),"-"))</f>
        <v/>
      </c>
      <c r="C104" s="7">
        <f>IF(OR($F$101="",NOT(MAXIFS(SAISIE!$E$5:$E$204,SAISIE!$B$5:$B$204,"*Vent G/D*",SAISIE!$F$5:$F$204,$F$101)&gt;0)),"",IFERROR(INDEX(SAISIE!$D$5:$D$204,MATCH(MAXIFS(SAISIE!$E$5:$E$204,SAISIE!$B$5:$B$204,"*Vent G/D*",SAISIE!$F$5:$F$204,$F$101),SAISIE!$E$5:$E$204,0)),"-"))</f>
        <v/>
      </c>
      <c r="D104" s="7">
        <f>IF(OR($F$101="",NOT(MAXIFS(SAISIE!$E$5:$E$204,SAISIE!$B$5:$B$204,"*Vent G/D*",SAISIE!$F$5:$F$204,$F$101)&gt;0)),"",IFERROR(MAXIFS(SAISIE!$E$5:$E$204,SAISIE!$B$5:$B$204,"*Vent G/D*",SAISIE!$F$5:$F$204,$F$101),"-"))</f>
        <v/>
      </c>
      <c r="E104" s="7">
        <f>IF($F$101="","",IF(OR(D104="",D104="-"),"",IF(D104&gt;0,"(soulevement)",IF(D104&lt;0,"(compression)","-"))))</f>
        <v/>
      </c>
      <c r="I104" s="6">
        <f>IF(OR($M$101="",NOT(MAXIFS(SAISIE!$L$5:$L$204,SAISIE!$J$5:$J$204,"*Vent G/D*",SAISIE!$M$5:$M$204,$M$101)&gt;0)),"","Vent G/D")</f>
        <v/>
      </c>
      <c r="J104" s="7">
        <f>IF(OR($M$101="",NOT(MAXIFS(SAISIE!$L$5:$L$204,SAISIE!$J$5:$J$204,"*Vent G/D*",SAISIE!$M$5:$M$204,$M$101)&gt;0)),"",IFERROR(INDEX(SAISIE!$K$5:$K$204,MATCH(MAXIFS(SAISIE!$L$5:$L$204,SAISIE!$J$5:$J$204,"*Vent G/D*",SAISIE!$M$5:$M$204,$M$101),SAISIE!$L$5:$L$204,0)),"-"))</f>
        <v/>
      </c>
      <c r="K104" s="7">
        <f>IF(OR($M$101="",NOT(MAXIFS(SAISIE!$L$5:$L$204,SAISIE!$J$5:$J$204,"*Vent G/D*",SAISIE!$M$5:$M$204,$M$101)&gt;0)),"",IFERROR(MAXIFS(SAISIE!$L$5:$L$204,SAISIE!$J$5:$J$204,"*Vent G/D*",SAISIE!$M$5:$M$204,$M$101),"-"))</f>
        <v/>
      </c>
      <c r="L104" s="7">
        <f>IF($M$101="","",IF(OR(K104="",K104="-"),"",IF(K104&gt;0,"(soulevement)",IF(K104&lt;0,"(compression)","-"))))</f>
        <v/>
      </c>
    </row>
    <row r="105">
      <c r="A105" s="6">
        <f>IF(OR($F$101="",NOT(COUNTIFS(SAISIE!$B$5:$B$204,"*Vent D/G*",SAISIE!$F$5:$F$204,$F$101)&gt;0)),"","Vent D/G")</f>
        <v/>
      </c>
      <c r="B105" s="7">
        <f>IF(OR($F$101="",NOT(COUNTIFS(SAISIE!$B$5:$B$204,"*Vent D/G*",SAISIE!$F$5:$F$204,$F$101)&gt;0)),"",IFERROR(IF(MINIFS(SAISIE!$E$5:$E$204,SAISIE!$B$5:$B$204,"*Vent D/G*",SAISIE!$F$5:$F$204,$F$101)&gt;=0,MAXIFS(SAISIE!$C$5:$C$204,SAISIE!$B$5:$B$204,"*Vent D/G*",SAISIE!$F$5:$F$204,$F$101),INDEX(SAISIE!$C$5:$C$204,MATCH(MINIFS(SAISIE!$E$5:$E$204,SAISIE!$B$5:$B$204,"*Vent D/G*",SAISIE!$F$5:$F$204,$F$101),SAISIE!$E$5:$E$204,0))),"-"))</f>
        <v/>
      </c>
      <c r="C105" s="7">
        <f>IF(OR($F$101="",NOT(COUNTIFS(SAISIE!$B$5:$B$204,"*Vent D/G*",SAISIE!$F$5:$F$204,$F$101)&gt;0)),"",IFERROR(IF(MINIFS(SAISIE!$E$5:$E$204,SAISIE!$B$5:$B$204,"*Vent D/G*",SAISIE!$F$5:$F$204,$F$101)&gt;=0,INDEX(SAISIE!$D$5:$D$204,MATCH(MAXIFS(SAISIE!$C$5:$C$204,SAISIE!$B$5:$B$204,"*Vent D/G*",SAISIE!$F$5:$F$204,$F$101),SAISIE!$C$5:$C$204,0)),INDEX(SAISIE!$D$5:$D$204,MATCH(MINIFS(SAISIE!$E$5:$E$204,SAISIE!$B$5:$B$204,"*Vent D/G*",SAISIE!$F$5:$F$204,$F$101),SAISIE!$E$5:$E$204,0))),"-"))</f>
        <v/>
      </c>
      <c r="D105" s="7">
        <f>IF(OR($F$101="",NOT(COUNTIFS(SAISIE!$B$5:$B$204,"*Vent D/G*",SAISIE!$F$5:$F$204,$F$101)&gt;0)),"",IFERROR(IF(MINIFS(SAISIE!$E$5:$E$204,SAISIE!$B$5:$B$204,"*Vent D/G*",SAISIE!$F$5:$F$204,$F$101)&gt;=0,0,MINIFS(SAISIE!$E$5:$E$204,SAISIE!$B$5:$B$204,"*Vent D/G*",SAISIE!$F$5:$F$204,$F$101)),"-"))</f>
        <v/>
      </c>
      <c r="E105" s="7">
        <f>IF($F$101="","",IF(OR(D105="",D105="-"),"",IF(D105&gt;0,"(soulevement)",IF(D105&lt;0,"(compression)","-"))))</f>
        <v/>
      </c>
      <c r="I105" s="6">
        <f>IF(OR($M$101="",NOT(COUNTIFS(SAISIE!$J$5:$J$204,"*Vent D/G*",SAISIE!$M$5:$M$204,$M$101)&gt;0)),"","Vent D/G")</f>
        <v/>
      </c>
      <c r="J105" s="7">
        <f>IF(OR($M$101="",NOT(COUNTIFS(SAISIE!$J$5:$J$204,"*Vent D/G*",SAISIE!$M$5:$M$204,$M$101)&gt;0)),"",IFERROR(IF(MINIFS(SAISIE!$L$5:$L$204,SAISIE!$J$5:$J$204,"*Vent D/G*",SAISIE!$M$5:$M$204,$M$101)&gt;=0,MAXIFS(SAISIE!$K$5:$K$204,SAISIE!$J$5:$J$204,"*Vent D/G*",SAISIE!$M$5:$M$204,$M$101),INDEX(SAISIE!$K$5:$K$204,MATCH(MINIFS(SAISIE!$L$5:$L$204,SAISIE!$J$5:$J$204,"*Vent D/G*",SAISIE!$M$5:$M$204,$M$101),SAISIE!$L$5:$L$204,0))),"-"))</f>
        <v/>
      </c>
      <c r="K105" s="7">
        <f>IF(OR($M$101="",NOT(COUNTIFS(SAISIE!$J$5:$J$204,"*Vent D/G*",SAISIE!$M$5:$M$204,$M$101)&gt;0)),"",IFERROR(IF(MINIFS(SAISIE!$L$5:$L$204,SAISIE!$J$5:$J$204,"*Vent D/G*",SAISIE!$M$5:$M$204,$M$101)&gt;=0,0,MINIFS(SAISIE!$L$5:$L$204,SAISIE!$J$5:$J$204,"*Vent D/G*",SAISIE!$M$5:$M$204,$M$101)),"-"))</f>
        <v/>
      </c>
      <c r="L105" s="7">
        <f>IF($M$101="","",IF(OR(K105="",K105="-"),"",IF(K105&gt;0,"(soulevement)",IF(K105&lt;0,"(compression)","-"))))</f>
        <v/>
      </c>
    </row>
    <row r="106">
      <c r="A106" s="6">
        <f>IF(OR($F$101="",NOT(MAXIFS(SAISIE!$E$5:$E$204,SAISIE!$B$5:$B$204,"*Vent D/G*",SAISIE!$F$5:$F$204,$F$101)&gt;0)),"","Vent D/G")</f>
        <v/>
      </c>
      <c r="B106" s="7">
        <f>IF(OR($F$101="",NOT(MAXIFS(SAISIE!$E$5:$E$204,SAISIE!$B$5:$B$204,"*Vent D/G*",SAISIE!$F$5:$F$204,$F$101)&gt;0)),"",IFERROR(INDEX(SAISIE!$C$5:$C$204,MATCH(MAXIFS(SAISIE!$E$5:$E$204,SAISIE!$B$5:$B$204,"*Vent D/G*",SAISIE!$F$5:$F$204,$F$101),SAISIE!$E$5:$E$204,0)),"-"))</f>
        <v/>
      </c>
      <c r="C106" s="7">
        <f>IF(OR($F$101="",NOT(MAXIFS(SAISIE!$E$5:$E$204,SAISIE!$B$5:$B$204,"*Vent D/G*",SAISIE!$F$5:$F$204,$F$101)&gt;0)),"",IFERROR(INDEX(SAISIE!$D$5:$D$204,MATCH(MAXIFS(SAISIE!$E$5:$E$204,SAISIE!$B$5:$B$204,"*Vent D/G*",SAISIE!$F$5:$F$204,$F$101),SAISIE!$E$5:$E$204,0)),"-"))</f>
        <v/>
      </c>
      <c r="D106" s="7">
        <f>IF(OR($F$101="",NOT(MAXIFS(SAISIE!$E$5:$E$204,SAISIE!$B$5:$B$204,"*Vent D/G*",SAISIE!$F$5:$F$204,$F$101)&gt;0)),"",IFERROR(MAXIFS(SAISIE!$E$5:$E$204,SAISIE!$B$5:$B$204,"*Vent D/G*",SAISIE!$F$5:$F$204,$F$101),"-"))</f>
        <v/>
      </c>
      <c r="E106" s="7">
        <f>IF($F$101="","",IF(OR(D106="",D106="-"),"",IF(D106&gt;0,"(soulevement)",IF(D106&lt;0,"(compression)","-"))))</f>
        <v/>
      </c>
      <c r="I106" s="6">
        <f>IF(OR($M$101="",NOT(MAXIFS(SAISIE!$L$5:$L$204,SAISIE!$J$5:$J$204,"*Vent D/G*",SAISIE!$M$5:$M$204,$M$101)&gt;0)),"","Vent D/G")</f>
        <v/>
      </c>
      <c r="J106" s="7">
        <f>IF(OR($M$101="",NOT(MAXIFS(SAISIE!$L$5:$L$204,SAISIE!$J$5:$J$204,"*Vent D/G*",SAISIE!$M$5:$M$204,$M$101)&gt;0)),"",IFERROR(INDEX(SAISIE!$K$5:$K$204,MATCH(MAXIFS(SAISIE!$L$5:$L$204,SAISIE!$J$5:$J$204,"*Vent D/G*",SAISIE!$M$5:$M$204,$M$101),SAISIE!$L$5:$L$204,0)),"-"))</f>
        <v/>
      </c>
      <c r="K106" s="7">
        <f>IF(OR($M$101="",NOT(MAXIFS(SAISIE!$L$5:$L$204,SAISIE!$J$5:$J$204,"*Vent D/G*",SAISIE!$M$5:$M$204,$M$101)&gt;0)),"",IFERROR(MAXIFS(SAISIE!$L$5:$L$204,SAISIE!$J$5:$J$204,"*Vent D/G*",SAISIE!$M$5:$M$204,$M$101),"-"))</f>
        <v/>
      </c>
      <c r="L106" s="7">
        <f>IF($M$101="","",IF(OR(K106="",K106="-"),"",IF(K106&gt;0,"(soulevement)",IF(K106&lt;0,"(compression)","-"))))</f>
        <v/>
      </c>
    </row>
    <row r="107">
      <c r="A107" s="6">
        <f>IF(OR($F$101="",NOT(COUNTIFS(SAISIE!$B$5:$B$204,"*Vent Av./Arr.*",SAISIE!$F$5:$F$204,$F$101)&gt;0)),"","Vent Av./Arr.")</f>
        <v/>
      </c>
      <c r="B107" s="7">
        <f>IF(OR($F$101="",NOT(COUNTIFS(SAISIE!$B$5:$B$204,"*Vent Av./Arr.*",SAISIE!$F$5:$F$204,$F$101)&gt;0)),"",IFERROR(IF(MINIFS(SAISIE!$E$5:$E$204,SAISIE!$B$5:$B$204,"*Vent Av./Arr.*",SAISIE!$F$5:$F$204,$F$101)&gt;=0,MAXIFS(SAISIE!$C$5:$C$204,SAISIE!$B$5:$B$204,"*Vent Av./Arr.*",SAISIE!$F$5:$F$204,$F$101),INDEX(SAISIE!$C$5:$C$204,MATCH(MINIFS(SAISIE!$E$5:$E$204,SAISIE!$B$5:$B$204,"*Vent Av./Arr.*",SAISIE!$F$5:$F$204,$F$101),SAISIE!$E$5:$E$204,0))),"-"))</f>
        <v/>
      </c>
      <c r="C107" s="7">
        <f>IF(OR($F$101="",NOT(COUNTIFS(SAISIE!$B$5:$B$204,"*Vent Av./Arr.*",SAISIE!$F$5:$F$204,$F$101)&gt;0)),"",IFERROR(IF(MINIFS(SAISIE!$E$5:$E$204,SAISIE!$B$5:$B$204,"*Vent Av./Arr.*",SAISIE!$F$5:$F$204,$F$101)&gt;=0,INDEX(SAISIE!$D$5:$D$204,MATCH(MAXIFS(SAISIE!$C$5:$C$204,SAISIE!$B$5:$B$204,"*Vent Av./Arr.*",SAISIE!$F$5:$F$204,$F$101),SAISIE!$C$5:$C$204,0)),INDEX(SAISIE!$D$5:$D$204,MATCH(MINIFS(SAISIE!$E$5:$E$204,SAISIE!$B$5:$B$204,"*Vent Av./Arr.*",SAISIE!$F$5:$F$204,$F$101),SAISIE!$E$5:$E$204,0))),"-"))</f>
        <v/>
      </c>
      <c r="D107" s="7">
        <f>IF(OR($F$101="",NOT(COUNTIFS(SAISIE!$B$5:$B$204,"*Vent Av./Arr.*",SAISIE!$F$5:$F$204,$F$101)&gt;0)),"",IFERROR(IF(MINIFS(SAISIE!$E$5:$E$204,SAISIE!$B$5:$B$204,"*Vent Av./Arr.*",SAISIE!$F$5:$F$204,$F$101)&gt;=0,0,MINIFS(SAISIE!$E$5:$E$204,SAISIE!$B$5:$B$204,"*Vent Av./Arr.*",SAISIE!$F$5:$F$204,$F$101)),"-"))</f>
        <v/>
      </c>
      <c r="E107" s="7">
        <f>IF($F$101="","",IF(OR(D107="",D107="-"),"",IF(D107&gt;0,"(soulevement)",IF(D107&lt;0,"(compression)","-"))))</f>
        <v/>
      </c>
      <c r="I107" s="6">
        <f>IF(OR($M$101="",NOT(COUNTIFS(SAISIE!$J$5:$J$204,"*Vent Av./Arr.*",SAISIE!$M$5:$M$204,$M$101)&gt;0)),"","Vent Av./Arr.")</f>
        <v/>
      </c>
      <c r="J107" s="7">
        <f>IF(OR($M$101="",NOT(COUNTIFS(SAISIE!$J$5:$J$204,"*Vent Av./Arr.*",SAISIE!$M$5:$M$204,$M$101)&gt;0)),"",IFERROR(IF(MINIFS(SAISIE!$L$5:$L$204,SAISIE!$J$5:$J$204,"*Vent Av./Arr.*",SAISIE!$M$5:$M$204,$M$101)&gt;=0,MAXIFS(SAISIE!$K$5:$K$204,SAISIE!$J$5:$J$204,"*Vent Av./Arr.*",SAISIE!$M$5:$M$204,$M$101),INDEX(SAISIE!$K$5:$K$204,MATCH(MINIFS(SAISIE!$L$5:$L$204,SAISIE!$J$5:$J$204,"*Vent Av./Arr.*",SAISIE!$M$5:$M$204,$M$101),SAISIE!$L$5:$L$204,0))),"-"))</f>
        <v/>
      </c>
      <c r="K107" s="7">
        <f>IF(OR($M$101="",NOT(COUNTIFS(SAISIE!$J$5:$J$204,"*Vent Av./Arr.*",SAISIE!$M$5:$M$204,$M$101)&gt;0)),"",IFERROR(IF(MINIFS(SAISIE!$L$5:$L$204,SAISIE!$J$5:$J$204,"*Vent Av./Arr.*",SAISIE!$M$5:$M$204,$M$101)&gt;=0,0,MINIFS(SAISIE!$L$5:$L$204,SAISIE!$J$5:$J$204,"*Vent Av./Arr.*",SAISIE!$M$5:$M$204,$M$101)),"-"))</f>
        <v/>
      </c>
      <c r="L107" s="7">
        <f>IF($M$101="","",IF(OR(K107="",K107="-"),"",IF(K107&gt;0,"(soulevement)",IF(K107&lt;0,"(compression)","-"))))</f>
        <v/>
      </c>
    </row>
    <row r="108">
      <c r="A108" s="6">
        <f>IF(OR($F$101="",NOT(MAXIFS(SAISIE!$E$5:$E$204,SAISIE!$B$5:$B$204,"*Vent Av./Arr.*",SAISIE!$F$5:$F$204,$F$101)&gt;0)),"","Vent Av./Arr.")</f>
        <v/>
      </c>
      <c r="B108" s="7">
        <f>IF(OR($F$101="",NOT(MAXIFS(SAISIE!$E$5:$E$204,SAISIE!$B$5:$B$204,"*Vent Av./Arr.*",SAISIE!$F$5:$F$204,$F$101)&gt;0)),"",IFERROR(INDEX(SAISIE!$C$5:$C$204,MATCH(MAXIFS(SAISIE!$E$5:$E$204,SAISIE!$B$5:$B$204,"*Vent Av./Arr.*",SAISIE!$F$5:$F$204,$F$101),SAISIE!$E$5:$E$204,0)),"-"))</f>
        <v/>
      </c>
      <c r="C108" s="7">
        <f>IF(OR($F$101="",NOT(MAXIFS(SAISIE!$E$5:$E$204,SAISIE!$B$5:$B$204,"*Vent Av./Arr.*",SAISIE!$F$5:$F$204,$F$101)&gt;0)),"",IFERROR(INDEX(SAISIE!$D$5:$D$204,MATCH(MAXIFS(SAISIE!$E$5:$E$204,SAISIE!$B$5:$B$204,"*Vent Av./Arr.*",SAISIE!$F$5:$F$204,$F$101),SAISIE!$E$5:$E$204,0)),"-"))</f>
        <v/>
      </c>
      <c r="D108" s="7">
        <f>IF(OR($F$101="",NOT(MAXIFS(SAISIE!$E$5:$E$204,SAISIE!$B$5:$B$204,"*Vent Av./Arr.*",SAISIE!$F$5:$F$204,$F$101)&gt;0)),"",IFERROR(MAXIFS(SAISIE!$E$5:$E$204,SAISIE!$B$5:$B$204,"*Vent Av./Arr.*",SAISIE!$F$5:$F$204,$F$101),"-"))</f>
        <v/>
      </c>
      <c r="E108" s="7">
        <f>IF($F$101="","",IF(OR(D108="",D108="-"),"",IF(D108&gt;0,"(soulevement)",IF(D108&lt;0,"(compression)","-"))))</f>
        <v/>
      </c>
      <c r="I108" s="6">
        <f>IF(OR($M$101="",NOT(MAXIFS(SAISIE!$L$5:$L$204,SAISIE!$J$5:$J$204,"*Vent Av./Arr.*",SAISIE!$M$5:$M$204,$M$101)&gt;0)),"","Vent Av./Arr.")</f>
        <v/>
      </c>
      <c r="J108" s="7">
        <f>IF(OR($M$101="",NOT(MAXIFS(SAISIE!$L$5:$L$204,SAISIE!$J$5:$J$204,"*Vent Av./Arr.*",SAISIE!$M$5:$M$204,$M$101)&gt;0)),"",IFERROR(INDEX(SAISIE!$K$5:$K$204,MATCH(MAXIFS(SAISIE!$L$5:$L$204,SAISIE!$J$5:$J$204,"*Vent Av./Arr.*",SAISIE!$M$5:$M$204,$M$101),SAISIE!$L$5:$L$204,0)),"-"))</f>
        <v/>
      </c>
      <c r="K108" s="7">
        <f>IF(OR($M$101="",NOT(MAXIFS(SAISIE!$L$5:$L$204,SAISIE!$J$5:$J$204,"*Vent Av./Arr.*",SAISIE!$M$5:$M$204,$M$101)&gt;0)),"",IFERROR(MAXIFS(SAISIE!$L$5:$L$204,SAISIE!$J$5:$J$204,"*Vent Av./Arr.*",SAISIE!$M$5:$M$204,$M$101),"-"))</f>
        <v/>
      </c>
      <c r="L108" s="7">
        <f>IF($M$101="","",IF(OR(K108="",K108="-"),"",IF(K108&gt;0,"(soulevement)",IF(K108&lt;0,"(compression)","-"))))</f>
        <v/>
      </c>
    </row>
    <row r="109">
      <c r="A109" s="6">
        <f>IF(OR($F$101="",NOT(COUNTIFS(SAISIE!$B$5:$B$204,"*Vent Arr./Av.*",SAISIE!$F$5:$F$204,$F$101)&gt;0)),"","Vent Arr./Av.")</f>
        <v/>
      </c>
      <c r="B109" s="7">
        <f>IF(OR($F$101="",NOT(COUNTIFS(SAISIE!$B$5:$B$204,"*Vent Arr./Av.*",SAISIE!$F$5:$F$204,$F$101)&gt;0)),"",IFERROR(IF(MINIFS(SAISIE!$E$5:$E$204,SAISIE!$B$5:$B$204,"*Vent Arr./Av.*",SAISIE!$F$5:$F$204,$F$101)&gt;=0,MAXIFS(SAISIE!$C$5:$C$204,SAISIE!$B$5:$B$204,"*Vent Arr./Av.*",SAISIE!$F$5:$F$204,$F$101),INDEX(SAISIE!$C$5:$C$204,MATCH(MINIFS(SAISIE!$E$5:$E$204,SAISIE!$B$5:$B$204,"*Vent Arr./Av.*",SAISIE!$F$5:$F$204,$F$101),SAISIE!$E$5:$E$204,0))),"-"))</f>
        <v/>
      </c>
      <c r="C109" s="7">
        <f>IF(OR($F$101="",NOT(COUNTIFS(SAISIE!$B$5:$B$204,"*Vent Arr./Av.*",SAISIE!$F$5:$F$204,$F$101)&gt;0)),"",IFERROR(IF(MINIFS(SAISIE!$E$5:$E$204,SAISIE!$B$5:$B$204,"*Vent Arr./Av.*",SAISIE!$F$5:$F$204,$F$101)&gt;=0,INDEX(SAISIE!$D$5:$D$204,MATCH(MAXIFS(SAISIE!$C$5:$C$204,SAISIE!$B$5:$B$204,"*Vent Arr./Av.*",SAISIE!$F$5:$F$204,$F$101),SAISIE!$C$5:$C$204,0)),INDEX(SAISIE!$D$5:$D$204,MATCH(MINIFS(SAISIE!$E$5:$E$204,SAISIE!$B$5:$B$204,"*Vent Arr./Av.*",SAISIE!$F$5:$F$204,$F$101),SAISIE!$E$5:$E$204,0))),"-"))</f>
        <v/>
      </c>
      <c r="D109" s="7">
        <f>IF(OR($F$101="",NOT(COUNTIFS(SAISIE!$B$5:$B$204,"*Vent Arr./Av.*",SAISIE!$F$5:$F$204,$F$101)&gt;0)),"",IFERROR(IF(MINIFS(SAISIE!$E$5:$E$204,SAISIE!$B$5:$B$204,"*Vent Arr./Av.*",SAISIE!$F$5:$F$204,$F$101)&gt;=0,0,MINIFS(SAISIE!$E$5:$E$204,SAISIE!$B$5:$B$204,"*Vent Arr./Av.*",SAISIE!$F$5:$F$204,$F$101)),"-"))</f>
        <v/>
      </c>
      <c r="E109" s="7">
        <f>IF($F$101="","",IF(OR(D109="",D109="-"),"",IF(D109&gt;0,"(soulevement)",IF(D109&lt;0,"(compression)","-"))))</f>
        <v/>
      </c>
      <c r="I109" s="6">
        <f>IF(OR($M$101="",NOT(COUNTIFS(SAISIE!$J$5:$J$204,"*Vent Arr./Av.*",SAISIE!$M$5:$M$204,$M$101)&gt;0)),"","Vent Arr./Av.")</f>
        <v/>
      </c>
      <c r="J109" s="7">
        <f>IF(OR($M$101="",NOT(COUNTIFS(SAISIE!$J$5:$J$204,"*Vent Arr./Av.*",SAISIE!$M$5:$M$204,$M$101)&gt;0)),"",IFERROR(IF(MINIFS(SAISIE!$L$5:$L$204,SAISIE!$J$5:$J$204,"*Vent Arr./Av.*",SAISIE!$M$5:$M$204,$M$101)&gt;=0,MAXIFS(SAISIE!$K$5:$K$204,SAISIE!$J$5:$J$204,"*Vent Arr./Av.*",SAISIE!$M$5:$M$204,$M$101),INDEX(SAISIE!$K$5:$K$204,MATCH(MINIFS(SAISIE!$L$5:$L$204,SAISIE!$J$5:$J$204,"*Vent Arr./Av.*",SAISIE!$M$5:$M$204,$M$101),SAISIE!$L$5:$L$204,0))),"-"))</f>
        <v/>
      </c>
      <c r="K109" s="7">
        <f>IF(OR($M$101="",NOT(COUNTIFS(SAISIE!$J$5:$J$204,"*Vent Arr./Av.*",SAISIE!$M$5:$M$204,$M$101)&gt;0)),"",IFERROR(IF(MINIFS(SAISIE!$L$5:$L$204,SAISIE!$J$5:$J$204,"*Vent Arr./Av.*",SAISIE!$M$5:$M$204,$M$101)&gt;=0,0,MINIFS(SAISIE!$L$5:$L$204,SAISIE!$J$5:$J$204,"*Vent Arr./Av.*",SAISIE!$M$5:$M$204,$M$101)),"-"))</f>
        <v/>
      </c>
      <c r="L109" s="7">
        <f>IF($M$101="","",IF(OR(K109="",K109="-"),"",IF(K109&gt;0,"(soulevement)",IF(K109&lt;0,"(compression)","-"))))</f>
        <v/>
      </c>
    </row>
    <row r="110">
      <c r="A110" s="6">
        <f>IF(OR($F$101="",NOT(MAXIFS(SAISIE!$E$5:$E$204,SAISIE!$B$5:$B$204,"*Vent Arr./Av.*",SAISIE!$F$5:$F$204,$F$101)&gt;0)),"","Vent Arr./Av.")</f>
        <v/>
      </c>
      <c r="B110" s="7">
        <f>IF(OR($F$101="",NOT(MAXIFS(SAISIE!$E$5:$E$204,SAISIE!$B$5:$B$204,"*Vent Arr./Av.*",SAISIE!$F$5:$F$204,$F$101)&gt;0)),"",IFERROR(INDEX(SAISIE!$C$5:$C$204,MATCH(MAXIFS(SAISIE!$E$5:$E$204,SAISIE!$B$5:$B$204,"*Vent Arr./Av.*",SAISIE!$F$5:$F$204,$F$101),SAISIE!$E$5:$E$204,0)),"-"))</f>
        <v/>
      </c>
      <c r="C110" s="7">
        <f>IF(OR($F$101="",NOT(MAXIFS(SAISIE!$E$5:$E$204,SAISIE!$B$5:$B$204,"*Vent Arr./Av.*",SAISIE!$F$5:$F$204,$F$101)&gt;0)),"",IFERROR(INDEX(SAISIE!$D$5:$D$204,MATCH(MAXIFS(SAISIE!$E$5:$E$204,SAISIE!$B$5:$B$204,"*Vent Arr./Av.*",SAISIE!$F$5:$F$204,$F$101),SAISIE!$E$5:$E$204,0)),"-"))</f>
        <v/>
      </c>
      <c r="D110" s="7">
        <f>IF(OR($F$101="",NOT(MAXIFS(SAISIE!$E$5:$E$204,SAISIE!$B$5:$B$204,"*Vent Arr./Av.*",SAISIE!$F$5:$F$204,$F$101)&gt;0)),"",IFERROR(MAXIFS(SAISIE!$E$5:$E$204,SAISIE!$B$5:$B$204,"*Vent Arr./Av.*",SAISIE!$F$5:$F$204,$F$101),"-"))</f>
        <v/>
      </c>
      <c r="E110" s="7">
        <f>IF($F$101="","",IF(OR(D110="",D110="-"),"",IF(D110&gt;0,"(soulevement)",IF(D110&lt;0,"(compression)","-"))))</f>
        <v/>
      </c>
      <c r="I110" s="6">
        <f>IF(OR($M$101="",NOT(MAXIFS(SAISIE!$L$5:$L$204,SAISIE!$J$5:$J$204,"*Vent Arr./Av.*",SAISIE!$M$5:$M$204,$M$101)&gt;0)),"","Vent Arr./Av.")</f>
        <v/>
      </c>
      <c r="J110" s="7">
        <f>IF(OR($M$101="",NOT(MAXIFS(SAISIE!$L$5:$L$204,SAISIE!$J$5:$J$204,"*Vent Arr./Av.*",SAISIE!$M$5:$M$204,$M$101)&gt;0)),"",IFERROR(INDEX(SAISIE!$K$5:$K$204,MATCH(MAXIFS(SAISIE!$L$5:$L$204,SAISIE!$J$5:$J$204,"*Vent Arr./Av.*",SAISIE!$M$5:$M$204,$M$101),SAISIE!$L$5:$L$204,0)),"-"))</f>
        <v/>
      </c>
      <c r="K110" s="7">
        <f>IF(OR($M$101="",NOT(MAXIFS(SAISIE!$L$5:$L$204,SAISIE!$J$5:$J$204,"*Vent Arr./Av.*",SAISIE!$M$5:$M$204,$M$101)&gt;0)),"",IFERROR(MAXIFS(SAISIE!$L$5:$L$204,SAISIE!$J$5:$J$204,"*Vent Arr./Av.*",SAISIE!$M$5:$M$204,$M$101),"-"))</f>
        <v/>
      </c>
      <c r="L110" s="7">
        <f>IF($M$101="","",IF(OR(K110="",K110="-"),"",IF(K110&gt;0,"(soulevement)",IF(K110&lt;0,"(compression)","-"))))</f>
        <v/>
      </c>
    </row>
    <row r="111">
      <c r="A111" s="6">
        <f>IF(OR($F$101="",NOT(TRUE)),"","Neige normale")</f>
        <v/>
      </c>
      <c r="B111" s="7">
        <f>IF($F$101="","",IFERROR(INDEX(SAISIE!$C$5:$C$204,MATCH(MINIFS(SAISIE!$E$5:$E$204,SAISIE!$B$5:$B$204,"*Neige*",SAISIE!$B$5:$B$204,"&lt;&gt;*accidentel*",SAISIE!$F$5:$F$204,$F$101),SAISIE!$E$5:$E$204,0)),"-"))</f>
        <v/>
      </c>
      <c r="C111" s="7">
        <f>IF($F$101="","",IFERROR(INDEX(SAISIE!$D$5:$D$204,MATCH(MINIFS(SAISIE!$E$5:$E$204,SAISIE!$B$5:$B$204,"*Neige*",SAISIE!$B$5:$B$204,"&lt;&gt;*accidentel*",SAISIE!$F$5:$F$204,$F$101),SAISIE!$E$5:$E$204,0)),"-"))</f>
        <v/>
      </c>
      <c r="D111" s="7">
        <f>IF($F$101="","",IFERROR(INDEX(SAISIE!$E$5:$E$204,MATCH(MINIFS(SAISIE!$E$5:$E$204,SAISIE!$B$5:$B$204,"*Neige*",SAISIE!$B$5:$B$204,"&lt;&gt;*accidentel*",SAISIE!$F$5:$F$204,$F$101),SAISIE!$E$5:$E$204,0)),"-"))</f>
        <v/>
      </c>
      <c r="E111" s="7">
        <f>IF($F$101="","",IF(OR(D111="",D111="-"),"",IF(D111&gt;0,"(soulevement)",IF(D111&lt;0,"(compression)","-"))))</f>
        <v/>
      </c>
      <c r="I111" s="6">
        <f>IF(OR($M$101="",NOT(TRUE)),"","Neige normale")</f>
        <v/>
      </c>
      <c r="J111" s="7">
        <f>IF($M$101="","",IFERROR(INDEX(SAISIE!$K$5:$K$204,MATCH(MINIFS(SAISIE!$L$5:$L$204,SAISIE!$J$5:$J$204,"*Neige*",SAISIE!$J$5:$J$204,"&lt;&gt;*accidentel*",SAISIE!$M$5:$M$204,$M$101),SAISIE!$L$5:$L$204,0)),"-"))</f>
        <v/>
      </c>
      <c r="K111" s="7">
        <f>IF($M$101="","",IFERROR(INDEX(SAISIE!$L$5:$L$204,MATCH(MINIFS(SAISIE!$L$5:$L$204,SAISIE!$J$5:$J$204,"*Neige*",SAISIE!$J$5:$J$204,"&lt;&gt;*accidentel*",SAISIE!$M$5:$M$204,$M$101),SAISIE!$L$5:$L$204,0)),"-"))</f>
        <v/>
      </c>
      <c r="L111" s="7">
        <f>IF($M$101="","",IF(OR(K111="",K111="-"),"",IF(K111&gt;0,"(soulevement)",IF(K111&lt;0,"(compression)","-"))))</f>
        <v/>
      </c>
    </row>
    <row r="112">
      <c r="A112" s="6">
        <f>IF(OR($F$101="",NOT(TRUE)),"","Neige accidentelle")</f>
        <v/>
      </c>
      <c r="B112" s="7">
        <f>IF($F$101="","",IFERROR(LOOKUP(2,1/((SAISIE!$F$5:$F$204=$F$101)*(ISNUMBER(SEARCH("accidentel",SAISIE!$B$5:$B$204)))),SAISIE!$C$5:$C$204),"-"))</f>
        <v/>
      </c>
      <c r="C112" s="7">
        <f>IF($F$101="","",IFERROR(LOOKUP(2,1/((SAISIE!$F$5:$F$204=$F$101)*(ISNUMBER(SEARCH("accidentel",SAISIE!$B$5:$B$204)))),SAISIE!$D$5:$D$204),"-"))</f>
        <v/>
      </c>
      <c r="D112" s="7">
        <f>IF($F$101="","",IFERROR(LOOKUP(2,1/((SAISIE!$F$5:$F$204=$F$101)*(ISNUMBER(SEARCH("accidentel",SAISIE!$B$5:$B$204)))),SAISIE!$E$5:$E$204),"-"))</f>
        <v/>
      </c>
      <c r="E112" s="7">
        <f>IF($F$101="","",IF(OR(D112="",D112="-"),"",IF(D112&gt;0,"(soulevement)",IF(D112&lt;0,"(compression)","-"))))</f>
        <v/>
      </c>
      <c r="I112" s="6">
        <f>IF(OR($M$101="",NOT(TRUE)),"","Neige accidentelle")</f>
        <v/>
      </c>
      <c r="J112" s="7">
        <f>IF($M$101="","",IFERROR(LOOKUP(2,1/((SAISIE!$M$5:$M$204=$M$101)*(ISNUMBER(SEARCH("accidentel",SAISIE!$J$5:$J$204)))),SAISIE!$K$5:$K$204),"-"))</f>
        <v/>
      </c>
      <c r="K112" s="7">
        <f>IF($M$101="","",IFERROR(LOOKUP(2,1/((SAISIE!$M$5:$M$204=$M$101)*(ISNUMBER(SEARCH("accidentel",SAISIE!$J$5:$J$204)))),SAISIE!$L$5:$L$204),"-"))</f>
        <v/>
      </c>
      <c r="L112" s="7">
        <f>IF($M$101="","",IF(OR(K112="",K112="-"),"",IF(K112&gt;0,"(soulevement)",IF(K112&lt;0,"(compression)","-"))))</f>
        <v/>
      </c>
    </row>
    <row r="113">
      <c r="A113" s="5">
        <f>IF($F$113="","","Noeud "&amp;$F$113)</f>
        <v/>
      </c>
      <c r="B113" s="5" t="n"/>
      <c r="C113" s="5" t="n"/>
      <c r="D113" s="5" t="n"/>
      <c r="E113" s="5" t="n"/>
      <c r="F113">
        <f>IFERROR(INDEX(SAISIE!$F$5:$F$204,AGGREGATE(15,6,ROW(SAISIE!$F$5:$F$204)-ROW(SAISIE!$F$5)+1/(SAISIE!$F$5:$F$204&lt;&gt;"")/(COUNTIF($F$4:F112,SAISIE!$F$5:$F$204)=0),1)),"")</f>
        <v/>
      </c>
      <c r="I113" s="5">
        <f>IF($M$113="","","Noeud "&amp;$M$113)</f>
        <v/>
      </c>
      <c r="J113" s="5" t="n"/>
      <c r="K113" s="5" t="n"/>
      <c r="L113" s="5" t="n"/>
      <c r="M113">
        <f>IFERROR(INDEX(SAISIE!$M$5:$M$204,AGGREGATE(15,6,ROW(SAISIE!$M$5:$M$204)-ROW(SAISIE!$M$5)+1/(SAISIE!$M$5:$M$204&lt;&gt;"")/(COUNTIF($M$4:M112,SAISIE!$M$5:$M$204)=0),1)),"")</f>
        <v/>
      </c>
    </row>
    <row r="114">
      <c r="A114" s="6">
        <f>IF(OR($F$113="",NOT(TRUE)),"","Couverture")</f>
        <v/>
      </c>
      <c r="B114" s="7">
        <f>IF($F$113="","",IFERROR(IFERROR(LOOKUP(2,1/((SAISIE!$F$5:$F$204=$F$113)*(LEFT(SAISIE!$B$5:$B$204,2)="G ")),SAISIE!$C$5:$C$204),LOOKUP(2,1/((SAISIE!$F$5:$F$204=$F$113)*(ISNUMBER(SEARCH("Couverture",SAISIE!$B$5:$B$204)))),SAISIE!$C$5:$C$204)),"-"))</f>
        <v/>
      </c>
      <c r="C114" s="7">
        <f>IF($F$113="","",IFERROR(IFERROR(LOOKUP(2,1/((SAISIE!$F$5:$F$204=$F$113)*(LEFT(SAISIE!$B$5:$B$204,2)="G ")),SAISIE!$D$5:$D$204),LOOKUP(2,1/((SAISIE!$F$5:$F$204=$F$113)*(ISNUMBER(SEARCH("Couverture",SAISIE!$B$5:$B$204)))),SAISIE!$D$5:$D$204)),"-"))</f>
        <v/>
      </c>
      <c r="D114" s="7">
        <f>IF($F$113="","",IFERROR(IFERROR(LOOKUP(2,1/((SAISIE!$F$5:$F$204=$F$113)*(LEFT(SAISIE!$B$5:$B$204,2)="G ")),SAISIE!$E$5:$E$204),LOOKUP(2,1/((SAISIE!$F$5:$F$204=$F$113)*(ISNUMBER(SEARCH("Couverture",SAISIE!$B$5:$B$204)))),SAISIE!$E$5:$E$204)),"-"))</f>
        <v/>
      </c>
      <c r="E114" s="7">
        <f>IF($F$113="","",IF(OR(D114="",D114="-"),"",IF(D114&gt;0,"(soulevement)",IF(D114&lt;0,"(compression)","-"))))</f>
        <v/>
      </c>
      <c r="I114" s="6">
        <f>IF(OR($M$113="",NOT(TRUE)),"","Couverture")</f>
        <v/>
      </c>
      <c r="J114" s="7">
        <f>IF($M$113="","",IFERROR(IFERROR(LOOKUP(2,1/((SAISIE!$M$5:$M$204=$M$113)*(LEFT(SAISIE!$J$5:$J$204,2)="G ")),SAISIE!$K$5:$K$204),LOOKUP(2,1/((SAISIE!$M$5:$M$204=$M$113)*(ISNUMBER(SEARCH("Couverture",SAISIE!$J$5:$J$204)))),SAISIE!$K$5:$K$204)),"-"))</f>
        <v/>
      </c>
      <c r="K114" s="7">
        <f>IF($M$113="","",IFERROR(IFERROR(LOOKUP(2,1/((SAISIE!$M$5:$M$204=$M$113)*(LEFT(SAISIE!$J$5:$J$204,2)="G ")),SAISIE!$L$5:$L$204),LOOKUP(2,1/((SAISIE!$M$5:$M$204=$M$113)*(ISNUMBER(SEARCH("Couverture",SAISIE!$J$5:$J$204)))),SAISIE!$L$5:$L$204)),"-"))</f>
        <v/>
      </c>
      <c r="L114" s="7">
        <f>IF($M$113="","",IF(OR(K114="",K114="-"),"",IF(K114&gt;0,"(soulevement)",IF(K114&lt;0,"(compression)","-"))))</f>
        <v/>
      </c>
    </row>
    <row r="115">
      <c r="A115" s="6">
        <f>IF(OR($F$113="",NOT(COUNTIFS(SAISIE!$B$5:$B$204,"*Vent G/D*",SAISIE!$F$5:$F$204,$F$113)&gt;0)),"","Vent G/D")</f>
        <v/>
      </c>
      <c r="B115" s="7">
        <f>IF(OR($F$113="",NOT(COUNTIFS(SAISIE!$B$5:$B$204,"*Vent G/D*",SAISIE!$F$5:$F$204,$F$113)&gt;0)),"",IFERROR(IF(MINIFS(SAISIE!$E$5:$E$204,SAISIE!$B$5:$B$204,"*Vent G/D*",SAISIE!$F$5:$F$204,$F$113)&gt;=0,MAXIFS(SAISIE!$C$5:$C$204,SAISIE!$B$5:$B$204,"*Vent G/D*",SAISIE!$F$5:$F$204,$F$113),INDEX(SAISIE!$C$5:$C$204,MATCH(MINIFS(SAISIE!$E$5:$E$204,SAISIE!$B$5:$B$204,"*Vent G/D*",SAISIE!$F$5:$F$204,$F$113),SAISIE!$E$5:$E$204,0))),"-"))</f>
        <v/>
      </c>
      <c r="C115" s="7">
        <f>IF(OR($F$113="",NOT(COUNTIFS(SAISIE!$B$5:$B$204,"*Vent G/D*",SAISIE!$F$5:$F$204,$F$113)&gt;0)),"",IFERROR(IF(MINIFS(SAISIE!$E$5:$E$204,SAISIE!$B$5:$B$204,"*Vent G/D*",SAISIE!$F$5:$F$204,$F$113)&gt;=0,INDEX(SAISIE!$D$5:$D$204,MATCH(MAXIFS(SAISIE!$C$5:$C$204,SAISIE!$B$5:$B$204,"*Vent G/D*",SAISIE!$F$5:$F$204,$F$113),SAISIE!$C$5:$C$204,0)),INDEX(SAISIE!$D$5:$D$204,MATCH(MINIFS(SAISIE!$E$5:$E$204,SAISIE!$B$5:$B$204,"*Vent G/D*",SAISIE!$F$5:$F$204,$F$113),SAISIE!$E$5:$E$204,0))),"-"))</f>
        <v/>
      </c>
      <c r="D115" s="7">
        <f>IF(OR($F$113="",NOT(COUNTIFS(SAISIE!$B$5:$B$204,"*Vent G/D*",SAISIE!$F$5:$F$204,$F$113)&gt;0)),"",IFERROR(IF(MINIFS(SAISIE!$E$5:$E$204,SAISIE!$B$5:$B$204,"*Vent G/D*",SAISIE!$F$5:$F$204,$F$113)&gt;=0,0,MINIFS(SAISIE!$E$5:$E$204,SAISIE!$B$5:$B$204,"*Vent G/D*",SAISIE!$F$5:$F$204,$F$113)),"-"))</f>
        <v/>
      </c>
      <c r="E115" s="7">
        <f>IF($F$113="","",IF(OR(D115="",D115="-"),"",IF(D115&gt;0,"(soulevement)",IF(D115&lt;0,"(compression)","-"))))</f>
        <v/>
      </c>
      <c r="I115" s="6">
        <f>IF(OR($M$113="",NOT(COUNTIFS(SAISIE!$J$5:$J$204,"*Vent G/D*",SAISIE!$M$5:$M$204,$M$113)&gt;0)),"","Vent G/D")</f>
        <v/>
      </c>
      <c r="J115" s="7">
        <f>IF(OR($M$113="",NOT(COUNTIFS(SAISIE!$J$5:$J$204,"*Vent G/D*",SAISIE!$M$5:$M$204,$M$113)&gt;0)),"",IFERROR(IF(MINIFS(SAISIE!$L$5:$L$204,SAISIE!$J$5:$J$204,"*Vent G/D*",SAISIE!$M$5:$M$204,$M$113)&gt;=0,MAXIFS(SAISIE!$K$5:$K$204,SAISIE!$J$5:$J$204,"*Vent G/D*",SAISIE!$M$5:$M$204,$M$113),INDEX(SAISIE!$K$5:$K$204,MATCH(MINIFS(SAISIE!$L$5:$L$204,SAISIE!$J$5:$J$204,"*Vent G/D*",SAISIE!$M$5:$M$204,$M$113),SAISIE!$L$5:$L$204,0))),"-"))</f>
        <v/>
      </c>
      <c r="K115" s="7">
        <f>IF(OR($M$113="",NOT(COUNTIFS(SAISIE!$J$5:$J$204,"*Vent G/D*",SAISIE!$M$5:$M$204,$M$113)&gt;0)),"",IFERROR(IF(MINIFS(SAISIE!$L$5:$L$204,SAISIE!$J$5:$J$204,"*Vent G/D*",SAISIE!$M$5:$M$204,$M$113)&gt;=0,0,MINIFS(SAISIE!$L$5:$L$204,SAISIE!$J$5:$J$204,"*Vent G/D*",SAISIE!$M$5:$M$204,$M$113)),"-"))</f>
        <v/>
      </c>
      <c r="L115" s="7">
        <f>IF($M$113="","",IF(OR(K115="",K115="-"),"",IF(K115&gt;0,"(soulevement)",IF(K115&lt;0,"(compression)","-"))))</f>
        <v/>
      </c>
    </row>
    <row r="116">
      <c r="A116" s="6">
        <f>IF(OR($F$113="",NOT(MAXIFS(SAISIE!$E$5:$E$204,SAISIE!$B$5:$B$204,"*Vent G/D*",SAISIE!$F$5:$F$204,$F$113)&gt;0)),"","Vent G/D")</f>
        <v/>
      </c>
      <c r="B116" s="7">
        <f>IF(OR($F$113="",NOT(MAXIFS(SAISIE!$E$5:$E$204,SAISIE!$B$5:$B$204,"*Vent G/D*",SAISIE!$F$5:$F$204,$F$113)&gt;0)),"",IFERROR(INDEX(SAISIE!$C$5:$C$204,MATCH(MAXIFS(SAISIE!$E$5:$E$204,SAISIE!$B$5:$B$204,"*Vent G/D*",SAISIE!$F$5:$F$204,$F$113),SAISIE!$E$5:$E$204,0)),"-"))</f>
        <v/>
      </c>
      <c r="C116" s="7">
        <f>IF(OR($F$113="",NOT(MAXIFS(SAISIE!$E$5:$E$204,SAISIE!$B$5:$B$204,"*Vent G/D*",SAISIE!$F$5:$F$204,$F$113)&gt;0)),"",IFERROR(INDEX(SAISIE!$D$5:$D$204,MATCH(MAXIFS(SAISIE!$E$5:$E$204,SAISIE!$B$5:$B$204,"*Vent G/D*",SAISIE!$F$5:$F$204,$F$113),SAISIE!$E$5:$E$204,0)),"-"))</f>
        <v/>
      </c>
      <c r="D116" s="7">
        <f>IF(OR($F$113="",NOT(MAXIFS(SAISIE!$E$5:$E$204,SAISIE!$B$5:$B$204,"*Vent G/D*",SAISIE!$F$5:$F$204,$F$113)&gt;0)),"",IFERROR(MAXIFS(SAISIE!$E$5:$E$204,SAISIE!$B$5:$B$204,"*Vent G/D*",SAISIE!$F$5:$F$204,$F$113),"-"))</f>
        <v/>
      </c>
      <c r="E116" s="7">
        <f>IF($F$113="","",IF(OR(D116="",D116="-"),"",IF(D116&gt;0,"(soulevement)",IF(D116&lt;0,"(compression)","-"))))</f>
        <v/>
      </c>
      <c r="I116" s="6">
        <f>IF(OR($M$113="",NOT(MAXIFS(SAISIE!$L$5:$L$204,SAISIE!$J$5:$J$204,"*Vent G/D*",SAISIE!$M$5:$M$204,$M$113)&gt;0)),"","Vent G/D")</f>
        <v/>
      </c>
      <c r="J116" s="7">
        <f>IF(OR($M$113="",NOT(MAXIFS(SAISIE!$L$5:$L$204,SAISIE!$J$5:$J$204,"*Vent G/D*",SAISIE!$M$5:$M$204,$M$113)&gt;0)),"",IFERROR(INDEX(SAISIE!$K$5:$K$204,MATCH(MAXIFS(SAISIE!$L$5:$L$204,SAISIE!$J$5:$J$204,"*Vent G/D*",SAISIE!$M$5:$M$204,$M$113),SAISIE!$L$5:$L$204,0)),"-"))</f>
        <v/>
      </c>
      <c r="K116" s="7">
        <f>IF(OR($M$113="",NOT(MAXIFS(SAISIE!$L$5:$L$204,SAISIE!$J$5:$J$204,"*Vent G/D*",SAISIE!$M$5:$M$204,$M$113)&gt;0)),"",IFERROR(MAXIFS(SAISIE!$L$5:$L$204,SAISIE!$J$5:$J$204,"*Vent G/D*",SAISIE!$M$5:$M$204,$M$113),"-"))</f>
        <v/>
      </c>
      <c r="L116" s="7">
        <f>IF($M$113="","",IF(OR(K116="",K116="-"),"",IF(K116&gt;0,"(soulevement)",IF(K116&lt;0,"(compression)","-"))))</f>
        <v/>
      </c>
    </row>
    <row r="117">
      <c r="A117" s="6">
        <f>IF(OR($F$113="",NOT(COUNTIFS(SAISIE!$B$5:$B$204,"*Vent D/G*",SAISIE!$F$5:$F$204,$F$113)&gt;0)),"","Vent D/G")</f>
        <v/>
      </c>
      <c r="B117" s="7">
        <f>IF(OR($F$113="",NOT(COUNTIFS(SAISIE!$B$5:$B$204,"*Vent D/G*",SAISIE!$F$5:$F$204,$F$113)&gt;0)),"",IFERROR(IF(MINIFS(SAISIE!$E$5:$E$204,SAISIE!$B$5:$B$204,"*Vent D/G*",SAISIE!$F$5:$F$204,$F$113)&gt;=0,MAXIFS(SAISIE!$C$5:$C$204,SAISIE!$B$5:$B$204,"*Vent D/G*",SAISIE!$F$5:$F$204,$F$113),INDEX(SAISIE!$C$5:$C$204,MATCH(MINIFS(SAISIE!$E$5:$E$204,SAISIE!$B$5:$B$204,"*Vent D/G*",SAISIE!$F$5:$F$204,$F$113),SAISIE!$E$5:$E$204,0))),"-"))</f>
        <v/>
      </c>
      <c r="C117" s="7">
        <f>IF(OR($F$113="",NOT(COUNTIFS(SAISIE!$B$5:$B$204,"*Vent D/G*",SAISIE!$F$5:$F$204,$F$113)&gt;0)),"",IFERROR(IF(MINIFS(SAISIE!$E$5:$E$204,SAISIE!$B$5:$B$204,"*Vent D/G*",SAISIE!$F$5:$F$204,$F$113)&gt;=0,INDEX(SAISIE!$D$5:$D$204,MATCH(MAXIFS(SAISIE!$C$5:$C$204,SAISIE!$B$5:$B$204,"*Vent D/G*",SAISIE!$F$5:$F$204,$F$113),SAISIE!$C$5:$C$204,0)),INDEX(SAISIE!$D$5:$D$204,MATCH(MINIFS(SAISIE!$E$5:$E$204,SAISIE!$B$5:$B$204,"*Vent D/G*",SAISIE!$F$5:$F$204,$F$113),SAISIE!$E$5:$E$204,0))),"-"))</f>
        <v/>
      </c>
      <c r="D117" s="7">
        <f>IF(OR($F$113="",NOT(COUNTIFS(SAISIE!$B$5:$B$204,"*Vent D/G*",SAISIE!$F$5:$F$204,$F$113)&gt;0)),"",IFERROR(IF(MINIFS(SAISIE!$E$5:$E$204,SAISIE!$B$5:$B$204,"*Vent D/G*",SAISIE!$F$5:$F$204,$F$113)&gt;=0,0,MINIFS(SAISIE!$E$5:$E$204,SAISIE!$B$5:$B$204,"*Vent D/G*",SAISIE!$F$5:$F$204,$F$113)),"-"))</f>
        <v/>
      </c>
      <c r="E117" s="7">
        <f>IF($F$113="","",IF(OR(D117="",D117="-"),"",IF(D117&gt;0,"(soulevement)",IF(D117&lt;0,"(compression)","-"))))</f>
        <v/>
      </c>
      <c r="I117" s="6">
        <f>IF(OR($M$113="",NOT(COUNTIFS(SAISIE!$J$5:$J$204,"*Vent D/G*",SAISIE!$M$5:$M$204,$M$113)&gt;0)),"","Vent D/G")</f>
        <v/>
      </c>
      <c r="J117" s="7">
        <f>IF(OR($M$113="",NOT(COUNTIFS(SAISIE!$J$5:$J$204,"*Vent D/G*",SAISIE!$M$5:$M$204,$M$113)&gt;0)),"",IFERROR(IF(MINIFS(SAISIE!$L$5:$L$204,SAISIE!$J$5:$J$204,"*Vent D/G*",SAISIE!$M$5:$M$204,$M$113)&gt;=0,MAXIFS(SAISIE!$K$5:$K$204,SAISIE!$J$5:$J$204,"*Vent D/G*",SAISIE!$M$5:$M$204,$M$113),INDEX(SAISIE!$K$5:$K$204,MATCH(MINIFS(SAISIE!$L$5:$L$204,SAISIE!$J$5:$J$204,"*Vent D/G*",SAISIE!$M$5:$M$204,$M$113),SAISIE!$L$5:$L$204,0))),"-"))</f>
        <v/>
      </c>
      <c r="K117" s="7">
        <f>IF(OR($M$113="",NOT(COUNTIFS(SAISIE!$J$5:$J$204,"*Vent D/G*",SAISIE!$M$5:$M$204,$M$113)&gt;0)),"",IFERROR(IF(MINIFS(SAISIE!$L$5:$L$204,SAISIE!$J$5:$J$204,"*Vent D/G*",SAISIE!$M$5:$M$204,$M$113)&gt;=0,0,MINIFS(SAISIE!$L$5:$L$204,SAISIE!$J$5:$J$204,"*Vent D/G*",SAISIE!$M$5:$M$204,$M$113)),"-"))</f>
        <v/>
      </c>
      <c r="L117" s="7">
        <f>IF($M$113="","",IF(OR(K117="",K117="-"),"",IF(K117&gt;0,"(soulevement)",IF(K117&lt;0,"(compression)","-"))))</f>
        <v/>
      </c>
    </row>
    <row r="118">
      <c r="A118" s="6">
        <f>IF(OR($F$113="",NOT(MAXIFS(SAISIE!$E$5:$E$204,SAISIE!$B$5:$B$204,"*Vent D/G*",SAISIE!$F$5:$F$204,$F$113)&gt;0)),"","Vent D/G")</f>
        <v/>
      </c>
      <c r="B118" s="7">
        <f>IF(OR($F$113="",NOT(MAXIFS(SAISIE!$E$5:$E$204,SAISIE!$B$5:$B$204,"*Vent D/G*",SAISIE!$F$5:$F$204,$F$113)&gt;0)),"",IFERROR(INDEX(SAISIE!$C$5:$C$204,MATCH(MAXIFS(SAISIE!$E$5:$E$204,SAISIE!$B$5:$B$204,"*Vent D/G*",SAISIE!$F$5:$F$204,$F$113),SAISIE!$E$5:$E$204,0)),"-"))</f>
        <v/>
      </c>
      <c r="C118" s="7">
        <f>IF(OR($F$113="",NOT(MAXIFS(SAISIE!$E$5:$E$204,SAISIE!$B$5:$B$204,"*Vent D/G*",SAISIE!$F$5:$F$204,$F$113)&gt;0)),"",IFERROR(INDEX(SAISIE!$D$5:$D$204,MATCH(MAXIFS(SAISIE!$E$5:$E$204,SAISIE!$B$5:$B$204,"*Vent D/G*",SAISIE!$F$5:$F$204,$F$113),SAISIE!$E$5:$E$204,0)),"-"))</f>
        <v/>
      </c>
      <c r="D118" s="7">
        <f>IF(OR($F$113="",NOT(MAXIFS(SAISIE!$E$5:$E$204,SAISIE!$B$5:$B$204,"*Vent D/G*",SAISIE!$F$5:$F$204,$F$113)&gt;0)),"",IFERROR(MAXIFS(SAISIE!$E$5:$E$204,SAISIE!$B$5:$B$204,"*Vent D/G*",SAISIE!$F$5:$F$204,$F$113),"-"))</f>
        <v/>
      </c>
      <c r="E118" s="7">
        <f>IF($F$113="","",IF(OR(D118="",D118="-"),"",IF(D118&gt;0,"(soulevement)",IF(D118&lt;0,"(compression)","-"))))</f>
        <v/>
      </c>
      <c r="I118" s="6">
        <f>IF(OR($M$113="",NOT(MAXIFS(SAISIE!$L$5:$L$204,SAISIE!$J$5:$J$204,"*Vent D/G*",SAISIE!$M$5:$M$204,$M$113)&gt;0)),"","Vent D/G")</f>
        <v/>
      </c>
      <c r="J118" s="7">
        <f>IF(OR($M$113="",NOT(MAXIFS(SAISIE!$L$5:$L$204,SAISIE!$J$5:$J$204,"*Vent D/G*",SAISIE!$M$5:$M$204,$M$113)&gt;0)),"",IFERROR(INDEX(SAISIE!$K$5:$K$204,MATCH(MAXIFS(SAISIE!$L$5:$L$204,SAISIE!$J$5:$J$204,"*Vent D/G*",SAISIE!$M$5:$M$204,$M$113),SAISIE!$L$5:$L$204,0)),"-"))</f>
        <v/>
      </c>
      <c r="K118" s="7">
        <f>IF(OR($M$113="",NOT(MAXIFS(SAISIE!$L$5:$L$204,SAISIE!$J$5:$J$204,"*Vent D/G*",SAISIE!$M$5:$M$204,$M$113)&gt;0)),"",IFERROR(MAXIFS(SAISIE!$L$5:$L$204,SAISIE!$J$5:$J$204,"*Vent D/G*",SAISIE!$M$5:$M$204,$M$113),"-"))</f>
        <v/>
      </c>
      <c r="L118" s="7">
        <f>IF($M$113="","",IF(OR(K118="",K118="-"),"",IF(K118&gt;0,"(soulevement)",IF(K118&lt;0,"(compression)","-"))))</f>
        <v/>
      </c>
    </row>
    <row r="119">
      <c r="A119" s="6">
        <f>IF(OR($F$113="",NOT(COUNTIFS(SAISIE!$B$5:$B$204,"*Vent Av./Arr.*",SAISIE!$F$5:$F$204,$F$113)&gt;0)),"","Vent Av./Arr.")</f>
        <v/>
      </c>
      <c r="B119" s="7">
        <f>IF(OR($F$113="",NOT(COUNTIFS(SAISIE!$B$5:$B$204,"*Vent Av./Arr.*",SAISIE!$F$5:$F$204,$F$113)&gt;0)),"",IFERROR(IF(MINIFS(SAISIE!$E$5:$E$204,SAISIE!$B$5:$B$204,"*Vent Av./Arr.*",SAISIE!$F$5:$F$204,$F$113)&gt;=0,MAXIFS(SAISIE!$C$5:$C$204,SAISIE!$B$5:$B$204,"*Vent Av./Arr.*",SAISIE!$F$5:$F$204,$F$113),INDEX(SAISIE!$C$5:$C$204,MATCH(MINIFS(SAISIE!$E$5:$E$204,SAISIE!$B$5:$B$204,"*Vent Av./Arr.*",SAISIE!$F$5:$F$204,$F$113),SAISIE!$E$5:$E$204,0))),"-"))</f>
        <v/>
      </c>
      <c r="C119" s="7">
        <f>IF(OR($F$113="",NOT(COUNTIFS(SAISIE!$B$5:$B$204,"*Vent Av./Arr.*",SAISIE!$F$5:$F$204,$F$113)&gt;0)),"",IFERROR(IF(MINIFS(SAISIE!$E$5:$E$204,SAISIE!$B$5:$B$204,"*Vent Av./Arr.*",SAISIE!$F$5:$F$204,$F$113)&gt;=0,INDEX(SAISIE!$D$5:$D$204,MATCH(MAXIFS(SAISIE!$C$5:$C$204,SAISIE!$B$5:$B$204,"*Vent Av./Arr.*",SAISIE!$F$5:$F$204,$F$113),SAISIE!$C$5:$C$204,0)),INDEX(SAISIE!$D$5:$D$204,MATCH(MINIFS(SAISIE!$E$5:$E$204,SAISIE!$B$5:$B$204,"*Vent Av./Arr.*",SAISIE!$F$5:$F$204,$F$113),SAISIE!$E$5:$E$204,0))),"-"))</f>
        <v/>
      </c>
      <c r="D119" s="7">
        <f>IF(OR($F$113="",NOT(COUNTIFS(SAISIE!$B$5:$B$204,"*Vent Av./Arr.*",SAISIE!$F$5:$F$204,$F$113)&gt;0)),"",IFERROR(IF(MINIFS(SAISIE!$E$5:$E$204,SAISIE!$B$5:$B$204,"*Vent Av./Arr.*",SAISIE!$F$5:$F$204,$F$113)&gt;=0,0,MINIFS(SAISIE!$E$5:$E$204,SAISIE!$B$5:$B$204,"*Vent Av./Arr.*",SAISIE!$F$5:$F$204,$F$113)),"-"))</f>
        <v/>
      </c>
      <c r="E119" s="7">
        <f>IF($F$113="","",IF(OR(D119="",D119="-"),"",IF(D119&gt;0,"(soulevement)",IF(D119&lt;0,"(compression)","-"))))</f>
        <v/>
      </c>
      <c r="I119" s="6">
        <f>IF(OR($M$113="",NOT(COUNTIFS(SAISIE!$J$5:$J$204,"*Vent Av./Arr.*",SAISIE!$M$5:$M$204,$M$113)&gt;0)),"","Vent Av./Arr.")</f>
        <v/>
      </c>
      <c r="J119" s="7">
        <f>IF(OR($M$113="",NOT(COUNTIFS(SAISIE!$J$5:$J$204,"*Vent Av./Arr.*",SAISIE!$M$5:$M$204,$M$113)&gt;0)),"",IFERROR(IF(MINIFS(SAISIE!$L$5:$L$204,SAISIE!$J$5:$J$204,"*Vent Av./Arr.*",SAISIE!$M$5:$M$204,$M$113)&gt;=0,MAXIFS(SAISIE!$K$5:$K$204,SAISIE!$J$5:$J$204,"*Vent Av./Arr.*",SAISIE!$M$5:$M$204,$M$113),INDEX(SAISIE!$K$5:$K$204,MATCH(MINIFS(SAISIE!$L$5:$L$204,SAISIE!$J$5:$J$204,"*Vent Av./Arr.*",SAISIE!$M$5:$M$204,$M$113),SAISIE!$L$5:$L$204,0))),"-"))</f>
        <v/>
      </c>
      <c r="K119" s="7">
        <f>IF(OR($M$113="",NOT(COUNTIFS(SAISIE!$J$5:$J$204,"*Vent Av./Arr.*",SAISIE!$M$5:$M$204,$M$113)&gt;0)),"",IFERROR(IF(MINIFS(SAISIE!$L$5:$L$204,SAISIE!$J$5:$J$204,"*Vent Av./Arr.*",SAISIE!$M$5:$M$204,$M$113)&gt;=0,0,MINIFS(SAISIE!$L$5:$L$204,SAISIE!$J$5:$J$204,"*Vent Av./Arr.*",SAISIE!$M$5:$M$204,$M$113)),"-"))</f>
        <v/>
      </c>
      <c r="L119" s="7">
        <f>IF($M$113="","",IF(OR(K119="",K119="-"),"",IF(K119&gt;0,"(soulevement)",IF(K119&lt;0,"(compression)","-"))))</f>
        <v/>
      </c>
    </row>
    <row r="120">
      <c r="A120" s="6">
        <f>IF(OR($F$113="",NOT(MAXIFS(SAISIE!$E$5:$E$204,SAISIE!$B$5:$B$204,"*Vent Av./Arr.*",SAISIE!$F$5:$F$204,$F$113)&gt;0)),"","Vent Av./Arr.")</f>
        <v/>
      </c>
      <c r="B120" s="7">
        <f>IF(OR($F$113="",NOT(MAXIFS(SAISIE!$E$5:$E$204,SAISIE!$B$5:$B$204,"*Vent Av./Arr.*",SAISIE!$F$5:$F$204,$F$113)&gt;0)),"",IFERROR(INDEX(SAISIE!$C$5:$C$204,MATCH(MAXIFS(SAISIE!$E$5:$E$204,SAISIE!$B$5:$B$204,"*Vent Av./Arr.*",SAISIE!$F$5:$F$204,$F$113),SAISIE!$E$5:$E$204,0)),"-"))</f>
        <v/>
      </c>
      <c r="C120" s="7">
        <f>IF(OR($F$113="",NOT(MAXIFS(SAISIE!$E$5:$E$204,SAISIE!$B$5:$B$204,"*Vent Av./Arr.*",SAISIE!$F$5:$F$204,$F$113)&gt;0)),"",IFERROR(INDEX(SAISIE!$D$5:$D$204,MATCH(MAXIFS(SAISIE!$E$5:$E$204,SAISIE!$B$5:$B$204,"*Vent Av./Arr.*",SAISIE!$F$5:$F$204,$F$113),SAISIE!$E$5:$E$204,0)),"-"))</f>
        <v/>
      </c>
      <c r="D120" s="7">
        <f>IF(OR($F$113="",NOT(MAXIFS(SAISIE!$E$5:$E$204,SAISIE!$B$5:$B$204,"*Vent Av./Arr.*",SAISIE!$F$5:$F$204,$F$113)&gt;0)),"",IFERROR(MAXIFS(SAISIE!$E$5:$E$204,SAISIE!$B$5:$B$204,"*Vent Av./Arr.*",SAISIE!$F$5:$F$204,$F$113),"-"))</f>
        <v/>
      </c>
      <c r="E120" s="7">
        <f>IF($F$113="","",IF(OR(D120="",D120="-"),"",IF(D120&gt;0,"(soulevement)",IF(D120&lt;0,"(compression)","-"))))</f>
        <v/>
      </c>
      <c r="I120" s="6">
        <f>IF(OR($M$113="",NOT(MAXIFS(SAISIE!$L$5:$L$204,SAISIE!$J$5:$J$204,"*Vent Av./Arr.*",SAISIE!$M$5:$M$204,$M$113)&gt;0)),"","Vent Av./Arr.")</f>
        <v/>
      </c>
      <c r="J120" s="7">
        <f>IF(OR($M$113="",NOT(MAXIFS(SAISIE!$L$5:$L$204,SAISIE!$J$5:$J$204,"*Vent Av./Arr.*",SAISIE!$M$5:$M$204,$M$113)&gt;0)),"",IFERROR(INDEX(SAISIE!$K$5:$K$204,MATCH(MAXIFS(SAISIE!$L$5:$L$204,SAISIE!$J$5:$J$204,"*Vent Av./Arr.*",SAISIE!$M$5:$M$204,$M$113),SAISIE!$L$5:$L$204,0)),"-"))</f>
        <v/>
      </c>
      <c r="K120" s="7">
        <f>IF(OR($M$113="",NOT(MAXIFS(SAISIE!$L$5:$L$204,SAISIE!$J$5:$J$204,"*Vent Av./Arr.*",SAISIE!$M$5:$M$204,$M$113)&gt;0)),"",IFERROR(MAXIFS(SAISIE!$L$5:$L$204,SAISIE!$J$5:$J$204,"*Vent Av./Arr.*",SAISIE!$M$5:$M$204,$M$113),"-"))</f>
        <v/>
      </c>
      <c r="L120" s="7">
        <f>IF($M$113="","",IF(OR(K120="",K120="-"),"",IF(K120&gt;0,"(soulevement)",IF(K120&lt;0,"(compression)","-"))))</f>
        <v/>
      </c>
    </row>
    <row r="121">
      <c r="A121" s="6">
        <f>IF(OR($F$113="",NOT(COUNTIFS(SAISIE!$B$5:$B$204,"*Vent Arr./Av.*",SAISIE!$F$5:$F$204,$F$113)&gt;0)),"","Vent Arr./Av.")</f>
        <v/>
      </c>
      <c r="B121" s="7">
        <f>IF(OR($F$113="",NOT(COUNTIFS(SAISIE!$B$5:$B$204,"*Vent Arr./Av.*",SAISIE!$F$5:$F$204,$F$113)&gt;0)),"",IFERROR(IF(MINIFS(SAISIE!$E$5:$E$204,SAISIE!$B$5:$B$204,"*Vent Arr./Av.*",SAISIE!$F$5:$F$204,$F$113)&gt;=0,MAXIFS(SAISIE!$C$5:$C$204,SAISIE!$B$5:$B$204,"*Vent Arr./Av.*",SAISIE!$F$5:$F$204,$F$113),INDEX(SAISIE!$C$5:$C$204,MATCH(MINIFS(SAISIE!$E$5:$E$204,SAISIE!$B$5:$B$204,"*Vent Arr./Av.*",SAISIE!$F$5:$F$204,$F$113),SAISIE!$E$5:$E$204,0))),"-"))</f>
        <v/>
      </c>
      <c r="C121" s="7">
        <f>IF(OR($F$113="",NOT(COUNTIFS(SAISIE!$B$5:$B$204,"*Vent Arr./Av.*",SAISIE!$F$5:$F$204,$F$113)&gt;0)),"",IFERROR(IF(MINIFS(SAISIE!$E$5:$E$204,SAISIE!$B$5:$B$204,"*Vent Arr./Av.*",SAISIE!$F$5:$F$204,$F$113)&gt;=0,INDEX(SAISIE!$D$5:$D$204,MATCH(MAXIFS(SAISIE!$C$5:$C$204,SAISIE!$B$5:$B$204,"*Vent Arr./Av.*",SAISIE!$F$5:$F$204,$F$113),SAISIE!$C$5:$C$204,0)),INDEX(SAISIE!$D$5:$D$204,MATCH(MINIFS(SAISIE!$E$5:$E$204,SAISIE!$B$5:$B$204,"*Vent Arr./Av.*",SAISIE!$F$5:$F$204,$F$113),SAISIE!$E$5:$E$204,0))),"-"))</f>
        <v/>
      </c>
      <c r="D121" s="7">
        <f>IF(OR($F$113="",NOT(COUNTIFS(SAISIE!$B$5:$B$204,"*Vent Arr./Av.*",SAISIE!$F$5:$F$204,$F$113)&gt;0)),"",IFERROR(IF(MINIFS(SAISIE!$E$5:$E$204,SAISIE!$B$5:$B$204,"*Vent Arr./Av.*",SAISIE!$F$5:$F$204,$F$113)&gt;=0,0,MINIFS(SAISIE!$E$5:$E$204,SAISIE!$B$5:$B$204,"*Vent Arr./Av.*",SAISIE!$F$5:$F$204,$F$113)),"-"))</f>
        <v/>
      </c>
      <c r="E121" s="7">
        <f>IF($F$113="","",IF(OR(D121="",D121="-"),"",IF(D121&gt;0,"(soulevement)",IF(D121&lt;0,"(compression)","-"))))</f>
        <v/>
      </c>
      <c r="I121" s="6">
        <f>IF(OR($M$113="",NOT(COUNTIFS(SAISIE!$J$5:$J$204,"*Vent Arr./Av.*",SAISIE!$M$5:$M$204,$M$113)&gt;0)),"","Vent Arr./Av.")</f>
        <v/>
      </c>
      <c r="J121" s="7">
        <f>IF(OR($M$113="",NOT(COUNTIFS(SAISIE!$J$5:$J$204,"*Vent Arr./Av.*",SAISIE!$M$5:$M$204,$M$113)&gt;0)),"",IFERROR(IF(MINIFS(SAISIE!$L$5:$L$204,SAISIE!$J$5:$J$204,"*Vent Arr./Av.*",SAISIE!$M$5:$M$204,$M$113)&gt;=0,MAXIFS(SAISIE!$K$5:$K$204,SAISIE!$J$5:$J$204,"*Vent Arr./Av.*",SAISIE!$M$5:$M$204,$M$113),INDEX(SAISIE!$K$5:$K$204,MATCH(MINIFS(SAISIE!$L$5:$L$204,SAISIE!$J$5:$J$204,"*Vent Arr./Av.*",SAISIE!$M$5:$M$204,$M$113),SAISIE!$L$5:$L$204,0))),"-"))</f>
        <v/>
      </c>
      <c r="K121" s="7">
        <f>IF(OR($M$113="",NOT(COUNTIFS(SAISIE!$J$5:$J$204,"*Vent Arr./Av.*",SAISIE!$M$5:$M$204,$M$113)&gt;0)),"",IFERROR(IF(MINIFS(SAISIE!$L$5:$L$204,SAISIE!$J$5:$J$204,"*Vent Arr./Av.*",SAISIE!$M$5:$M$204,$M$113)&gt;=0,0,MINIFS(SAISIE!$L$5:$L$204,SAISIE!$J$5:$J$204,"*Vent Arr./Av.*",SAISIE!$M$5:$M$204,$M$113)),"-"))</f>
        <v/>
      </c>
      <c r="L121" s="7">
        <f>IF($M$113="","",IF(OR(K121="",K121="-"),"",IF(K121&gt;0,"(soulevement)",IF(K121&lt;0,"(compression)","-"))))</f>
        <v/>
      </c>
    </row>
    <row r="122">
      <c r="A122" s="6">
        <f>IF(OR($F$113="",NOT(MAXIFS(SAISIE!$E$5:$E$204,SAISIE!$B$5:$B$204,"*Vent Arr./Av.*",SAISIE!$F$5:$F$204,$F$113)&gt;0)),"","Vent Arr./Av.")</f>
        <v/>
      </c>
      <c r="B122" s="7">
        <f>IF(OR($F$113="",NOT(MAXIFS(SAISIE!$E$5:$E$204,SAISIE!$B$5:$B$204,"*Vent Arr./Av.*",SAISIE!$F$5:$F$204,$F$113)&gt;0)),"",IFERROR(INDEX(SAISIE!$C$5:$C$204,MATCH(MAXIFS(SAISIE!$E$5:$E$204,SAISIE!$B$5:$B$204,"*Vent Arr./Av.*",SAISIE!$F$5:$F$204,$F$113),SAISIE!$E$5:$E$204,0)),"-"))</f>
        <v/>
      </c>
      <c r="C122" s="7">
        <f>IF(OR($F$113="",NOT(MAXIFS(SAISIE!$E$5:$E$204,SAISIE!$B$5:$B$204,"*Vent Arr./Av.*",SAISIE!$F$5:$F$204,$F$113)&gt;0)),"",IFERROR(INDEX(SAISIE!$D$5:$D$204,MATCH(MAXIFS(SAISIE!$E$5:$E$204,SAISIE!$B$5:$B$204,"*Vent Arr./Av.*",SAISIE!$F$5:$F$204,$F$113),SAISIE!$E$5:$E$204,0)),"-"))</f>
        <v/>
      </c>
      <c r="D122" s="7">
        <f>IF(OR($F$113="",NOT(MAXIFS(SAISIE!$E$5:$E$204,SAISIE!$B$5:$B$204,"*Vent Arr./Av.*",SAISIE!$F$5:$F$204,$F$113)&gt;0)),"",IFERROR(MAXIFS(SAISIE!$E$5:$E$204,SAISIE!$B$5:$B$204,"*Vent Arr./Av.*",SAISIE!$F$5:$F$204,$F$113),"-"))</f>
        <v/>
      </c>
      <c r="E122" s="7">
        <f>IF($F$113="","",IF(OR(D122="",D122="-"),"",IF(D122&gt;0,"(soulevement)",IF(D122&lt;0,"(compression)","-"))))</f>
        <v/>
      </c>
      <c r="I122" s="6">
        <f>IF(OR($M$113="",NOT(MAXIFS(SAISIE!$L$5:$L$204,SAISIE!$J$5:$J$204,"*Vent Arr./Av.*",SAISIE!$M$5:$M$204,$M$113)&gt;0)),"","Vent Arr./Av.")</f>
        <v/>
      </c>
      <c r="J122" s="7">
        <f>IF(OR($M$113="",NOT(MAXIFS(SAISIE!$L$5:$L$204,SAISIE!$J$5:$J$204,"*Vent Arr./Av.*",SAISIE!$M$5:$M$204,$M$113)&gt;0)),"",IFERROR(INDEX(SAISIE!$K$5:$K$204,MATCH(MAXIFS(SAISIE!$L$5:$L$204,SAISIE!$J$5:$J$204,"*Vent Arr./Av.*",SAISIE!$M$5:$M$204,$M$113),SAISIE!$L$5:$L$204,0)),"-"))</f>
        <v/>
      </c>
      <c r="K122" s="7">
        <f>IF(OR($M$113="",NOT(MAXIFS(SAISIE!$L$5:$L$204,SAISIE!$J$5:$J$204,"*Vent Arr./Av.*",SAISIE!$M$5:$M$204,$M$113)&gt;0)),"",IFERROR(MAXIFS(SAISIE!$L$5:$L$204,SAISIE!$J$5:$J$204,"*Vent Arr./Av.*",SAISIE!$M$5:$M$204,$M$113),"-"))</f>
        <v/>
      </c>
      <c r="L122" s="7">
        <f>IF($M$113="","",IF(OR(K122="",K122="-"),"",IF(K122&gt;0,"(soulevement)",IF(K122&lt;0,"(compression)","-"))))</f>
        <v/>
      </c>
    </row>
    <row r="123">
      <c r="A123" s="6">
        <f>IF(OR($F$113="",NOT(TRUE)),"","Neige normale")</f>
        <v/>
      </c>
      <c r="B123" s="7">
        <f>IF($F$113="","",IFERROR(INDEX(SAISIE!$C$5:$C$204,MATCH(MINIFS(SAISIE!$E$5:$E$204,SAISIE!$B$5:$B$204,"*Neige*",SAISIE!$B$5:$B$204,"&lt;&gt;*accidentel*",SAISIE!$F$5:$F$204,$F$113),SAISIE!$E$5:$E$204,0)),"-"))</f>
        <v/>
      </c>
      <c r="C123" s="7">
        <f>IF($F$113="","",IFERROR(INDEX(SAISIE!$D$5:$D$204,MATCH(MINIFS(SAISIE!$E$5:$E$204,SAISIE!$B$5:$B$204,"*Neige*",SAISIE!$B$5:$B$204,"&lt;&gt;*accidentel*",SAISIE!$F$5:$F$204,$F$113),SAISIE!$E$5:$E$204,0)),"-"))</f>
        <v/>
      </c>
      <c r="D123" s="7">
        <f>IF($F$113="","",IFERROR(INDEX(SAISIE!$E$5:$E$204,MATCH(MINIFS(SAISIE!$E$5:$E$204,SAISIE!$B$5:$B$204,"*Neige*",SAISIE!$B$5:$B$204,"&lt;&gt;*accidentel*",SAISIE!$F$5:$F$204,$F$113),SAISIE!$E$5:$E$204,0)),"-"))</f>
        <v/>
      </c>
      <c r="E123" s="7">
        <f>IF($F$113="","",IF(OR(D123="",D123="-"),"",IF(D123&gt;0,"(soulevement)",IF(D123&lt;0,"(compression)","-"))))</f>
        <v/>
      </c>
      <c r="I123" s="6">
        <f>IF(OR($M$113="",NOT(TRUE)),"","Neige normale")</f>
        <v/>
      </c>
      <c r="J123" s="7">
        <f>IF($M$113="","",IFERROR(INDEX(SAISIE!$K$5:$K$204,MATCH(MINIFS(SAISIE!$L$5:$L$204,SAISIE!$J$5:$J$204,"*Neige*",SAISIE!$J$5:$J$204,"&lt;&gt;*accidentel*",SAISIE!$M$5:$M$204,$M$113),SAISIE!$L$5:$L$204,0)),"-"))</f>
        <v/>
      </c>
      <c r="K123" s="7">
        <f>IF($M$113="","",IFERROR(INDEX(SAISIE!$L$5:$L$204,MATCH(MINIFS(SAISIE!$L$5:$L$204,SAISIE!$J$5:$J$204,"*Neige*",SAISIE!$J$5:$J$204,"&lt;&gt;*accidentel*",SAISIE!$M$5:$M$204,$M$113),SAISIE!$L$5:$L$204,0)),"-"))</f>
        <v/>
      </c>
      <c r="L123" s="7">
        <f>IF($M$113="","",IF(OR(K123="",K123="-"),"",IF(K123&gt;0,"(soulevement)",IF(K123&lt;0,"(compression)","-"))))</f>
        <v/>
      </c>
    </row>
    <row r="124">
      <c r="A124" s="6">
        <f>IF(OR($F$113="",NOT(TRUE)),"","Neige accidentelle")</f>
        <v/>
      </c>
      <c r="B124" s="7">
        <f>IF($F$113="","",IFERROR(LOOKUP(2,1/((SAISIE!$F$5:$F$204=$F$113)*(ISNUMBER(SEARCH("accidentel",SAISIE!$B$5:$B$204)))),SAISIE!$C$5:$C$204),"-"))</f>
        <v/>
      </c>
      <c r="C124" s="7">
        <f>IF($F$113="","",IFERROR(LOOKUP(2,1/((SAISIE!$F$5:$F$204=$F$113)*(ISNUMBER(SEARCH("accidentel",SAISIE!$B$5:$B$204)))),SAISIE!$D$5:$D$204),"-"))</f>
        <v/>
      </c>
      <c r="D124" s="7">
        <f>IF($F$113="","",IFERROR(LOOKUP(2,1/((SAISIE!$F$5:$F$204=$F$113)*(ISNUMBER(SEARCH("accidentel",SAISIE!$B$5:$B$204)))),SAISIE!$E$5:$E$204),"-"))</f>
        <v/>
      </c>
      <c r="E124" s="7">
        <f>IF($F$113="","",IF(OR(D124="",D124="-"),"",IF(D124&gt;0,"(soulevement)",IF(D124&lt;0,"(compression)","-"))))</f>
        <v/>
      </c>
      <c r="I124" s="6">
        <f>IF(OR($M$113="",NOT(TRUE)),"","Neige accidentelle")</f>
        <v/>
      </c>
      <c r="J124" s="7">
        <f>IF($M$113="","",IFERROR(LOOKUP(2,1/((SAISIE!$M$5:$M$204=$M$113)*(ISNUMBER(SEARCH("accidentel",SAISIE!$J$5:$J$204)))),SAISIE!$K$5:$K$204),"-"))</f>
        <v/>
      </c>
      <c r="K124" s="7">
        <f>IF($M$113="","",IFERROR(LOOKUP(2,1/((SAISIE!$M$5:$M$204=$M$113)*(ISNUMBER(SEARCH("accidentel",SAISIE!$J$5:$J$204)))),SAISIE!$L$5:$L$204),"-"))</f>
        <v/>
      </c>
      <c r="L124" s="7">
        <f>IF($M$113="","",IF(OR(K124="",K124="-"),"",IF(K124&gt;0,"(soulevement)",IF(K124&lt;0,"(compression)","-"))))</f>
        <v/>
      </c>
    </row>
    <row r="125">
      <c r="A125" s="5">
        <f>IF($F$125="","","Noeud "&amp;$F$125)</f>
        <v/>
      </c>
      <c r="B125" s="5" t="n"/>
      <c r="C125" s="5" t="n"/>
      <c r="D125" s="5" t="n"/>
      <c r="E125" s="5" t="n"/>
      <c r="F125">
        <f>IFERROR(INDEX(SAISIE!$F$5:$F$204,AGGREGATE(15,6,ROW(SAISIE!$F$5:$F$204)-ROW(SAISIE!$F$5)+1/(SAISIE!$F$5:$F$204&lt;&gt;"")/(COUNTIF($F$4:F124,SAISIE!$F$5:$F$204)=0),1)),"")</f>
        <v/>
      </c>
      <c r="I125" s="5">
        <f>IF($M$125="","","Noeud "&amp;$M$125)</f>
        <v/>
      </c>
      <c r="J125" s="5" t="n"/>
      <c r="K125" s="5" t="n"/>
      <c r="L125" s="5" t="n"/>
      <c r="M125">
        <f>IFERROR(INDEX(SAISIE!$M$5:$M$204,AGGREGATE(15,6,ROW(SAISIE!$M$5:$M$204)-ROW(SAISIE!$M$5)+1/(SAISIE!$M$5:$M$204&lt;&gt;"")/(COUNTIF($M$4:M124,SAISIE!$M$5:$M$204)=0),1)),"")</f>
        <v/>
      </c>
    </row>
    <row r="126">
      <c r="A126" s="6">
        <f>IF(OR($F$125="",NOT(TRUE)),"","Couverture")</f>
        <v/>
      </c>
      <c r="B126" s="7">
        <f>IF($F$125="","",IFERROR(IFERROR(LOOKUP(2,1/((SAISIE!$F$5:$F$204=$F$125)*(LEFT(SAISIE!$B$5:$B$204,2)="G ")),SAISIE!$C$5:$C$204),LOOKUP(2,1/((SAISIE!$F$5:$F$204=$F$125)*(ISNUMBER(SEARCH("Couverture",SAISIE!$B$5:$B$204)))),SAISIE!$C$5:$C$204)),"-"))</f>
        <v/>
      </c>
      <c r="C126" s="7">
        <f>IF($F$125="","",IFERROR(IFERROR(LOOKUP(2,1/((SAISIE!$F$5:$F$204=$F$125)*(LEFT(SAISIE!$B$5:$B$204,2)="G ")),SAISIE!$D$5:$D$204),LOOKUP(2,1/((SAISIE!$F$5:$F$204=$F$125)*(ISNUMBER(SEARCH("Couverture",SAISIE!$B$5:$B$204)))),SAISIE!$D$5:$D$204)),"-"))</f>
        <v/>
      </c>
      <c r="D126" s="7">
        <f>IF($F$125="","",IFERROR(IFERROR(LOOKUP(2,1/((SAISIE!$F$5:$F$204=$F$125)*(LEFT(SAISIE!$B$5:$B$204,2)="G ")),SAISIE!$E$5:$E$204),LOOKUP(2,1/((SAISIE!$F$5:$F$204=$F$125)*(ISNUMBER(SEARCH("Couverture",SAISIE!$B$5:$B$204)))),SAISIE!$E$5:$E$204)),"-"))</f>
        <v/>
      </c>
      <c r="E126" s="7">
        <f>IF($F$125="","",IF(OR(D126="",D126="-"),"",IF(D126&gt;0,"(soulevement)",IF(D126&lt;0,"(compression)","-"))))</f>
        <v/>
      </c>
      <c r="I126" s="6">
        <f>IF(OR($M$125="",NOT(TRUE)),"","Couverture")</f>
        <v/>
      </c>
      <c r="J126" s="7">
        <f>IF($M$125="","",IFERROR(IFERROR(LOOKUP(2,1/((SAISIE!$M$5:$M$204=$M$125)*(LEFT(SAISIE!$J$5:$J$204,2)="G ")),SAISIE!$K$5:$K$204),LOOKUP(2,1/((SAISIE!$M$5:$M$204=$M$125)*(ISNUMBER(SEARCH("Couverture",SAISIE!$J$5:$J$204)))),SAISIE!$K$5:$K$204)),"-"))</f>
        <v/>
      </c>
      <c r="K126" s="7">
        <f>IF($M$125="","",IFERROR(IFERROR(LOOKUP(2,1/((SAISIE!$M$5:$M$204=$M$125)*(LEFT(SAISIE!$J$5:$J$204,2)="G ")),SAISIE!$L$5:$L$204),LOOKUP(2,1/((SAISIE!$M$5:$M$204=$M$125)*(ISNUMBER(SEARCH("Couverture",SAISIE!$J$5:$J$204)))),SAISIE!$L$5:$L$204)),"-"))</f>
        <v/>
      </c>
      <c r="L126" s="7">
        <f>IF($M$125="","",IF(OR(K126="",K126="-"),"",IF(K126&gt;0,"(soulevement)",IF(K126&lt;0,"(compression)","-"))))</f>
        <v/>
      </c>
    </row>
    <row r="127">
      <c r="A127" s="6">
        <f>IF(OR($F$125="",NOT(COUNTIFS(SAISIE!$B$5:$B$204,"*Vent G/D*",SAISIE!$F$5:$F$204,$F$125)&gt;0)),"","Vent G/D")</f>
        <v/>
      </c>
      <c r="B127" s="7">
        <f>IF(OR($F$125="",NOT(COUNTIFS(SAISIE!$B$5:$B$204,"*Vent G/D*",SAISIE!$F$5:$F$204,$F$125)&gt;0)),"",IFERROR(IF(MINIFS(SAISIE!$E$5:$E$204,SAISIE!$B$5:$B$204,"*Vent G/D*",SAISIE!$F$5:$F$204,$F$125)&gt;=0,MAXIFS(SAISIE!$C$5:$C$204,SAISIE!$B$5:$B$204,"*Vent G/D*",SAISIE!$F$5:$F$204,$F$125),INDEX(SAISIE!$C$5:$C$204,MATCH(MINIFS(SAISIE!$E$5:$E$204,SAISIE!$B$5:$B$204,"*Vent G/D*",SAISIE!$F$5:$F$204,$F$125),SAISIE!$E$5:$E$204,0))),"-"))</f>
        <v/>
      </c>
      <c r="C127" s="7">
        <f>IF(OR($F$125="",NOT(COUNTIFS(SAISIE!$B$5:$B$204,"*Vent G/D*",SAISIE!$F$5:$F$204,$F$125)&gt;0)),"",IFERROR(IF(MINIFS(SAISIE!$E$5:$E$204,SAISIE!$B$5:$B$204,"*Vent G/D*",SAISIE!$F$5:$F$204,$F$125)&gt;=0,INDEX(SAISIE!$D$5:$D$204,MATCH(MAXIFS(SAISIE!$C$5:$C$204,SAISIE!$B$5:$B$204,"*Vent G/D*",SAISIE!$F$5:$F$204,$F$125),SAISIE!$C$5:$C$204,0)),INDEX(SAISIE!$D$5:$D$204,MATCH(MINIFS(SAISIE!$E$5:$E$204,SAISIE!$B$5:$B$204,"*Vent G/D*",SAISIE!$F$5:$F$204,$F$125),SAISIE!$E$5:$E$204,0))),"-"))</f>
        <v/>
      </c>
      <c r="D127" s="7">
        <f>IF(OR($F$125="",NOT(COUNTIFS(SAISIE!$B$5:$B$204,"*Vent G/D*",SAISIE!$F$5:$F$204,$F$125)&gt;0)),"",IFERROR(IF(MINIFS(SAISIE!$E$5:$E$204,SAISIE!$B$5:$B$204,"*Vent G/D*",SAISIE!$F$5:$F$204,$F$125)&gt;=0,0,MINIFS(SAISIE!$E$5:$E$204,SAISIE!$B$5:$B$204,"*Vent G/D*",SAISIE!$F$5:$F$204,$F$125)),"-"))</f>
        <v/>
      </c>
      <c r="E127" s="7">
        <f>IF($F$125="","",IF(OR(D127="",D127="-"),"",IF(D127&gt;0,"(soulevement)",IF(D127&lt;0,"(compression)","-"))))</f>
        <v/>
      </c>
      <c r="I127" s="6">
        <f>IF(OR($M$125="",NOT(COUNTIFS(SAISIE!$J$5:$J$204,"*Vent G/D*",SAISIE!$M$5:$M$204,$M$125)&gt;0)),"","Vent G/D")</f>
        <v/>
      </c>
      <c r="J127" s="7">
        <f>IF(OR($M$125="",NOT(COUNTIFS(SAISIE!$J$5:$J$204,"*Vent G/D*",SAISIE!$M$5:$M$204,$M$125)&gt;0)),"",IFERROR(IF(MINIFS(SAISIE!$L$5:$L$204,SAISIE!$J$5:$J$204,"*Vent G/D*",SAISIE!$M$5:$M$204,$M$125)&gt;=0,MAXIFS(SAISIE!$K$5:$K$204,SAISIE!$J$5:$J$204,"*Vent G/D*",SAISIE!$M$5:$M$204,$M$125),INDEX(SAISIE!$K$5:$K$204,MATCH(MINIFS(SAISIE!$L$5:$L$204,SAISIE!$J$5:$J$204,"*Vent G/D*",SAISIE!$M$5:$M$204,$M$125),SAISIE!$L$5:$L$204,0))),"-"))</f>
        <v/>
      </c>
      <c r="K127" s="7">
        <f>IF(OR($M$125="",NOT(COUNTIFS(SAISIE!$J$5:$J$204,"*Vent G/D*",SAISIE!$M$5:$M$204,$M$125)&gt;0)),"",IFERROR(IF(MINIFS(SAISIE!$L$5:$L$204,SAISIE!$J$5:$J$204,"*Vent G/D*",SAISIE!$M$5:$M$204,$M$125)&gt;=0,0,MINIFS(SAISIE!$L$5:$L$204,SAISIE!$J$5:$J$204,"*Vent G/D*",SAISIE!$M$5:$M$204,$M$125)),"-"))</f>
        <v/>
      </c>
      <c r="L127" s="7">
        <f>IF($M$125="","",IF(OR(K127="",K127="-"),"",IF(K127&gt;0,"(soulevement)",IF(K127&lt;0,"(compression)","-"))))</f>
        <v/>
      </c>
    </row>
    <row r="128">
      <c r="A128" s="6">
        <f>IF(OR($F$125="",NOT(MAXIFS(SAISIE!$E$5:$E$204,SAISIE!$B$5:$B$204,"*Vent G/D*",SAISIE!$F$5:$F$204,$F$125)&gt;0)),"","Vent G/D")</f>
        <v/>
      </c>
      <c r="B128" s="7">
        <f>IF(OR($F$125="",NOT(MAXIFS(SAISIE!$E$5:$E$204,SAISIE!$B$5:$B$204,"*Vent G/D*",SAISIE!$F$5:$F$204,$F$125)&gt;0)),"",IFERROR(INDEX(SAISIE!$C$5:$C$204,MATCH(MAXIFS(SAISIE!$E$5:$E$204,SAISIE!$B$5:$B$204,"*Vent G/D*",SAISIE!$F$5:$F$204,$F$125),SAISIE!$E$5:$E$204,0)),"-"))</f>
        <v/>
      </c>
      <c r="C128" s="7">
        <f>IF(OR($F$125="",NOT(MAXIFS(SAISIE!$E$5:$E$204,SAISIE!$B$5:$B$204,"*Vent G/D*",SAISIE!$F$5:$F$204,$F$125)&gt;0)),"",IFERROR(INDEX(SAISIE!$D$5:$D$204,MATCH(MAXIFS(SAISIE!$E$5:$E$204,SAISIE!$B$5:$B$204,"*Vent G/D*",SAISIE!$F$5:$F$204,$F$125),SAISIE!$E$5:$E$204,0)),"-"))</f>
        <v/>
      </c>
      <c r="D128" s="7">
        <f>IF(OR($F$125="",NOT(MAXIFS(SAISIE!$E$5:$E$204,SAISIE!$B$5:$B$204,"*Vent G/D*",SAISIE!$F$5:$F$204,$F$125)&gt;0)),"",IFERROR(MAXIFS(SAISIE!$E$5:$E$204,SAISIE!$B$5:$B$204,"*Vent G/D*",SAISIE!$F$5:$F$204,$F$125),"-"))</f>
        <v/>
      </c>
      <c r="E128" s="7">
        <f>IF($F$125="","",IF(OR(D128="",D128="-"),"",IF(D128&gt;0,"(soulevement)",IF(D128&lt;0,"(compression)","-"))))</f>
        <v/>
      </c>
      <c r="I128" s="6">
        <f>IF(OR($M$125="",NOT(MAXIFS(SAISIE!$L$5:$L$204,SAISIE!$J$5:$J$204,"*Vent G/D*",SAISIE!$M$5:$M$204,$M$125)&gt;0)),"","Vent G/D")</f>
        <v/>
      </c>
      <c r="J128" s="7">
        <f>IF(OR($M$125="",NOT(MAXIFS(SAISIE!$L$5:$L$204,SAISIE!$J$5:$J$204,"*Vent G/D*",SAISIE!$M$5:$M$204,$M$125)&gt;0)),"",IFERROR(INDEX(SAISIE!$K$5:$K$204,MATCH(MAXIFS(SAISIE!$L$5:$L$204,SAISIE!$J$5:$J$204,"*Vent G/D*",SAISIE!$M$5:$M$204,$M$125),SAISIE!$L$5:$L$204,0)),"-"))</f>
        <v/>
      </c>
      <c r="K128" s="7">
        <f>IF(OR($M$125="",NOT(MAXIFS(SAISIE!$L$5:$L$204,SAISIE!$J$5:$J$204,"*Vent G/D*",SAISIE!$M$5:$M$204,$M$125)&gt;0)),"",IFERROR(MAXIFS(SAISIE!$L$5:$L$204,SAISIE!$J$5:$J$204,"*Vent G/D*",SAISIE!$M$5:$M$204,$M$125),"-"))</f>
        <v/>
      </c>
      <c r="L128" s="7">
        <f>IF($M$125="","",IF(OR(K128="",K128="-"),"",IF(K128&gt;0,"(soulevement)",IF(K128&lt;0,"(compression)","-"))))</f>
        <v/>
      </c>
    </row>
    <row r="129">
      <c r="A129" s="6">
        <f>IF(OR($F$125="",NOT(COUNTIFS(SAISIE!$B$5:$B$204,"*Vent D/G*",SAISIE!$F$5:$F$204,$F$125)&gt;0)),"","Vent D/G")</f>
        <v/>
      </c>
      <c r="B129" s="7">
        <f>IF(OR($F$125="",NOT(COUNTIFS(SAISIE!$B$5:$B$204,"*Vent D/G*",SAISIE!$F$5:$F$204,$F$125)&gt;0)),"",IFERROR(IF(MINIFS(SAISIE!$E$5:$E$204,SAISIE!$B$5:$B$204,"*Vent D/G*",SAISIE!$F$5:$F$204,$F$125)&gt;=0,MAXIFS(SAISIE!$C$5:$C$204,SAISIE!$B$5:$B$204,"*Vent D/G*",SAISIE!$F$5:$F$204,$F$125),INDEX(SAISIE!$C$5:$C$204,MATCH(MINIFS(SAISIE!$E$5:$E$204,SAISIE!$B$5:$B$204,"*Vent D/G*",SAISIE!$F$5:$F$204,$F$125),SAISIE!$E$5:$E$204,0))),"-"))</f>
        <v/>
      </c>
      <c r="C129" s="7">
        <f>IF(OR($F$125="",NOT(COUNTIFS(SAISIE!$B$5:$B$204,"*Vent D/G*",SAISIE!$F$5:$F$204,$F$125)&gt;0)),"",IFERROR(IF(MINIFS(SAISIE!$E$5:$E$204,SAISIE!$B$5:$B$204,"*Vent D/G*",SAISIE!$F$5:$F$204,$F$125)&gt;=0,INDEX(SAISIE!$D$5:$D$204,MATCH(MAXIFS(SAISIE!$C$5:$C$204,SAISIE!$B$5:$B$204,"*Vent D/G*",SAISIE!$F$5:$F$204,$F$125),SAISIE!$C$5:$C$204,0)),INDEX(SAISIE!$D$5:$D$204,MATCH(MINIFS(SAISIE!$E$5:$E$204,SAISIE!$B$5:$B$204,"*Vent D/G*",SAISIE!$F$5:$F$204,$F$125),SAISIE!$E$5:$E$204,0))),"-"))</f>
        <v/>
      </c>
      <c r="D129" s="7">
        <f>IF(OR($F$125="",NOT(COUNTIFS(SAISIE!$B$5:$B$204,"*Vent D/G*",SAISIE!$F$5:$F$204,$F$125)&gt;0)),"",IFERROR(IF(MINIFS(SAISIE!$E$5:$E$204,SAISIE!$B$5:$B$204,"*Vent D/G*",SAISIE!$F$5:$F$204,$F$125)&gt;=0,0,MINIFS(SAISIE!$E$5:$E$204,SAISIE!$B$5:$B$204,"*Vent D/G*",SAISIE!$F$5:$F$204,$F$125)),"-"))</f>
        <v/>
      </c>
      <c r="E129" s="7">
        <f>IF($F$125="","",IF(OR(D129="",D129="-"),"",IF(D129&gt;0,"(soulevement)",IF(D129&lt;0,"(compression)","-"))))</f>
        <v/>
      </c>
      <c r="I129" s="6">
        <f>IF(OR($M$125="",NOT(COUNTIFS(SAISIE!$J$5:$J$204,"*Vent D/G*",SAISIE!$M$5:$M$204,$M$125)&gt;0)),"","Vent D/G")</f>
        <v/>
      </c>
      <c r="J129" s="7">
        <f>IF(OR($M$125="",NOT(COUNTIFS(SAISIE!$J$5:$J$204,"*Vent D/G*",SAISIE!$M$5:$M$204,$M$125)&gt;0)),"",IFERROR(IF(MINIFS(SAISIE!$L$5:$L$204,SAISIE!$J$5:$J$204,"*Vent D/G*",SAISIE!$M$5:$M$204,$M$125)&gt;=0,MAXIFS(SAISIE!$K$5:$K$204,SAISIE!$J$5:$J$204,"*Vent D/G*",SAISIE!$M$5:$M$204,$M$125),INDEX(SAISIE!$K$5:$K$204,MATCH(MINIFS(SAISIE!$L$5:$L$204,SAISIE!$J$5:$J$204,"*Vent D/G*",SAISIE!$M$5:$M$204,$M$125),SAISIE!$L$5:$L$204,0))),"-"))</f>
        <v/>
      </c>
      <c r="K129" s="7">
        <f>IF(OR($M$125="",NOT(COUNTIFS(SAISIE!$J$5:$J$204,"*Vent D/G*",SAISIE!$M$5:$M$204,$M$125)&gt;0)),"",IFERROR(IF(MINIFS(SAISIE!$L$5:$L$204,SAISIE!$J$5:$J$204,"*Vent D/G*",SAISIE!$M$5:$M$204,$M$125)&gt;=0,0,MINIFS(SAISIE!$L$5:$L$204,SAISIE!$J$5:$J$204,"*Vent D/G*",SAISIE!$M$5:$M$204,$M$125)),"-"))</f>
        <v/>
      </c>
      <c r="L129" s="7">
        <f>IF($M$125="","",IF(OR(K129="",K129="-"),"",IF(K129&gt;0,"(soulevement)",IF(K129&lt;0,"(compression)","-"))))</f>
        <v/>
      </c>
    </row>
    <row r="130">
      <c r="A130" s="6">
        <f>IF(OR($F$125="",NOT(MAXIFS(SAISIE!$E$5:$E$204,SAISIE!$B$5:$B$204,"*Vent D/G*",SAISIE!$F$5:$F$204,$F$125)&gt;0)),"","Vent D/G")</f>
        <v/>
      </c>
      <c r="B130" s="7">
        <f>IF(OR($F$125="",NOT(MAXIFS(SAISIE!$E$5:$E$204,SAISIE!$B$5:$B$204,"*Vent D/G*",SAISIE!$F$5:$F$204,$F$125)&gt;0)),"",IFERROR(INDEX(SAISIE!$C$5:$C$204,MATCH(MAXIFS(SAISIE!$E$5:$E$204,SAISIE!$B$5:$B$204,"*Vent D/G*",SAISIE!$F$5:$F$204,$F$125),SAISIE!$E$5:$E$204,0)),"-"))</f>
        <v/>
      </c>
      <c r="C130" s="7">
        <f>IF(OR($F$125="",NOT(MAXIFS(SAISIE!$E$5:$E$204,SAISIE!$B$5:$B$204,"*Vent D/G*",SAISIE!$F$5:$F$204,$F$125)&gt;0)),"",IFERROR(INDEX(SAISIE!$D$5:$D$204,MATCH(MAXIFS(SAISIE!$E$5:$E$204,SAISIE!$B$5:$B$204,"*Vent D/G*",SAISIE!$F$5:$F$204,$F$125),SAISIE!$E$5:$E$204,0)),"-"))</f>
        <v/>
      </c>
      <c r="D130" s="7">
        <f>IF(OR($F$125="",NOT(MAXIFS(SAISIE!$E$5:$E$204,SAISIE!$B$5:$B$204,"*Vent D/G*",SAISIE!$F$5:$F$204,$F$125)&gt;0)),"",IFERROR(MAXIFS(SAISIE!$E$5:$E$204,SAISIE!$B$5:$B$204,"*Vent D/G*",SAISIE!$F$5:$F$204,$F$125),"-"))</f>
        <v/>
      </c>
      <c r="E130" s="7">
        <f>IF($F$125="","",IF(OR(D130="",D130="-"),"",IF(D130&gt;0,"(soulevement)",IF(D130&lt;0,"(compression)","-"))))</f>
        <v/>
      </c>
      <c r="I130" s="6">
        <f>IF(OR($M$125="",NOT(MAXIFS(SAISIE!$L$5:$L$204,SAISIE!$J$5:$J$204,"*Vent D/G*",SAISIE!$M$5:$M$204,$M$125)&gt;0)),"","Vent D/G")</f>
        <v/>
      </c>
      <c r="J130" s="7">
        <f>IF(OR($M$125="",NOT(MAXIFS(SAISIE!$L$5:$L$204,SAISIE!$J$5:$J$204,"*Vent D/G*",SAISIE!$M$5:$M$204,$M$125)&gt;0)),"",IFERROR(INDEX(SAISIE!$K$5:$K$204,MATCH(MAXIFS(SAISIE!$L$5:$L$204,SAISIE!$J$5:$J$204,"*Vent D/G*",SAISIE!$M$5:$M$204,$M$125),SAISIE!$L$5:$L$204,0)),"-"))</f>
        <v/>
      </c>
      <c r="K130" s="7">
        <f>IF(OR($M$125="",NOT(MAXIFS(SAISIE!$L$5:$L$204,SAISIE!$J$5:$J$204,"*Vent D/G*",SAISIE!$M$5:$M$204,$M$125)&gt;0)),"",IFERROR(MAXIFS(SAISIE!$L$5:$L$204,SAISIE!$J$5:$J$204,"*Vent D/G*",SAISIE!$M$5:$M$204,$M$125),"-"))</f>
        <v/>
      </c>
      <c r="L130" s="7">
        <f>IF($M$125="","",IF(OR(K130="",K130="-"),"",IF(K130&gt;0,"(soulevement)",IF(K130&lt;0,"(compression)","-"))))</f>
        <v/>
      </c>
    </row>
    <row r="131">
      <c r="A131" s="6">
        <f>IF(OR($F$125="",NOT(COUNTIFS(SAISIE!$B$5:$B$204,"*Vent Av./Arr.*",SAISIE!$F$5:$F$204,$F$125)&gt;0)),"","Vent Av./Arr.")</f>
        <v/>
      </c>
      <c r="B131" s="7">
        <f>IF(OR($F$125="",NOT(COUNTIFS(SAISIE!$B$5:$B$204,"*Vent Av./Arr.*",SAISIE!$F$5:$F$204,$F$125)&gt;0)),"",IFERROR(IF(MINIFS(SAISIE!$E$5:$E$204,SAISIE!$B$5:$B$204,"*Vent Av./Arr.*",SAISIE!$F$5:$F$204,$F$125)&gt;=0,MAXIFS(SAISIE!$C$5:$C$204,SAISIE!$B$5:$B$204,"*Vent Av./Arr.*",SAISIE!$F$5:$F$204,$F$125),INDEX(SAISIE!$C$5:$C$204,MATCH(MINIFS(SAISIE!$E$5:$E$204,SAISIE!$B$5:$B$204,"*Vent Av./Arr.*",SAISIE!$F$5:$F$204,$F$125),SAISIE!$E$5:$E$204,0))),"-"))</f>
        <v/>
      </c>
      <c r="C131" s="7">
        <f>IF(OR($F$125="",NOT(COUNTIFS(SAISIE!$B$5:$B$204,"*Vent Av./Arr.*",SAISIE!$F$5:$F$204,$F$125)&gt;0)),"",IFERROR(IF(MINIFS(SAISIE!$E$5:$E$204,SAISIE!$B$5:$B$204,"*Vent Av./Arr.*",SAISIE!$F$5:$F$204,$F$125)&gt;=0,INDEX(SAISIE!$D$5:$D$204,MATCH(MAXIFS(SAISIE!$C$5:$C$204,SAISIE!$B$5:$B$204,"*Vent Av./Arr.*",SAISIE!$F$5:$F$204,$F$125),SAISIE!$C$5:$C$204,0)),INDEX(SAISIE!$D$5:$D$204,MATCH(MINIFS(SAISIE!$E$5:$E$204,SAISIE!$B$5:$B$204,"*Vent Av./Arr.*",SAISIE!$F$5:$F$204,$F$125),SAISIE!$E$5:$E$204,0))),"-"))</f>
        <v/>
      </c>
      <c r="D131" s="7">
        <f>IF(OR($F$125="",NOT(COUNTIFS(SAISIE!$B$5:$B$204,"*Vent Av./Arr.*",SAISIE!$F$5:$F$204,$F$125)&gt;0)),"",IFERROR(IF(MINIFS(SAISIE!$E$5:$E$204,SAISIE!$B$5:$B$204,"*Vent Av./Arr.*",SAISIE!$F$5:$F$204,$F$125)&gt;=0,0,MINIFS(SAISIE!$E$5:$E$204,SAISIE!$B$5:$B$204,"*Vent Av./Arr.*",SAISIE!$F$5:$F$204,$F$125)),"-"))</f>
        <v/>
      </c>
      <c r="E131" s="7">
        <f>IF($F$125="","",IF(OR(D131="",D131="-"),"",IF(D131&gt;0,"(soulevement)",IF(D131&lt;0,"(compression)","-"))))</f>
        <v/>
      </c>
      <c r="I131" s="6">
        <f>IF(OR($M$125="",NOT(COUNTIFS(SAISIE!$J$5:$J$204,"*Vent Av./Arr.*",SAISIE!$M$5:$M$204,$M$125)&gt;0)),"","Vent Av./Arr.")</f>
        <v/>
      </c>
      <c r="J131" s="7">
        <f>IF(OR($M$125="",NOT(COUNTIFS(SAISIE!$J$5:$J$204,"*Vent Av./Arr.*",SAISIE!$M$5:$M$204,$M$125)&gt;0)),"",IFERROR(IF(MINIFS(SAISIE!$L$5:$L$204,SAISIE!$J$5:$J$204,"*Vent Av./Arr.*",SAISIE!$M$5:$M$204,$M$125)&gt;=0,MAXIFS(SAISIE!$K$5:$K$204,SAISIE!$J$5:$J$204,"*Vent Av./Arr.*",SAISIE!$M$5:$M$204,$M$125),INDEX(SAISIE!$K$5:$K$204,MATCH(MINIFS(SAISIE!$L$5:$L$204,SAISIE!$J$5:$J$204,"*Vent Av./Arr.*",SAISIE!$M$5:$M$204,$M$125),SAISIE!$L$5:$L$204,0))),"-"))</f>
        <v/>
      </c>
      <c r="K131" s="7">
        <f>IF(OR($M$125="",NOT(COUNTIFS(SAISIE!$J$5:$J$204,"*Vent Av./Arr.*",SAISIE!$M$5:$M$204,$M$125)&gt;0)),"",IFERROR(IF(MINIFS(SAISIE!$L$5:$L$204,SAISIE!$J$5:$J$204,"*Vent Av./Arr.*",SAISIE!$M$5:$M$204,$M$125)&gt;=0,0,MINIFS(SAISIE!$L$5:$L$204,SAISIE!$J$5:$J$204,"*Vent Av./Arr.*",SAISIE!$M$5:$M$204,$M$125)),"-"))</f>
        <v/>
      </c>
      <c r="L131" s="7">
        <f>IF($M$125="","",IF(OR(K131="",K131="-"),"",IF(K131&gt;0,"(soulevement)",IF(K131&lt;0,"(compression)","-"))))</f>
        <v/>
      </c>
    </row>
    <row r="132">
      <c r="A132" s="6">
        <f>IF(OR($F$125="",NOT(MAXIFS(SAISIE!$E$5:$E$204,SAISIE!$B$5:$B$204,"*Vent Av./Arr.*",SAISIE!$F$5:$F$204,$F$125)&gt;0)),"","Vent Av./Arr.")</f>
        <v/>
      </c>
      <c r="B132" s="7">
        <f>IF(OR($F$125="",NOT(MAXIFS(SAISIE!$E$5:$E$204,SAISIE!$B$5:$B$204,"*Vent Av./Arr.*",SAISIE!$F$5:$F$204,$F$125)&gt;0)),"",IFERROR(INDEX(SAISIE!$C$5:$C$204,MATCH(MAXIFS(SAISIE!$E$5:$E$204,SAISIE!$B$5:$B$204,"*Vent Av./Arr.*",SAISIE!$F$5:$F$204,$F$125),SAISIE!$E$5:$E$204,0)),"-"))</f>
        <v/>
      </c>
      <c r="C132" s="7">
        <f>IF(OR($F$125="",NOT(MAXIFS(SAISIE!$E$5:$E$204,SAISIE!$B$5:$B$204,"*Vent Av./Arr.*",SAISIE!$F$5:$F$204,$F$125)&gt;0)),"",IFERROR(INDEX(SAISIE!$D$5:$D$204,MATCH(MAXIFS(SAISIE!$E$5:$E$204,SAISIE!$B$5:$B$204,"*Vent Av./Arr.*",SAISIE!$F$5:$F$204,$F$125),SAISIE!$E$5:$E$204,0)),"-"))</f>
        <v/>
      </c>
      <c r="D132" s="7">
        <f>IF(OR($F$125="",NOT(MAXIFS(SAISIE!$E$5:$E$204,SAISIE!$B$5:$B$204,"*Vent Av./Arr.*",SAISIE!$F$5:$F$204,$F$125)&gt;0)),"",IFERROR(MAXIFS(SAISIE!$E$5:$E$204,SAISIE!$B$5:$B$204,"*Vent Av./Arr.*",SAISIE!$F$5:$F$204,$F$125),"-"))</f>
        <v/>
      </c>
      <c r="E132" s="7">
        <f>IF($F$125="","",IF(OR(D132="",D132="-"),"",IF(D132&gt;0,"(soulevement)",IF(D132&lt;0,"(compression)","-"))))</f>
        <v/>
      </c>
      <c r="I132" s="6">
        <f>IF(OR($M$125="",NOT(MAXIFS(SAISIE!$L$5:$L$204,SAISIE!$J$5:$J$204,"*Vent Av./Arr.*",SAISIE!$M$5:$M$204,$M$125)&gt;0)),"","Vent Av./Arr.")</f>
        <v/>
      </c>
      <c r="J132" s="7">
        <f>IF(OR($M$125="",NOT(MAXIFS(SAISIE!$L$5:$L$204,SAISIE!$J$5:$J$204,"*Vent Av./Arr.*",SAISIE!$M$5:$M$204,$M$125)&gt;0)),"",IFERROR(INDEX(SAISIE!$K$5:$K$204,MATCH(MAXIFS(SAISIE!$L$5:$L$204,SAISIE!$J$5:$J$204,"*Vent Av./Arr.*",SAISIE!$M$5:$M$204,$M$125),SAISIE!$L$5:$L$204,0)),"-"))</f>
        <v/>
      </c>
      <c r="K132" s="7">
        <f>IF(OR($M$125="",NOT(MAXIFS(SAISIE!$L$5:$L$204,SAISIE!$J$5:$J$204,"*Vent Av./Arr.*",SAISIE!$M$5:$M$204,$M$125)&gt;0)),"",IFERROR(MAXIFS(SAISIE!$L$5:$L$204,SAISIE!$J$5:$J$204,"*Vent Av./Arr.*",SAISIE!$M$5:$M$204,$M$125),"-"))</f>
        <v/>
      </c>
      <c r="L132" s="7">
        <f>IF($M$125="","",IF(OR(K132="",K132="-"),"",IF(K132&gt;0,"(soulevement)",IF(K132&lt;0,"(compression)","-"))))</f>
        <v/>
      </c>
    </row>
    <row r="133">
      <c r="A133" s="6">
        <f>IF(OR($F$125="",NOT(COUNTIFS(SAISIE!$B$5:$B$204,"*Vent Arr./Av.*",SAISIE!$F$5:$F$204,$F$125)&gt;0)),"","Vent Arr./Av.")</f>
        <v/>
      </c>
      <c r="B133" s="7">
        <f>IF(OR($F$125="",NOT(COUNTIFS(SAISIE!$B$5:$B$204,"*Vent Arr./Av.*",SAISIE!$F$5:$F$204,$F$125)&gt;0)),"",IFERROR(IF(MINIFS(SAISIE!$E$5:$E$204,SAISIE!$B$5:$B$204,"*Vent Arr./Av.*",SAISIE!$F$5:$F$204,$F$125)&gt;=0,MAXIFS(SAISIE!$C$5:$C$204,SAISIE!$B$5:$B$204,"*Vent Arr./Av.*",SAISIE!$F$5:$F$204,$F$125),INDEX(SAISIE!$C$5:$C$204,MATCH(MINIFS(SAISIE!$E$5:$E$204,SAISIE!$B$5:$B$204,"*Vent Arr./Av.*",SAISIE!$F$5:$F$204,$F$125),SAISIE!$E$5:$E$204,0))),"-"))</f>
        <v/>
      </c>
      <c r="C133" s="7">
        <f>IF(OR($F$125="",NOT(COUNTIFS(SAISIE!$B$5:$B$204,"*Vent Arr./Av.*",SAISIE!$F$5:$F$204,$F$125)&gt;0)),"",IFERROR(IF(MINIFS(SAISIE!$E$5:$E$204,SAISIE!$B$5:$B$204,"*Vent Arr./Av.*",SAISIE!$F$5:$F$204,$F$125)&gt;=0,INDEX(SAISIE!$D$5:$D$204,MATCH(MAXIFS(SAISIE!$C$5:$C$204,SAISIE!$B$5:$B$204,"*Vent Arr./Av.*",SAISIE!$F$5:$F$204,$F$125),SAISIE!$C$5:$C$204,0)),INDEX(SAISIE!$D$5:$D$204,MATCH(MINIFS(SAISIE!$E$5:$E$204,SAISIE!$B$5:$B$204,"*Vent Arr./Av.*",SAISIE!$F$5:$F$204,$F$125),SAISIE!$E$5:$E$204,0))),"-"))</f>
        <v/>
      </c>
      <c r="D133" s="7">
        <f>IF(OR($F$125="",NOT(COUNTIFS(SAISIE!$B$5:$B$204,"*Vent Arr./Av.*",SAISIE!$F$5:$F$204,$F$125)&gt;0)),"",IFERROR(IF(MINIFS(SAISIE!$E$5:$E$204,SAISIE!$B$5:$B$204,"*Vent Arr./Av.*",SAISIE!$F$5:$F$204,$F$125)&gt;=0,0,MINIFS(SAISIE!$E$5:$E$204,SAISIE!$B$5:$B$204,"*Vent Arr./Av.*",SAISIE!$F$5:$F$204,$F$125)),"-"))</f>
        <v/>
      </c>
      <c r="E133" s="7">
        <f>IF($F$125="","",IF(OR(D133="",D133="-"),"",IF(D133&gt;0,"(soulevement)",IF(D133&lt;0,"(compression)","-"))))</f>
        <v/>
      </c>
      <c r="I133" s="6">
        <f>IF(OR($M$125="",NOT(COUNTIFS(SAISIE!$J$5:$J$204,"*Vent Arr./Av.*",SAISIE!$M$5:$M$204,$M$125)&gt;0)),"","Vent Arr./Av.")</f>
        <v/>
      </c>
      <c r="J133" s="7">
        <f>IF(OR($M$125="",NOT(COUNTIFS(SAISIE!$J$5:$J$204,"*Vent Arr./Av.*",SAISIE!$M$5:$M$204,$M$125)&gt;0)),"",IFERROR(IF(MINIFS(SAISIE!$L$5:$L$204,SAISIE!$J$5:$J$204,"*Vent Arr./Av.*",SAISIE!$M$5:$M$204,$M$125)&gt;=0,MAXIFS(SAISIE!$K$5:$K$204,SAISIE!$J$5:$J$204,"*Vent Arr./Av.*",SAISIE!$M$5:$M$204,$M$125),INDEX(SAISIE!$K$5:$K$204,MATCH(MINIFS(SAISIE!$L$5:$L$204,SAISIE!$J$5:$J$204,"*Vent Arr./Av.*",SAISIE!$M$5:$M$204,$M$125),SAISIE!$L$5:$L$204,0))),"-"))</f>
        <v/>
      </c>
      <c r="K133" s="7">
        <f>IF(OR($M$125="",NOT(COUNTIFS(SAISIE!$J$5:$J$204,"*Vent Arr./Av.*",SAISIE!$M$5:$M$204,$M$125)&gt;0)),"",IFERROR(IF(MINIFS(SAISIE!$L$5:$L$204,SAISIE!$J$5:$J$204,"*Vent Arr./Av.*",SAISIE!$M$5:$M$204,$M$125)&gt;=0,0,MINIFS(SAISIE!$L$5:$L$204,SAISIE!$J$5:$J$204,"*Vent Arr./Av.*",SAISIE!$M$5:$M$204,$M$125)),"-"))</f>
        <v/>
      </c>
      <c r="L133" s="7">
        <f>IF($M$125="","",IF(OR(K133="",K133="-"),"",IF(K133&gt;0,"(soulevement)",IF(K133&lt;0,"(compression)","-"))))</f>
        <v/>
      </c>
    </row>
    <row r="134">
      <c r="A134" s="6">
        <f>IF(OR($F$125="",NOT(MAXIFS(SAISIE!$E$5:$E$204,SAISIE!$B$5:$B$204,"*Vent Arr./Av.*",SAISIE!$F$5:$F$204,$F$125)&gt;0)),"","Vent Arr./Av.")</f>
        <v/>
      </c>
      <c r="B134" s="7">
        <f>IF(OR($F$125="",NOT(MAXIFS(SAISIE!$E$5:$E$204,SAISIE!$B$5:$B$204,"*Vent Arr./Av.*",SAISIE!$F$5:$F$204,$F$125)&gt;0)),"",IFERROR(INDEX(SAISIE!$C$5:$C$204,MATCH(MAXIFS(SAISIE!$E$5:$E$204,SAISIE!$B$5:$B$204,"*Vent Arr./Av.*",SAISIE!$F$5:$F$204,$F$125),SAISIE!$E$5:$E$204,0)),"-"))</f>
        <v/>
      </c>
      <c r="C134" s="7">
        <f>IF(OR($F$125="",NOT(MAXIFS(SAISIE!$E$5:$E$204,SAISIE!$B$5:$B$204,"*Vent Arr./Av.*",SAISIE!$F$5:$F$204,$F$125)&gt;0)),"",IFERROR(INDEX(SAISIE!$D$5:$D$204,MATCH(MAXIFS(SAISIE!$E$5:$E$204,SAISIE!$B$5:$B$204,"*Vent Arr./Av.*",SAISIE!$F$5:$F$204,$F$125),SAISIE!$E$5:$E$204,0)),"-"))</f>
        <v/>
      </c>
      <c r="D134" s="7">
        <f>IF(OR($F$125="",NOT(MAXIFS(SAISIE!$E$5:$E$204,SAISIE!$B$5:$B$204,"*Vent Arr./Av.*",SAISIE!$F$5:$F$204,$F$125)&gt;0)),"",IFERROR(MAXIFS(SAISIE!$E$5:$E$204,SAISIE!$B$5:$B$204,"*Vent Arr./Av.*",SAISIE!$F$5:$F$204,$F$125),"-"))</f>
        <v/>
      </c>
      <c r="E134" s="7">
        <f>IF($F$125="","",IF(OR(D134="",D134="-"),"",IF(D134&gt;0,"(soulevement)",IF(D134&lt;0,"(compression)","-"))))</f>
        <v/>
      </c>
      <c r="I134" s="6">
        <f>IF(OR($M$125="",NOT(MAXIFS(SAISIE!$L$5:$L$204,SAISIE!$J$5:$J$204,"*Vent Arr./Av.*",SAISIE!$M$5:$M$204,$M$125)&gt;0)),"","Vent Arr./Av.")</f>
        <v/>
      </c>
      <c r="J134" s="7">
        <f>IF(OR($M$125="",NOT(MAXIFS(SAISIE!$L$5:$L$204,SAISIE!$J$5:$J$204,"*Vent Arr./Av.*",SAISIE!$M$5:$M$204,$M$125)&gt;0)),"",IFERROR(INDEX(SAISIE!$K$5:$K$204,MATCH(MAXIFS(SAISIE!$L$5:$L$204,SAISIE!$J$5:$J$204,"*Vent Arr./Av.*",SAISIE!$M$5:$M$204,$M$125),SAISIE!$L$5:$L$204,0)),"-"))</f>
        <v/>
      </c>
      <c r="K134" s="7">
        <f>IF(OR($M$125="",NOT(MAXIFS(SAISIE!$L$5:$L$204,SAISIE!$J$5:$J$204,"*Vent Arr./Av.*",SAISIE!$M$5:$M$204,$M$125)&gt;0)),"",IFERROR(MAXIFS(SAISIE!$L$5:$L$204,SAISIE!$J$5:$J$204,"*Vent Arr./Av.*",SAISIE!$M$5:$M$204,$M$125),"-"))</f>
        <v/>
      </c>
      <c r="L134" s="7">
        <f>IF($M$125="","",IF(OR(K134="",K134="-"),"",IF(K134&gt;0,"(soulevement)",IF(K134&lt;0,"(compression)","-"))))</f>
        <v/>
      </c>
    </row>
    <row r="135">
      <c r="A135" s="6">
        <f>IF(OR($F$125="",NOT(TRUE)),"","Neige normale")</f>
        <v/>
      </c>
      <c r="B135" s="7">
        <f>IF($F$125="","",IFERROR(INDEX(SAISIE!$C$5:$C$204,MATCH(MINIFS(SAISIE!$E$5:$E$204,SAISIE!$B$5:$B$204,"*Neige*",SAISIE!$B$5:$B$204,"&lt;&gt;*accidentel*",SAISIE!$F$5:$F$204,$F$125),SAISIE!$E$5:$E$204,0)),"-"))</f>
        <v/>
      </c>
      <c r="C135" s="7">
        <f>IF($F$125="","",IFERROR(INDEX(SAISIE!$D$5:$D$204,MATCH(MINIFS(SAISIE!$E$5:$E$204,SAISIE!$B$5:$B$204,"*Neige*",SAISIE!$B$5:$B$204,"&lt;&gt;*accidentel*",SAISIE!$F$5:$F$204,$F$125),SAISIE!$E$5:$E$204,0)),"-"))</f>
        <v/>
      </c>
      <c r="D135" s="7">
        <f>IF($F$125="","",IFERROR(INDEX(SAISIE!$E$5:$E$204,MATCH(MINIFS(SAISIE!$E$5:$E$204,SAISIE!$B$5:$B$204,"*Neige*",SAISIE!$B$5:$B$204,"&lt;&gt;*accidentel*",SAISIE!$F$5:$F$204,$F$125),SAISIE!$E$5:$E$204,0)),"-"))</f>
        <v/>
      </c>
      <c r="E135" s="7">
        <f>IF($F$125="","",IF(OR(D135="",D135="-"),"",IF(D135&gt;0,"(soulevement)",IF(D135&lt;0,"(compression)","-"))))</f>
        <v/>
      </c>
      <c r="I135" s="6">
        <f>IF(OR($M$125="",NOT(TRUE)),"","Neige normale")</f>
        <v/>
      </c>
      <c r="J135" s="7">
        <f>IF($M$125="","",IFERROR(INDEX(SAISIE!$K$5:$K$204,MATCH(MINIFS(SAISIE!$L$5:$L$204,SAISIE!$J$5:$J$204,"*Neige*",SAISIE!$J$5:$J$204,"&lt;&gt;*accidentel*",SAISIE!$M$5:$M$204,$M$125),SAISIE!$L$5:$L$204,0)),"-"))</f>
        <v/>
      </c>
      <c r="K135" s="7">
        <f>IF($M$125="","",IFERROR(INDEX(SAISIE!$L$5:$L$204,MATCH(MINIFS(SAISIE!$L$5:$L$204,SAISIE!$J$5:$J$204,"*Neige*",SAISIE!$J$5:$J$204,"&lt;&gt;*accidentel*",SAISIE!$M$5:$M$204,$M$125),SAISIE!$L$5:$L$204,0)),"-"))</f>
        <v/>
      </c>
      <c r="L135" s="7">
        <f>IF($M$125="","",IF(OR(K135="",K135="-"),"",IF(K135&gt;0,"(soulevement)",IF(K135&lt;0,"(compression)","-"))))</f>
        <v/>
      </c>
    </row>
    <row r="136">
      <c r="A136" s="6">
        <f>IF(OR($F$125="",NOT(TRUE)),"","Neige accidentelle")</f>
        <v/>
      </c>
      <c r="B136" s="7">
        <f>IF($F$125="","",IFERROR(LOOKUP(2,1/((SAISIE!$F$5:$F$204=$F$125)*(ISNUMBER(SEARCH("accidentel",SAISIE!$B$5:$B$204)))),SAISIE!$C$5:$C$204),"-"))</f>
        <v/>
      </c>
      <c r="C136" s="7">
        <f>IF($F$125="","",IFERROR(LOOKUP(2,1/((SAISIE!$F$5:$F$204=$F$125)*(ISNUMBER(SEARCH("accidentel",SAISIE!$B$5:$B$204)))),SAISIE!$D$5:$D$204),"-"))</f>
        <v/>
      </c>
      <c r="D136" s="7">
        <f>IF($F$125="","",IFERROR(LOOKUP(2,1/((SAISIE!$F$5:$F$204=$F$125)*(ISNUMBER(SEARCH("accidentel",SAISIE!$B$5:$B$204)))),SAISIE!$E$5:$E$204),"-"))</f>
        <v/>
      </c>
      <c r="E136" s="7">
        <f>IF($F$125="","",IF(OR(D136="",D136="-"),"",IF(D136&gt;0,"(soulevement)",IF(D136&lt;0,"(compression)","-"))))</f>
        <v/>
      </c>
      <c r="I136" s="6">
        <f>IF(OR($M$125="",NOT(TRUE)),"","Neige accidentelle")</f>
        <v/>
      </c>
      <c r="J136" s="7">
        <f>IF($M$125="","",IFERROR(LOOKUP(2,1/((SAISIE!$M$5:$M$204=$M$125)*(ISNUMBER(SEARCH("accidentel",SAISIE!$J$5:$J$204)))),SAISIE!$K$5:$K$204),"-"))</f>
        <v/>
      </c>
      <c r="K136" s="7">
        <f>IF($M$125="","",IFERROR(LOOKUP(2,1/((SAISIE!$M$5:$M$204=$M$125)*(ISNUMBER(SEARCH("accidentel",SAISIE!$J$5:$J$204)))),SAISIE!$L$5:$L$204),"-"))</f>
        <v/>
      </c>
      <c r="L136" s="7">
        <f>IF($M$125="","",IF(OR(K136="",K136="-"),"",IF(K136&gt;0,"(soulevement)",IF(K136&lt;0,"(compression)","-"))))</f>
        <v/>
      </c>
    </row>
    <row r="137">
      <c r="A137" s="5">
        <f>IF($F$137="","","Noeud "&amp;$F$137)</f>
        <v/>
      </c>
      <c r="B137" s="5" t="n"/>
      <c r="C137" s="5" t="n"/>
      <c r="D137" s="5" t="n"/>
      <c r="E137" s="5" t="n"/>
      <c r="F137">
        <f>IFERROR(INDEX(SAISIE!$F$5:$F$204,AGGREGATE(15,6,ROW(SAISIE!$F$5:$F$204)-ROW(SAISIE!$F$5)+1/(SAISIE!$F$5:$F$204&lt;&gt;"")/(COUNTIF($F$4:F136,SAISIE!$F$5:$F$204)=0),1)),"")</f>
        <v/>
      </c>
      <c r="I137" s="5">
        <f>IF($M$137="","","Noeud "&amp;$M$137)</f>
        <v/>
      </c>
      <c r="J137" s="5" t="n"/>
      <c r="K137" s="5" t="n"/>
      <c r="L137" s="5" t="n"/>
      <c r="M137">
        <f>IFERROR(INDEX(SAISIE!$M$5:$M$204,AGGREGATE(15,6,ROW(SAISIE!$M$5:$M$204)-ROW(SAISIE!$M$5)+1/(SAISIE!$M$5:$M$204&lt;&gt;"")/(COUNTIF($M$4:M136,SAISIE!$M$5:$M$204)=0),1)),"")</f>
        <v/>
      </c>
    </row>
    <row r="138">
      <c r="A138" s="6">
        <f>IF(OR($F$137="",NOT(TRUE)),"","Couverture")</f>
        <v/>
      </c>
      <c r="B138" s="7">
        <f>IF($F$137="","",IFERROR(IFERROR(LOOKUP(2,1/((SAISIE!$F$5:$F$204=$F$137)*(LEFT(SAISIE!$B$5:$B$204,2)="G ")),SAISIE!$C$5:$C$204),LOOKUP(2,1/((SAISIE!$F$5:$F$204=$F$137)*(ISNUMBER(SEARCH("Couverture",SAISIE!$B$5:$B$204)))),SAISIE!$C$5:$C$204)),"-"))</f>
        <v/>
      </c>
      <c r="C138" s="7">
        <f>IF($F$137="","",IFERROR(IFERROR(LOOKUP(2,1/((SAISIE!$F$5:$F$204=$F$137)*(LEFT(SAISIE!$B$5:$B$204,2)="G ")),SAISIE!$D$5:$D$204),LOOKUP(2,1/((SAISIE!$F$5:$F$204=$F$137)*(ISNUMBER(SEARCH("Couverture",SAISIE!$B$5:$B$204)))),SAISIE!$D$5:$D$204)),"-"))</f>
        <v/>
      </c>
      <c r="D138" s="7">
        <f>IF($F$137="","",IFERROR(IFERROR(LOOKUP(2,1/((SAISIE!$F$5:$F$204=$F$137)*(LEFT(SAISIE!$B$5:$B$204,2)="G ")),SAISIE!$E$5:$E$204),LOOKUP(2,1/((SAISIE!$F$5:$F$204=$F$137)*(ISNUMBER(SEARCH("Couverture",SAISIE!$B$5:$B$204)))),SAISIE!$E$5:$E$204)),"-"))</f>
        <v/>
      </c>
      <c r="E138" s="7">
        <f>IF($F$137="","",IF(OR(D138="",D138="-"),"",IF(D138&gt;0,"(soulevement)",IF(D138&lt;0,"(compression)","-"))))</f>
        <v/>
      </c>
      <c r="I138" s="6">
        <f>IF(OR($M$137="",NOT(TRUE)),"","Couverture")</f>
        <v/>
      </c>
      <c r="J138" s="7">
        <f>IF($M$137="","",IFERROR(IFERROR(LOOKUP(2,1/((SAISIE!$M$5:$M$204=$M$137)*(LEFT(SAISIE!$J$5:$J$204,2)="G ")),SAISIE!$K$5:$K$204),LOOKUP(2,1/((SAISIE!$M$5:$M$204=$M$137)*(ISNUMBER(SEARCH("Couverture",SAISIE!$J$5:$J$204)))),SAISIE!$K$5:$K$204)),"-"))</f>
        <v/>
      </c>
      <c r="K138" s="7">
        <f>IF($M$137="","",IFERROR(IFERROR(LOOKUP(2,1/((SAISIE!$M$5:$M$204=$M$137)*(LEFT(SAISIE!$J$5:$J$204,2)="G ")),SAISIE!$L$5:$L$204),LOOKUP(2,1/((SAISIE!$M$5:$M$204=$M$137)*(ISNUMBER(SEARCH("Couverture",SAISIE!$J$5:$J$204)))),SAISIE!$L$5:$L$204)),"-"))</f>
        <v/>
      </c>
      <c r="L138" s="7">
        <f>IF($M$137="","",IF(OR(K138="",K138="-"),"",IF(K138&gt;0,"(soulevement)",IF(K138&lt;0,"(compression)","-"))))</f>
        <v/>
      </c>
    </row>
    <row r="139">
      <c r="A139" s="6">
        <f>IF(OR($F$137="",NOT(COUNTIFS(SAISIE!$B$5:$B$204,"*Vent G/D*",SAISIE!$F$5:$F$204,$F$137)&gt;0)),"","Vent G/D")</f>
        <v/>
      </c>
      <c r="B139" s="7">
        <f>IF(OR($F$137="",NOT(COUNTIFS(SAISIE!$B$5:$B$204,"*Vent G/D*",SAISIE!$F$5:$F$204,$F$137)&gt;0)),"",IFERROR(IF(MINIFS(SAISIE!$E$5:$E$204,SAISIE!$B$5:$B$204,"*Vent G/D*",SAISIE!$F$5:$F$204,$F$137)&gt;=0,MAXIFS(SAISIE!$C$5:$C$204,SAISIE!$B$5:$B$204,"*Vent G/D*",SAISIE!$F$5:$F$204,$F$137),INDEX(SAISIE!$C$5:$C$204,MATCH(MINIFS(SAISIE!$E$5:$E$204,SAISIE!$B$5:$B$204,"*Vent G/D*",SAISIE!$F$5:$F$204,$F$137),SAISIE!$E$5:$E$204,0))),"-"))</f>
        <v/>
      </c>
      <c r="C139" s="7">
        <f>IF(OR($F$137="",NOT(COUNTIFS(SAISIE!$B$5:$B$204,"*Vent G/D*",SAISIE!$F$5:$F$204,$F$137)&gt;0)),"",IFERROR(IF(MINIFS(SAISIE!$E$5:$E$204,SAISIE!$B$5:$B$204,"*Vent G/D*",SAISIE!$F$5:$F$204,$F$137)&gt;=0,INDEX(SAISIE!$D$5:$D$204,MATCH(MAXIFS(SAISIE!$C$5:$C$204,SAISIE!$B$5:$B$204,"*Vent G/D*",SAISIE!$F$5:$F$204,$F$137),SAISIE!$C$5:$C$204,0)),INDEX(SAISIE!$D$5:$D$204,MATCH(MINIFS(SAISIE!$E$5:$E$204,SAISIE!$B$5:$B$204,"*Vent G/D*",SAISIE!$F$5:$F$204,$F$137),SAISIE!$E$5:$E$204,0))),"-"))</f>
        <v/>
      </c>
      <c r="D139" s="7">
        <f>IF(OR($F$137="",NOT(COUNTIFS(SAISIE!$B$5:$B$204,"*Vent G/D*",SAISIE!$F$5:$F$204,$F$137)&gt;0)),"",IFERROR(IF(MINIFS(SAISIE!$E$5:$E$204,SAISIE!$B$5:$B$204,"*Vent G/D*",SAISIE!$F$5:$F$204,$F$137)&gt;=0,0,MINIFS(SAISIE!$E$5:$E$204,SAISIE!$B$5:$B$204,"*Vent G/D*",SAISIE!$F$5:$F$204,$F$137)),"-"))</f>
        <v/>
      </c>
      <c r="E139" s="7">
        <f>IF($F$137="","",IF(OR(D139="",D139="-"),"",IF(D139&gt;0,"(soulevement)",IF(D139&lt;0,"(compression)","-"))))</f>
        <v/>
      </c>
      <c r="I139" s="6">
        <f>IF(OR($M$137="",NOT(COUNTIFS(SAISIE!$J$5:$J$204,"*Vent G/D*",SAISIE!$M$5:$M$204,$M$137)&gt;0)),"","Vent G/D")</f>
        <v/>
      </c>
      <c r="J139" s="7">
        <f>IF(OR($M$137="",NOT(COUNTIFS(SAISIE!$J$5:$J$204,"*Vent G/D*",SAISIE!$M$5:$M$204,$M$137)&gt;0)),"",IFERROR(IF(MINIFS(SAISIE!$L$5:$L$204,SAISIE!$J$5:$J$204,"*Vent G/D*",SAISIE!$M$5:$M$204,$M$137)&gt;=0,MAXIFS(SAISIE!$K$5:$K$204,SAISIE!$J$5:$J$204,"*Vent G/D*",SAISIE!$M$5:$M$204,$M$137),INDEX(SAISIE!$K$5:$K$204,MATCH(MINIFS(SAISIE!$L$5:$L$204,SAISIE!$J$5:$J$204,"*Vent G/D*",SAISIE!$M$5:$M$204,$M$137),SAISIE!$L$5:$L$204,0))),"-"))</f>
        <v/>
      </c>
      <c r="K139" s="7">
        <f>IF(OR($M$137="",NOT(COUNTIFS(SAISIE!$J$5:$J$204,"*Vent G/D*",SAISIE!$M$5:$M$204,$M$137)&gt;0)),"",IFERROR(IF(MINIFS(SAISIE!$L$5:$L$204,SAISIE!$J$5:$J$204,"*Vent G/D*",SAISIE!$M$5:$M$204,$M$137)&gt;=0,0,MINIFS(SAISIE!$L$5:$L$204,SAISIE!$J$5:$J$204,"*Vent G/D*",SAISIE!$M$5:$M$204,$M$137)),"-"))</f>
        <v/>
      </c>
      <c r="L139" s="7">
        <f>IF($M$137="","",IF(OR(K139="",K139="-"),"",IF(K139&gt;0,"(soulevement)",IF(K139&lt;0,"(compression)","-"))))</f>
        <v/>
      </c>
    </row>
    <row r="140">
      <c r="A140" s="6">
        <f>IF(OR($F$137="",NOT(MAXIFS(SAISIE!$E$5:$E$204,SAISIE!$B$5:$B$204,"*Vent G/D*",SAISIE!$F$5:$F$204,$F$137)&gt;0)),"","Vent G/D")</f>
        <v/>
      </c>
      <c r="B140" s="7">
        <f>IF(OR($F$137="",NOT(MAXIFS(SAISIE!$E$5:$E$204,SAISIE!$B$5:$B$204,"*Vent G/D*",SAISIE!$F$5:$F$204,$F$137)&gt;0)),"",IFERROR(INDEX(SAISIE!$C$5:$C$204,MATCH(MAXIFS(SAISIE!$E$5:$E$204,SAISIE!$B$5:$B$204,"*Vent G/D*",SAISIE!$F$5:$F$204,$F$137),SAISIE!$E$5:$E$204,0)),"-"))</f>
        <v/>
      </c>
      <c r="C140" s="7">
        <f>IF(OR($F$137="",NOT(MAXIFS(SAISIE!$E$5:$E$204,SAISIE!$B$5:$B$204,"*Vent G/D*",SAISIE!$F$5:$F$204,$F$137)&gt;0)),"",IFERROR(INDEX(SAISIE!$D$5:$D$204,MATCH(MAXIFS(SAISIE!$E$5:$E$204,SAISIE!$B$5:$B$204,"*Vent G/D*",SAISIE!$F$5:$F$204,$F$137),SAISIE!$E$5:$E$204,0)),"-"))</f>
        <v/>
      </c>
      <c r="D140" s="7">
        <f>IF(OR($F$137="",NOT(MAXIFS(SAISIE!$E$5:$E$204,SAISIE!$B$5:$B$204,"*Vent G/D*",SAISIE!$F$5:$F$204,$F$137)&gt;0)),"",IFERROR(MAXIFS(SAISIE!$E$5:$E$204,SAISIE!$B$5:$B$204,"*Vent G/D*",SAISIE!$F$5:$F$204,$F$137),"-"))</f>
        <v/>
      </c>
      <c r="E140" s="7">
        <f>IF($F$137="","",IF(OR(D140="",D140="-"),"",IF(D140&gt;0,"(soulevement)",IF(D140&lt;0,"(compression)","-"))))</f>
        <v/>
      </c>
      <c r="I140" s="6">
        <f>IF(OR($M$137="",NOT(MAXIFS(SAISIE!$L$5:$L$204,SAISIE!$J$5:$J$204,"*Vent G/D*",SAISIE!$M$5:$M$204,$M$137)&gt;0)),"","Vent G/D")</f>
        <v/>
      </c>
      <c r="J140" s="7">
        <f>IF(OR($M$137="",NOT(MAXIFS(SAISIE!$L$5:$L$204,SAISIE!$J$5:$J$204,"*Vent G/D*",SAISIE!$M$5:$M$204,$M$137)&gt;0)),"",IFERROR(INDEX(SAISIE!$K$5:$K$204,MATCH(MAXIFS(SAISIE!$L$5:$L$204,SAISIE!$J$5:$J$204,"*Vent G/D*",SAISIE!$M$5:$M$204,$M$137),SAISIE!$L$5:$L$204,0)),"-"))</f>
        <v/>
      </c>
      <c r="K140" s="7">
        <f>IF(OR($M$137="",NOT(MAXIFS(SAISIE!$L$5:$L$204,SAISIE!$J$5:$J$204,"*Vent G/D*",SAISIE!$M$5:$M$204,$M$137)&gt;0)),"",IFERROR(MAXIFS(SAISIE!$L$5:$L$204,SAISIE!$J$5:$J$204,"*Vent G/D*",SAISIE!$M$5:$M$204,$M$137),"-"))</f>
        <v/>
      </c>
      <c r="L140" s="7">
        <f>IF($M$137="","",IF(OR(K140="",K140="-"),"",IF(K140&gt;0,"(soulevement)",IF(K140&lt;0,"(compression)","-"))))</f>
        <v/>
      </c>
    </row>
    <row r="141">
      <c r="A141" s="6">
        <f>IF(OR($F$137="",NOT(COUNTIFS(SAISIE!$B$5:$B$204,"*Vent D/G*",SAISIE!$F$5:$F$204,$F$137)&gt;0)),"","Vent D/G")</f>
        <v/>
      </c>
      <c r="B141" s="7">
        <f>IF(OR($F$137="",NOT(COUNTIFS(SAISIE!$B$5:$B$204,"*Vent D/G*",SAISIE!$F$5:$F$204,$F$137)&gt;0)),"",IFERROR(IF(MINIFS(SAISIE!$E$5:$E$204,SAISIE!$B$5:$B$204,"*Vent D/G*",SAISIE!$F$5:$F$204,$F$137)&gt;=0,MAXIFS(SAISIE!$C$5:$C$204,SAISIE!$B$5:$B$204,"*Vent D/G*",SAISIE!$F$5:$F$204,$F$137),INDEX(SAISIE!$C$5:$C$204,MATCH(MINIFS(SAISIE!$E$5:$E$204,SAISIE!$B$5:$B$204,"*Vent D/G*",SAISIE!$F$5:$F$204,$F$137),SAISIE!$E$5:$E$204,0))),"-"))</f>
        <v/>
      </c>
      <c r="C141" s="7">
        <f>IF(OR($F$137="",NOT(COUNTIFS(SAISIE!$B$5:$B$204,"*Vent D/G*",SAISIE!$F$5:$F$204,$F$137)&gt;0)),"",IFERROR(IF(MINIFS(SAISIE!$E$5:$E$204,SAISIE!$B$5:$B$204,"*Vent D/G*",SAISIE!$F$5:$F$204,$F$137)&gt;=0,INDEX(SAISIE!$D$5:$D$204,MATCH(MAXIFS(SAISIE!$C$5:$C$204,SAISIE!$B$5:$B$204,"*Vent D/G*",SAISIE!$F$5:$F$204,$F$137),SAISIE!$C$5:$C$204,0)),INDEX(SAISIE!$D$5:$D$204,MATCH(MINIFS(SAISIE!$E$5:$E$204,SAISIE!$B$5:$B$204,"*Vent D/G*",SAISIE!$F$5:$F$204,$F$137),SAISIE!$E$5:$E$204,0))),"-"))</f>
        <v/>
      </c>
      <c r="D141" s="7">
        <f>IF(OR($F$137="",NOT(COUNTIFS(SAISIE!$B$5:$B$204,"*Vent D/G*",SAISIE!$F$5:$F$204,$F$137)&gt;0)),"",IFERROR(IF(MINIFS(SAISIE!$E$5:$E$204,SAISIE!$B$5:$B$204,"*Vent D/G*",SAISIE!$F$5:$F$204,$F$137)&gt;=0,0,MINIFS(SAISIE!$E$5:$E$204,SAISIE!$B$5:$B$204,"*Vent D/G*",SAISIE!$F$5:$F$204,$F$137)),"-"))</f>
        <v/>
      </c>
      <c r="E141" s="7">
        <f>IF($F$137="","",IF(OR(D141="",D141="-"),"",IF(D141&gt;0,"(soulevement)",IF(D141&lt;0,"(compression)","-"))))</f>
        <v/>
      </c>
      <c r="I141" s="6">
        <f>IF(OR($M$137="",NOT(COUNTIFS(SAISIE!$J$5:$J$204,"*Vent D/G*",SAISIE!$M$5:$M$204,$M$137)&gt;0)),"","Vent D/G")</f>
        <v/>
      </c>
      <c r="J141" s="7">
        <f>IF(OR($M$137="",NOT(COUNTIFS(SAISIE!$J$5:$J$204,"*Vent D/G*",SAISIE!$M$5:$M$204,$M$137)&gt;0)),"",IFERROR(IF(MINIFS(SAISIE!$L$5:$L$204,SAISIE!$J$5:$J$204,"*Vent D/G*",SAISIE!$M$5:$M$204,$M$137)&gt;=0,MAXIFS(SAISIE!$K$5:$K$204,SAISIE!$J$5:$J$204,"*Vent D/G*",SAISIE!$M$5:$M$204,$M$137),INDEX(SAISIE!$K$5:$K$204,MATCH(MINIFS(SAISIE!$L$5:$L$204,SAISIE!$J$5:$J$204,"*Vent D/G*",SAISIE!$M$5:$M$204,$M$137),SAISIE!$L$5:$L$204,0))),"-"))</f>
        <v/>
      </c>
      <c r="K141" s="7">
        <f>IF(OR($M$137="",NOT(COUNTIFS(SAISIE!$J$5:$J$204,"*Vent D/G*",SAISIE!$M$5:$M$204,$M$137)&gt;0)),"",IFERROR(IF(MINIFS(SAISIE!$L$5:$L$204,SAISIE!$J$5:$J$204,"*Vent D/G*",SAISIE!$M$5:$M$204,$M$137)&gt;=0,0,MINIFS(SAISIE!$L$5:$L$204,SAISIE!$J$5:$J$204,"*Vent D/G*",SAISIE!$M$5:$M$204,$M$137)),"-"))</f>
        <v/>
      </c>
      <c r="L141" s="7">
        <f>IF($M$137="","",IF(OR(K141="",K141="-"),"",IF(K141&gt;0,"(soulevement)",IF(K141&lt;0,"(compression)","-"))))</f>
        <v/>
      </c>
    </row>
    <row r="142">
      <c r="A142" s="6">
        <f>IF(OR($F$137="",NOT(MAXIFS(SAISIE!$E$5:$E$204,SAISIE!$B$5:$B$204,"*Vent D/G*",SAISIE!$F$5:$F$204,$F$137)&gt;0)),"","Vent D/G")</f>
        <v/>
      </c>
      <c r="B142" s="7">
        <f>IF(OR($F$137="",NOT(MAXIFS(SAISIE!$E$5:$E$204,SAISIE!$B$5:$B$204,"*Vent D/G*",SAISIE!$F$5:$F$204,$F$137)&gt;0)),"",IFERROR(INDEX(SAISIE!$C$5:$C$204,MATCH(MAXIFS(SAISIE!$E$5:$E$204,SAISIE!$B$5:$B$204,"*Vent D/G*",SAISIE!$F$5:$F$204,$F$137),SAISIE!$E$5:$E$204,0)),"-"))</f>
        <v/>
      </c>
      <c r="C142" s="7">
        <f>IF(OR($F$137="",NOT(MAXIFS(SAISIE!$E$5:$E$204,SAISIE!$B$5:$B$204,"*Vent D/G*",SAISIE!$F$5:$F$204,$F$137)&gt;0)),"",IFERROR(INDEX(SAISIE!$D$5:$D$204,MATCH(MAXIFS(SAISIE!$E$5:$E$204,SAISIE!$B$5:$B$204,"*Vent D/G*",SAISIE!$F$5:$F$204,$F$137),SAISIE!$E$5:$E$204,0)),"-"))</f>
        <v/>
      </c>
      <c r="D142" s="7">
        <f>IF(OR($F$137="",NOT(MAXIFS(SAISIE!$E$5:$E$204,SAISIE!$B$5:$B$204,"*Vent D/G*",SAISIE!$F$5:$F$204,$F$137)&gt;0)),"",IFERROR(MAXIFS(SAISIE!$E$5:$E$204,SAISIE!$B$5:$B$204,"*Vent D/G*",SAISIE!$F$5:$F$204,$F$137),"-"))</f>
        <v/>
      </c>
      <c r="E142" s="7">
        <f>IF($F$137="","",IF(OR(D142="",D142="-"),"",IF(D142&gt;0,"(soulevement)",IF(D142&lt;0,"(compression)","-"))))</f>
        <v/>
      </c>
      <c r="I142" s="6">
        <f>IF(OR($M$137="",NOT(MAXIFS(SAISIE!$L$5:$L$204,SAISIE!$J$5:$J$204,"*Vent D/G*",SAISIE!$M$5:$M$204,$M$137)&gt;0)),"","Vent D/G")</f>
        <v/>
      </c>
      <c r="J142" s="7">
        <f>IF(OR($M$137="",NOT(MAXIFS(SAISIE!$L$5:$L$204,SAISIE!$J$5:$J$204,"*Vent D/G*",SAISIE!$M$5:$M$204,$M$137)&gt;0)),"",IFERROR(INDEX(SAISIE!$K$5:$K$204,MATCH(MAXIFS(SAISIE!$L$5:$L$204,SAISIE!$J$5:$J$204,"*Vent D/G*",SAISIE!$M$5:$M$204,$M$137),SAISIE!$L$5:$L$204,0)),"-"))</f>
        <v/>
      </c>
      <c r="K142" s="7">
        <f>IF(OR($M$137="",NOT(MAXIFS(SAISIE!$L$5:$L$204,SAISIE!$J$5:$J$204,"*Vent D/G*",SAISIE!$M$5:$M$204,$M$137)&gt;0)),"",IFERROR(MAXIFS(SAISIE!$L$5:$L$204,SAISIE!$J$5:$J$204,"*Vent D/G*",SAISIE!$M$5:$M$204,$M$137),"-"))</f>
        <v/>
      </c>
      <c r="L142" s="7">
        <f>IF($M$137="","",IF(OR(K142="",K142="-"),"",IF(K142&gt;0,"(soulevement)",IF(K142&lt;0,"(compression)","-"))))</f>
        <v/>
      </c>
    </row>
    <row r="143">
      <c r="A143" s="6">
        <f>IF(OR($F$137="",NOT(COUNTIFS(SAISIE!$B$5:$B$204,"*Vent Av./Arr.*",SAISIE!$F$5:$F$204,$F$137)&gt;0)),"","Vent Av./Arr.")</f>
        <v/>
      </c>
      <c r="B143" s="7">
        <f>IF(OR($F$137="",NOT(COUNTIFS(SAISIE!$B$5:$B$204,"*Vent Av./Arr.*",SAISIE!$F$5:$F$204,$F$137)&gt;0)),"",IFERROR(IF(MINIFS(SAISIE!$E$5:$E$204,SAISIE!$B$5:$B$204,"*Vent Av./Arr.*",SAISIE!$F$5:$F$204,$F$137)&gt;=0,MAXIFS(SAISIE!$C$5:$C$204,SAISIE!$B$5:$B$204,"*Vent Av./Arr.*",SAISIE!$F$5:$F$204,$F$137),INDEX(SAISIE!$C$5:$C$204,MATCH(MINIFS(SAISIE!$E$5:$E$204,SAISIE!$B$5:$B$204,"*Vent Av./Arr.*",SAISIE!$F$5:$F$204,$F$137),SAISIE!$E$5:$E$204,0))),"-"))</f>
        <v/>
      </c>
      <c r="C143" s="7">
        <f>IF(OR($F$137="",NOT(COUNTIFS(SAISIE!$B$5:$B$204,"*Vent Av./Arr.*",SAISIE!$F$5:$F$204,$F$137)&gt;0)),"",IFERROR(IF(MINIFS(SAISIE!$E$5:$E$204,SAISIE!$B$5:$B$204,"*Vent Av./Arr.*",SAISIE!$F$5:$F$204,$F$137)&gt;=0,INDEX(SAISIE!$D$5:$D$204,MATCH(MAXIFS(SAISIE!$C$5:$C$204,SAISIE!$B$5:$B$204,"*Vent Av./Arr.*",SAISIE!$F$5:$F$204,$F$137),SAISIE!$C$5:$C$204,0)),INDEX(SAISIE!$D$5:$D$204,MATCH(MINIFS(SAISIE!$E$5:$E$204,SAISIE!$B$5:$B$204,"*Vent Av./Arr.*",SAISIE!$F$5:$F$204,$F$137),SAISIE!$E$5:$E$204,0))),"-"))</f>
        <v/>
      </c>
      <c r="D143" s="7">
        <f>IF(OR($F$137="",NOT(COUNTIFS(SAISIE!$B$5:$B$204,"*Vent Av./Arr.*",SAISIE!$F$5:$F$204,$F$137)&gt;0)),"",IFERROR(IF(MINIFS(SAISIE!$E$5:$E$204,SAISIE!$B$5:$B$204,"*Vent Av./Arr.*",SAISIE!$F$5:$F$204,$F$137)&gt;=0,0,MINIFS(SAISIE!$E$5:$E$204,SAISIE!$B$5:$B$204,"*Vent Av./Arr.*",SAISIE!$F$5:$F$204,$F$137)),"-"))</f>
        <v/>
      </c>
      <c r="E143" s="7">
        <f>IF($F$137="","",IF(OR(D143="",D143="-"),"",IF(D143&gt;0,"(soulevement)",IF(D143&lt;0,"(compression)","-"))))</f>
        <v/>
      </c>
      <c r="I143" s="6">
        <f>IF(OR($M$137="",NOT(COUNTIFS(SAISIE!$J$5:$J$204,"*Vent Av./Arr.*",SAISIE!$M$5:$M$204,$M$137)&gt;0)),"","Vent Av./Arr.")</f>
        <v/>
      </c>
      <c r="J143" s="7">
        <f>IF(OR($M$137="",NOT(COUNTIFS(SAISIE!$J$5:$J$204,"*Vent Av./Arr.*",SAISIE!$M$5:$M$204,$M$137)&gt;0)),"",IFERROR(IF(MINIFS(SAISIE!$L$5:$L$204,SAISIE!$J$5:$J$204,"*Vent Av./Arr.*",SAISIE!$M$5:$M$204,$M$137)&gt;=0,MAXIFS(SAISIE!$K$5:$K$204,SAISIE!$J$5:$J$204,"*Vent Av./Arr.*",SAISIE!$M$5:$M$204,$M$137),INDEX(SAISIE!$K$5:$K$204,MATCH(MINIFS(SAISIE!$L$5:$L$204,SAISIE!$J$5:$J$204,"*Vent Av./Arr.*",SAISIE!$M$5:$M$204,$M$137),SAISIE!$L$5:$L$204,0))),"-"))</f>
        <v/>
      </c>
      <c r="K143" s="7">
        <f>IF(OR($M$137="",NOT(COUNTIFS(SAISIE!$J$5:$J$204,"*Vent Av./Arr.*",SAISIE!$M$5:$M$204,$M$137)&gt;0)),"",IFERROR(IF(MINIFS(SAISIE!$L$5:$L$204,SAISIE!$J$5:$J$204,"*Vent Av./Arr.*",SAISIE!$M$5:$M$204,$M$137)&gt;=0,0,MINIFS(SAISIE!$L$5:$L$204,SAISIE!$J$5:$J$204,"*Vent Av./Arr.*",SAISIE!$M$5:$M$204,$M$137)),"-"))</f>
        <v/>
      </c>
      <c r="L143" s="7">
        <f>IF($M$137="","",IF(OR(K143="",K143="-"),"",IF(K143&gt;0,"(soulevement)",IF(K143&lt;0,"(compression)","-"))))</f>
        <v/>
      </c>
    </row>
    <row r="144">
      <c r="A144" s="6">
        <f>IF(OR($F$137="",NOT(MAXIFS(SAISIE!$E$5:$E$204,SAISIE!$B$5:$B$204,"*Vent Av./Arr.*",SAISIE!$F$5:$F$204,$F$137)&gt;0)),"","Vent Av./Arr.")</f>
        <v/>
      </c>
      <c r="B144" s="7">
        <f>IF(OR($F$137="",NOT(MAXIFS(SAISIE!$E$5:$E$204,SAISIE!$B$5:$B$204,"*Vent Av./Arr.*",SAISIE!$F$5:$F$204,$F$137)&gt;0)),"",IFERROR(INDEX(SAISIE!$C$5:$C$204,MATCH(MAXIFS(SAISIE!$E$5:$E$204,SAISIE!$B$5:$B$204,"*Vent Av./Arr.*",SAISIE!$F$5:$F$204,$F$137),SAISIE!$E$5:$E$204,0)),"-"))</f>
        <v/>
      </c>
      <c r="C144" s="7">
        <f>IF(OR($F$137="",NOT(MAXIFS(SAISIE!$E$5:$E$204,SAISIE!$B$5:$B$204,"*Vent Av./Arr.*",SAISIE!$F$5:$F$204,$F$137)&gt;0)),"",IFERROR(INDEX(SAISIE!$D$5:$D$204,MATCH(MAXIFS(SAISIE!$E$5:$E$204,SAISIE!$B$5:$B$204,"*Vent Av./Arr.*",SAISIE!$F$5:$F$204,$F$137),SAISIE!$E$5:$E$204,0)),"-"))</f>
        <v/>
      </c>
      <c r="D144" s="7">
        <f>IF(OR($F$137="",NOT(MAXIFS(SAISIE!$E$5:$E$204,SAISIE!$B$5:$B$204,"*Vent Av./Arr.*",SAISIE!$F$5:$F$204,$F$137)&gt;0)),"",IFERROR(MAXIFS(SAISIE!$E$5:$E$204,SAISIE!$B$5:$B$204,"*Vent Av./Arr.*",SAISIE!$F$5:$F$204,$F$137),"-"))</f>
        <v/>
      </c>
      <c r="E144" s="7">
        <f>IF($F$137="","",IF(OR(D144="",D144="-"),"",IF(D144&gt;0,"(soulevement)",IF(D144&lt;0,"(compression)","-"))))</f>
        <v/>
      </c>
      <c r="I144" s="6">
        <f>IF(OR($M$137="",NOT(MAXIFS(SAISIE!$L$5:$L$204,SAISIE!$J$5:$J$204,"*Vent Av./Arr.*",SAISIE!$M$5:$M$204,$M$137)&gt;0)),"","Vent Av./Arr.")</f>
        <v/>
      </c>
      <c r="J144" s="7">
        <f>IF(OR($M$137="",NOT(MAXIFS(SAISIE!$L$5:$L$204,SAISIE!$J$5:$J$204,"*Vent Av./Arr.*",SAISIE!$M$5:$M$204,$M$137)&gt;0)),"",IFERROR(INDEX(SAISIE!$K$5:$K$204,MATCH(MAXIFS(SAISIE!$L$5:$L$204,SAISIE!$J$5:$J$204,"*Vent Av./Arr.*",SAISIE!$M$5:$M$204,$M$137),SAISIE!$L$5:$L$204,0)),"-"))</f>
        <v/>
      </c>
      <c r="K144" s="7">
        <f>IF(OR($M$137="",NOT(MAXIFS(SAISIE!$L$5:$L$204,SAISIE!$J$5:$J$204,"*Vent Av./Arr.*",SAISIE!$M$5:$M$204,$M$137)&gt;0)),"",IFERROR(MAXIFS(SAISIE!$L$5:$L$204,SAISIE!$J$5:$J$204,"*Vent Av./Arr.*",SAISIE!$M$5:$M$204,$M$137),"-"))</f>
        <v/>
      </c>
      <c r="L144" s="7">
        <f>IF($M$137="","",IF(OR(K144="",K144="-"),"",IF(K144&gt;0,"(soulevement)",IF(K144&lt;0,"(compression)","-"))))</f>
        <v/>
      </c>
    </row>
    <row r="145">
      <c r="A145" s="6">
        <f>IF(OR($F$137="",NOT(COUNTIFS(SAISIE!$B$5:$B$204,"*Vent Arr./Av.*",SAISIE!$F$5:$F$204,$F$137)&gt;0)),"","Vent Arr./Av.")</f>
        <v/>
      </c>
      <c r="B145" s="7">
        <f>IF(OR($F$137="",NOT(COUNTIFS(SAISIE!$B$5:$B$204,"*Vent Arr./Av.*",SAISIE!$F$5:$F$204,$F$137)&gt;0)),"",IFERROR(IF(MINIFS(SAISIE!$E$5:$E$204,SAISIE!$B$5:$B$204,"*Vent Arr./Av.*",SAISIE!$F$5:$F$204,$F$137)&gt;=0,MAXIFS(SAISIE!$C$5:$C$204,SAISIE!$B$5:$B$204,"*Vent Arr./Av.*",SAISIE!$F$5:$F$204,$F$137),INDEX(SAISIE!$C$5:$C$204,MATCH(MINIFS(SAISIE!$E$5:$E$204,SAISIE!$B$5:$B$204,"*Vent Arr./Av.*",SAISIE!$F$5:$F$204,$F$137),SAISIE!$E$5:$E$204,0))),"-"))</f>
        <v/>
      </c>
      <c r="C145" s="7">
        <f>IF(OR($F$137="",NOT(COUNTIFS(SAISIE!$B$5:$B$204,"*Vent Arr./Av.*",SAISIE!$F$5:$F$204,$F$137)&gt;0)),"",IFERROR(IF(MINIFS(SAISIE!$E$5:$E$204,SAISIE!$B$5:$B$204,"*Vent Arr./Av.*",SAISIE!$F$5:$F$204,$F$137)&gt;=0,INDEX(SAISIE!$D$5:$D$204,MATCH(MAXIFS(SAISIE!$C$5:$C$204,SAISIE!$B$5:$B$204,"*Vent Arr./Av.*",SAISIE!$F$5:$F$204,$F$137),SAISIE!$C$5:$C$204,0)),INDEX(SAISIE!$D$5:$D$204,MATCH(MINIFS(SAISIE!$E$5:$E$204,SAISIE!$B$5:$B$204,"*Vent Arr./Av.*",SAISIE!$F$5:$F$204,$F$137),SAISIE!$E$5:$E$204,0))),"-"))</f>
        <v/>
      </c>
      <c r="D145" s="7">
        <f>IF(OR($F$137="",NOT(COUNTIFS(SAISIE!$B$5:$B$204,"*Vent Arr./Av.*",SAISIE!$F$5:$F$204,$F$137)&gt;0)),"",IFERROR(IF(MINIFS(SAISIE!$E$5:$E$204,SAISIE!$B$5:$B$204,"*Vent Arr./Av.*",SAISIE!$F$5:$F$204,$F$137)&gt;=0,0,MINIFS(SAISIE!$E$5:$E$204,SAISIE!$B$5:$B$204,"*Vent Arr./Av.*",SAISIE!$F$5:$F$204,$F$137)),"-"))</f>
        <v/>
      </c>
      <c r="E145" s="7">
        <f>IF($F$137="","",IF(OR(D145="",D145="-"),"",IF(D145&gt;0,"(soulevement)",IF(D145&lt;0,"(compression)","-"))))</f>
        <v/>
      </c>
      <c r="I145" s="6">
        <f>IF(OR($M$137="",NOT(COUNTIFS(SAISIE!$J$5:$J$204,"*Vent Arr./Av.*",SAISIE!$M$5:$M$204,$M$137)&gt;0)),"","Vent Arr./Av.")</f>
        <v/>
      </c>
      <c r="J145" s="7">
        <f>IF(OR($M$137="",NOT(COUNTIFS(SAISIE!$J$5:$J$204,"*Vent Arr./Av.*",SAISIE!$M$5:$M$204,$M$137)&gt;0)),"",IFERROR(IF(MINIFS(SAISIE!$L$5:$L$204,SAISIE!$J$5:$J$204,"*Vent Arr./Av.*",SAISIE!$M$5:$M$204,$M$137)&gt;=0,MAXIFS(SAISIE!$K$5:$K$204,SAISIE!$J$5:$J$204,"*Vent Arr./Av.*",SAISIE!$M$5:$M$204,$M$137),INDEX(SAISIE!$K$5:$K$204,MATCH(MINIFS(SAISIE!$L$5:$L$204,SAISIE!$J$5:$J$204,"*Vent Arr./Av.*",SAISIE!$M$5:$M$204,$M$137),SAISIE!$L$5:$L$204,0))),"-"))</f>
        <v/>
      </c>
      <c r="K145" s="7">
        <f>IF(OR($M$137="",NOT(COUNTIFS(SAISIE!$J$5:$J$204,"*Vent Arr./Av.*",SAISIE!$M$5:$M$204,$M$137)&gt;0)),"",IFERROR(IF(MINIFS(SAISIE!$L$5:$L$204,SAISIE!$J$5:$J$204,"*Vent Arr./Av.*",SAISIE!$M$5:$M$204,$M$137)&gt;=0,0,MINIFS(SAISIE!$L$5:$L$204,SAISIE!$J$5:$J$204,"*Vent Arr./Av.*",SAISIE!$M$5:$M$204,$M$137)),"-"))</f>
        <v/>
      </c>
      <c r="L145" s="7">
        <f>IF($M$137="","",IF(OR(K145="",K145="-"),"",IF(K145&gt;0,"(soulevement)",IF(K145&lt;0,"(compression)","-"))))</f>
        <v/>
      </c>
    </row>
    <row r="146">
      <c r="A146" s="6">
        <f>IF(OR($F$137="",NOT(MAXIFS(SAISIE!$E$5:$E$204,SAISIE!$B$5:$B$204,"*Vent Arr./Av.*",SAISIE!$F$5:$F$204,$F$137)&gt;0)),"","Vent Arr./Av.")</f>
        <v/>
      </c>
      <c r="B146" s="7">
        <f>IF(OR($F$137="",NOT(MAXIFS(SAISIE!$E$5:$E$204,SAISIE!$B$5:$B$204,"*Vent Arr./Av.*",SAISIE!$F$5:$F$204,$F$137)&gt;0)),"",IFERROR(INDEX(SAISIE!$C$5:$C$204,MATCH(MAXIFS(SAISIE!$E$5:$E$204,SAISIE!$B$5:$B$204,"*Vent Arr./Av.*",SAISIE!$F$5:$F$204,$F$137),SAISIE!$E$5:$E$204,0)),"-"))</f>
        <v/>
      </c>
      <c r="C146" s="7">
        <f>IF(OR($F$137="",NOT(MAXIFS(SAISIE!$E$5:$E$204,SAISIE!$B$5:$B$204,"*Vent Arr./Av.*",SAISIE!$F$5:$F$204,$F$137)&gt;0)),"",IFERROR(INDEX(SAISIE!$D$5:$D$204,MATCH(MAXIFS(SAISIE!$E$5:$E$204,SAISIE!$B$5:$B$204,"*Vent Arr./Av.*",SAISIE!$F$5:$F$204,$F$137),SAISIE!$E$5:$E$204,0)),"-"))</f>
        <v/>
      </c>
      <c r="D146" s="7">
        <f>IF(OR($F$137="",NOT(MAXIFS(SAISIE!$E$5:$E$204,SAISIE!$B$5:$B$204,"*Vent Arr./Av.*",SAISIE!$F$5:$F$204,$F$137)&gt;0)),"",IFERROR(MAXIFS(SAISIE!$E$5:$E$204,SAISIE!$B$5:$B$204,"*Vent Arr./Av.*",SAISIE!$F$5:$F$204,$F$137),"-"))</f>
        <v/>
      </c>
      <c r="E146" s="7">
        <f>IF($F$137="","",IF(OR(D146="",D146="-"),"",IF(D146&gt;0,"(soulevement)",IF(D146&lt;0,"(compression)","-"))))</f>
        <v/>
      </c>
      <c r="I146" s="6">
        <f>IF(OR($M$137="",NOT(MAXIFS(SAISIE!$L$5:$L$204,SAISIE!$J$5:$J$204,"*Vent Arr./Av.*",SAISIE!$M$5:$M$204,$M$137)&gt;0)),"","Vent Arr./Av.")</f>
        <v/>
      </c>
      <c r="J146" s="7">
        <f>IF(OR($M$137="",NOT(MAXIFS(SAISIE!$L$5:$L$204,SAISIE!$J$5:$J$204,"*Vent Arr./Av.*",SAISIE!$M$5:$M$204,$M$137)&gt;0)),"",IFERROR(INDEX(SAISIE!$K$5:$K$204,MATCH(MAXIFS(SAISIE!$L$5:$L$204,SAISIE!$J$5:$J$204,"*Vent Arr./Av.*",SAISIE!$M$5:$M$204,$M$137),SAISIE!$L$5:$L$204,0)),"-"))</f>
        <v/>
      </c>
      <c r="K146" s="7">
        <f>IF(OR($M$137="",NOT(MAXIFS(SAISIE!$L$5:$L$204,SAISIE!$J$5:$J$204,"*Vent Arr./Av.*",SAISIE!$M$5:$M$204,$M$137)&gt;0)),"",IFERROR(MAXIFS(SAISIE!$L$5:$L$204,SAISIE!$J$5:$J$204,"*Vent Arr./Av.*",SAISIE!$M$5:$M$204,$M$137),"-"))</f>
        <v/>
      </c>
      <c r="L146" s="7">
        <f>IF($M$137="","",IF(OR(K146="",K146="-"),"",IF(K146&gt;0,"(soulevement)",IF(K146&lt;0,"(compression)","-"))))</f>
        <v/>
      </c>
    </row>
    <row r="147">
      <c r="A147" s="6">
        <f>IF(OR($F$137="",NOT(TRUE)),"","Neige normale")</f>
        <v/>
      </c>
      <c r="B147" s="7">
        <f>IF($F$137="","",IFERROR(INDEX(SAISIE!$C$5:$C$204,MATCH(MINIFS(SAISIE!$E$5:$E$204,SAISIE!$B$5:$B$204,"*Neige*",SAISIE!$B$5:$B$204,"&lt;&gt;*accidentel*",SAISIE!$F$5:$F$204,$F$137),SAISIE!$E$5:$E$204,0)),"-"))</f>
        <v/>
      </c>
      <c r="C147" s="7">
        <f>IF($F$137="","",IFERROR(INDEX(SAISIE!$D$5:$D$204,MATCH(MINIFS(SAISIE!$E$5:$E$204,SAISIE!$B$5:$B$204,"*Neige*",SAISIE!$B$5:$B$204,"&lt;&gt;*accidentel*",SAISIE!$F$5:$F$204,$F$137),SAISIE!$E$5:$E$204,0)),"-"))</f>
        <v/>
      </c>
      <c r="D147" s="7">
        <f>IF($F$137="","",IFERROR(INDEX(SAISIE!$E$5:$E$204,MATCH(MINIFS(SAISIE!$E$5:$E$204,SAISIE!$B$5:$B$204,"*Neige*",SAISIE!$B$5:$B$204,"&lt;&gt;*accidentel*",SAISIE!$F$5:$F$204,$F$137),SAISIE!$E$5:$E$204,0)),"-"))</f>
        <v/>
      </c>
      <c r="E147" s="7">
        <f>IF($F$137="","",IF(OR(D147="",D147="-"),"",IF(D147&gt;0,"(soulevement)",IF(D147&lt;0,"(compression)","-"))))</f>
        <v/>
      </c>
      <c r="I147" s="6">
        <f>IF(OR($M$137="",NOT(TRUE)),"","Neige normale")</f>
        <v/>
      </c>
      <c r="J147" s="7">
        <f>IF($M$137="","",IFERROR(INDEX(SAISIE!$K$5:$K$204,MATCH(MINIFS(SAISIE!$L$5:$L$204,SAISIE!$J$5:$J$204,"*Neige*",SAISIE!$J$5:$J$204,"&lt;&gt;*accidentel*",SAISIE!$M$5:$M$204,$M$137),SAISIE!$L$5:$L$204,0)),"-"))</f>
        <v/>
      </c>
      <c r="K147" s="7">
        <f>IF($M$137="","",IFERROR(INDEX(SAISIE!$L$5:$L$204,MATCH(MINIFS(SAISIE!$L$5:$L$204,SAISIE!$J$5:$J$204,"*Neige*",SAISIE!$J$5:$J$204,"&lt;&gt;*accidentel*",SAISIE!$M$5:$M$204,$M$137),SAISIE!$L$5:$L$204,0)),"-"))</f>
        <v/>
      </c>
      <c r="L147" s="7">
        <f>IF($M$137="","",IF(OR(K147="",K147="-"),"",IF(K147&gt;0,"(soulevement)",IF(K147&lt;0,"(compression)","-"))))</f>
        <v/>
      </c>
    </row>
    <row r="148">
      <c r="A148" s="6">
        <f>IF(OR($F$137="",NOT(TRUE)),"","Neige accidentelle")</f>
        <v/>
      </c>
      <c r="B148" s="7">
        <f>IF($F$137="","",IFERROR(LOOKUP(2,1/((SAISIE!$F$5:$F$204=$F$137)*(ISNUMBER(SEARCH("accidentel",SAISIE!$B$5:$B$204)))),SAISIE!$C$5:$C$204),"-"))</f>
        <v/>
      </c>
      <c r="C148" s="7">
        <f>IF($F$137="","",IFERROR(LOOKUP(2,1/((SAISIE!$F$5:$F$204=$F$137)*(ISNUMBER(SEARCH("accidentel",SAISIE!$B$5:$B$204)))),SAISIE!$D$5:$D$204),"-"))</f>
        <v/>
      </c>
      <c r="D148" s="7">
        <f>IF($F$137="","",IFERROR(LOOKUP(2,1/((SAISIE!$F$5:$F$204=$F$137)*(ISNUMBER(SEARCH("accidentel",SAISIE!$B$5:$B$204)))),SAISIE!$E$5:$E$204),"-"))</f>
        <v/>
      </c>
      <c r="E148" s="7">
        <f>IF($F$137="","",IF(OR(D148="",D148="-"),"",IF(D148&gt;0,"(soulevement)",IF(D148&lt;0,"(compression)","-"))))</f>
        <v/>
      </c>
      <c r="I148" s="6">
        <f>IF(OR($M$137="",NOT(TRUE)),"","Neige accidentelle")</f>
        <v/>
      </c>
      <c r="J148" s="7">
        <f>IF($M$137="","",IFERROR(LOOKUP(2,1/((SAISIE!$M$5:$M$204=$M$137)*(ISNUMBER(SEARCH("accidentel",SAISIE!$J$5:$J$204)))),SAISIE!$K$5:$K$204),"-"))</f>
        <v/>
      </c>
      <c r="K148" s="7">
        <f>IF($M$137="","",IFERROR(LOOKUP(2,1/((SAISIE!$M$5:$M$204=$M$137)*(ISNUMBER(SEARCH("accidentel",SAISIE!$J$5:$J$204)))),SAISIE!$L$5:$L$204),"-"))</f>
        <v/>
      </c>
      <c r="L148" s="7">
        <f>IF($M$137="","",IF(OR(K148="",K148="-"),"",IF(K148&gt;0,"(soulevement)",IF(K148&lt;0,"(compression)","-"))))</f>
        <v/>
      </c>
    </row>
    <row r="149">
      <c r="A149" s="5">
        <f>IF($F$149="","","Noeud "&amp;$F$149)</f>
        <v/>
      </c>
      <c r="B149" s="5" t="n"/>
      <c r="C149" s="5" t="n"/>
      <c r="D149" s="5" t="n"/>
      <c r="E149" s="5" t="n"/>
      <c r="F149">
        <f>IFERROR(INDEX(SAISIE!$F$5:$F$204,AGGREGATE(15,6,ROW(SAISIE!$F$5:$F$204)-ROW(SAISIE!$F$5)+1/(SAISIE!$F$5:$F$204&lt;&gt;"")/(COUNTIF($F$4:F148,SAISIE!$F$5:$F$204)=0),1)),"")</f>
        <v/>
      </c>
      <c r="I149" s="5">
        <f>IF($M$149="","","Noeud "&amp;$M$149)</f>
        <v/>
      </c>
      <c r="J149" s="5" t="n"/>
      <c r="K149" s="5" t="n"/>
      <c r="L149" s="5" t="n"/>
      <c r="M149">
        <f>IFERROR(INDEX(SAISIE!$M$5:$M$204,AGGREGATE(15,6,ROW(SAISIE!$M$5:$M$204)-ROW(SAISIE!$M$5)+1/(SAISIE!$M$5:$M$204&lt;&gt;"")/(COUNTIF($M$4:M148,SAISIE!$M$5:$M$204)=0),1)),"")</f>
        <v/>
      </c>
    </row>
    <row r="150">
      <c r="A150" s="6">
        <f>IF(OR($F$149="",NOT(TRUE)),"","Couverture")</f>
        <v/>
      </c>
      <c r="B150" s="7">
        <f>IF($F$149="","",IFERROR(IFERROR(LOOKUP(2,1/((SAISIE!$F$5:$F$204=$F$149)*(LEFT(SAISIE!$B$5:$B$204,2)="G ")),SAISIE!$C$5:$C$204),LOOKUP(2,1/((SAISIE!$F$5:$F$204=$F$149)*(ISNUMBER(SEARCH("Couverture",SAISIE!$B$5:$B$204)))),SAISIE!$C$5:$C$204)),"-"))</f>
        <v/>
      </c>
      <c r="C150" s="7">
        <f>IF($F$149="","",IFERROR(IFERROR(LOOKUP(2,1/((SAISIE!$F$5:$F$204=$F$149)*(LEFT(SAISIE!$B$5:$B$204,2)="G ")),SAISIE!$D$5:$D$204),LOOKUP(2,1/((SAISIE!$F$5:$F$204=$F$149)*(ISNUMBER(SEARCH("Couverture",SAISIE!$B$5:$B$204)))),SAISIE!$D$5:$D$204)),"-"))</f>
        <v/>
      </c>
      <c r="D150" s="7">
        <f>IF($F$149="","",IFERROR(IFERROR(LOOKUP(2,1/((SAISIE!$F$5:$F$204=$F$149)*(LEFT(SAISIE!$B$5:$B$204,2)="G ")),SAISIE!$E$5:$E$204),LOOKUP(2,1/((SAISIE!$F$5:$F$204=$F$149)*(ISNUMBER(SEARCH("Couverture",SAISIE!$B$5:$B$204)))),SAISIE!$E$5:$E$204)),"-"))</f>
        <v/>
      </c>
      <c r="E150" s="7">
        <f>IF($F$149="","",IF(OR(D150="",D150="-"),"",IF(D150&gt;0,"(soulevement)",IF(D150&lt;0,"(compression)","-"))))</f>
        <v/>
      </c>
      <c r="I150" s="6">
        <f>IF(OR($M$149="",NOT(TRUE)),"","Couverture")</f>
        <v/>
      </c>
      <c r="J150" s="7">
        <f>IF($M$149="","",IFERROR(IFERROR(LOOKUP(2,1/((SAISIE!$M$5:$M$204=$M$149)*(LEFT(SAISIE!$J$5:$J$204,2)="G ")),SAISIE!$K$5:$K$204),LOOKUP(2,1/((SAISIE!$M$5:$M$204=$M$149)*(ISNUMBER(SEARCH("Couverture",SAISIE!$J$5:$J$204)))),SAISIE!$K$5:$K$204)),"-"))</f>
        <v/>
      </c>
      <c r="K150" s="7">
        <f>IF($M$149="","",IFERROR(IFERROR(LOOKUP(2,1/((SAISIE!$M$5:$M$204=$M$149)*(LEFT(SAISIE!$J$5:$J$204,2)="G ")),SAISIE!$L$5:$L$204),LOOKUP(2,1/((SAISIE!$M$5:$M$204=$M$149)*(ISNUMBER(SEARCH("Couverture",SAISIE!$J$5:$J$204)))),SAISIE!$L$5:$L$204)),"-"))</f>
        <v/>
      </c>
      <c r="L150" s="7">
        <f>IF($M$149="","",IF(OR(K150="",K150="-"),"",IF(K150&gt;0,"(soulevement)",IF(K150&lt;0,"(compression)","-"))))</f>
        <v/>
      </c>
    </row>
    <row r="151">
      <c r="A151" s="6">
        <f>IF(OR($F$149="",NOT(COUNTIFS(SAISIE!$B$5:$B$204,"*Vent G/D*",SAISIE!$F$5:$F$204,$F$149)&gt;0)),"","Vent G/D")</f>
        <v/>
      </c>
      <c r="B151" s="7">
        <f>IF(OR($F$149="",NOT(COUNTIFS(SAISIE!$B$5:$B$204,"*Vent G/D*",SAISIE!$F$5:$F$204,$F$149)&gt;0)),"",IFERROR(IF(MINIFS(SAISIE!$E$5:$E$204,SAISIE!$B$5:$B$204,"*Vent G/D*",SAISIE!$F$5:$F$204,$F$149)&gt;=0,MAXIFS(SAISIE!$C$5:$C$204,SAISIE!$B$5:$B$204,"*Vent G/D*",SAISIE!$F$5:$F$204,$F$149),INDEX(SAISIE!$C$5:$C$204,MATCH(MINIFS(SAISIE!$E$5:$E$204,SAISIE!$B$5:$B$204,"*Vent G/D*",SAISIE!$F$5:$F$204,$F$149),SAISIE!$E$5:$E$204,0))),"-"))</f>
        <v/>
      </c>
      <c r="C151" s="7">
        <f>IF(OR($F$149="",NOT(COUNTIFS(SAISIE!$B$5:$B$204,"*Vent G/D*",SAISIE!$F$5:$F$204,$F$149)&gt;0)),"",IFERROR(IF(MINIFS(SAISIE!$E$5:$E$204,SAISIE!$B$5:$B$204,"*Vent G/D*",SAISIE!$F$5:$F$204,$F$149)&gt;=0,INDEX(SAISIE!$D$5:$D$204,MATCH(MAXIFS(SAISIE!$C$5:$C$204,SAISIE!$B$5:$B$204,"*Vent G/D*",SAISIE!$F$5:$F$204,$F$149),SAISIE!$C$5:$C$204,0)),INDEX(SAISIE!$D$5:$D$204,MATCH(MINIFS(SAISIE!$E$5:$E$204,SAISIE!$B$5:$B$204,"*Vent G/D*",SAISIE!$F$5:$F$204,$F$149),SAISIE!$E$5:$E$204,0))),"-"))</f>
        <v/>
      </c>
      <c r="D151" s="7">
        <f>IF(OR($F$149="",NOT(COUNTIFS(SAISIE!$B$5:$B$204,"*Vent G/D*",SAISIE!$F$5:$F$204,$F$149)&gt;0)),"",IFERROR(IF(MINIFS(SAISIE!$E$5:$E$204,SAISIE!$B$5:$B$204,"*Vent G/D*",SAISIE!$F$5:$F$204,$F$149)&gt;=0,0,MINIFS(SAISIE!$E$5:$E$204,SAISIE!$B$5:$B$204,"*Vent G/D*",SAISIE!$F$5:$F$204,$F$149)),"-"))</f>
        <v/>
      </c>
      <c r="E151" s="7">
        <f>IF($F$149="","",IF(OR(D151="",D151="-"),"",IF(D151&gt;0,"(soulevement)",IF(D151&lt;0,"(compression)","-"))))</f>
        <v/>
      </c>
      <c r="I151" s="6">
        <f>IF(OR($M$149="",NOT(COUNTIFS(SAISIE!$J$5:$J$204,"*Vent G/D*",SAISIE!$M$5:$M$204,$M$149)&gt;0)),"","Vent G/D")</f>
        <v/>
      </c>
      <c r="J151" s="7">
        <f>IF(OR($M$149="",NOT(COUNTIFS(SAISIE!$J$5:$J$204,"*Vent G/D*",SAISIE!$M$5:$M$204,$M$149)&gt;0)),"",IFERROR(IF(MINIFS(SAISIE!$L$5:$L$204,SAISIE!$J$5:$J$204,"*Vent G/D*",SAISIE!$M$5:$M$204,$M$149)&gt;=0,MAXIFS(SAISIE!$K$5:$K$204,SAISIE!$J$5:$J$204,"*Vent G/D*",SAISIE!$M$5:$M$204,$M$149),INDEX(SAISIE!$K$5:$K$204,MATCH(MINIFS(SAISIE!$L$5:$L$204,SAISIE!$J$5:$J$204,"*Vent G/D*",SAISIE!$M$5:$M$204,$M$149),SAISIE!$L$5:$L$204,0))),"-"))</f>
        <v/>
      </c>
      <c r="K151" s="7">
        <f>IF(OR($M$149="",NOT(COUNTIFS(SAISIE!$J$5:$J$204,"*Vent G/D*",SAISIE!$M$5:$M$204,$M$149)&gt;0)),"",IFERROR(IF(MINIFS(SAISIE!$L$5:$L$204,SAISIE!$J$5:$J$204,"*Vent G/D*",SAISIE!$M$5:$M$204,$M$149)&gt;=0,0,MINIFS(SAISIE!$L$5:$L$204,SAISIE!$J$5:$J$204,"*Vent G/D*",SAISIE!$M$5:$M$204,$M$149)),"-"))</f>
        <v/>
      </c>
      <c r="L151" s="7">
        <f>IF($M$149="","",IF(OR(K151="",K151="-"),"",IF(K151&gt;0,"(soulevement)",IF(K151&lt;0,"(compression)","-"))))</f>
        <v/>
      </c>
    </row>
    <row r="152">
      <c r="A152" s="6">
        <f>IF(OR($F$149="",NOT(MAXIFS(SAISIE!$E$5:$E$204,SAISIE!$B$5:$B$204,"*Vent G/D*",SAISIE!$F$5:$F$204,$F$149)&gt;0)),"","Vent G/D")</f>
        <v/>
      </c>
      <c r="B152" s="7">
        <f>IF(OR($F$149="",NOT(MAXIFS(SAISIE!$E$5:$E$204,SAISIE!$B$5:$B$204,"*Vent G/D*",SAISIE!$F$5:$F$204,$F$149)&gt;0)),"",IFERROR(INDEX(SAISIE!$C$5:$C$204,MATCH(MAXIFS(SAISIE!$E$5:$E$204,SAISIE!$B$5:$B$204,"*Vent G/D*",SAISIE!$F$5:$F$204,$F$149),SAISIE!$E$5:$E$204,0)),"-"))</f>
        <v/>
      </c>
      <c r="C152" s="7">
        <f>IF(OR($F$149="",NOT(MAXIFS(SAISIE!$E$5:$E$204,SAISIE!$B$5:$B$204,"*Vent G/D*",SAISIE!$F$5:$F$204,$F$149)&gt;0)),"",IFERROR(INDEX(SAISIE!$D$5:$D$204,MATCH(MAXIFS(SAISIE!$E$5:$E$204,SAISIE!$B$5:$B$204,"*Vent G/D*",SAISIE!$F$5:$F$204,$F$149),SAISIE!$E$5:$E$204,0)),"-"))</f>
        <v/>
      </c>
      <c r="D152" s="7">
        <f>IF(OR($F$149="",NOT(MAXIFS(SAISIE!$E$5:$E$204,SAISIE!$B$5:$B$204,"*Vent G/D*",SAISIE!$F$5:$F$204,$F$149)&gt;0)),"",IFERROR(MAXIFS(SAISIE!$E$5:$E$204,SAISIE!$B$5:$B$204,"*Vent G/D*",SAISIE!$F$5:$F$204,$F$149),"-"))</f>
        <v/>
      </c>
      <c r="E152" s="7">
        <f>IF($F$149="","",IF(OR(D152="",D152="-"),"",IF(D152&gt;0,"(soulevement)",IF(D152&lt;0,"(compression)","-"))))</f>
        <v/>
      </c>
      <c r="I152" s="6">
        <f>IF(OR($M$149="",NOT(MAXIFS(SAISIE!$L$5:$L$204,SAISIE!$J$5:$J$204,"*Vent G/D*",SAISIE!$M$5:$M$204,$M$149)&gt;0)),"","Vent G/D")</f>
        <v/>
      </c>
      <c r="J152" s="7">
        <f>IF(OR($M$149="",NOT(MAXIFS(SAISIE!$L$5:$L$204,SAISIE!$J$5:$J$204,"*Vent G/D*",SAISIE!$M$5:$M$204,$M$149)&gt;0)),"",IFERROR(INDEX(SAISIE!$K$5:$K$204,MATCH(MAXIFS(SAISIE!$L$5:$L$204,SAISIE!$J$5:$J$204,"*Vent G/D*",SAISIE!$M$5:$M$204,$M$149),SAISIE!$L$5:$L$204,0)),"-"))</f>
        <v/>
      </c>
      <c r="K152" s="7">
        <f>IF(OR($M$149="",NOT(MAXIFS(SAISIE!$L$5:$L$204,SAISIE!$J$5:$J$204,"*Vent G/D*",SAISIE!$M$5:$M$204,$M$149)&gt;0)),"",IFERROR(MAXIFS(SAISIE!$L$5:$L$204,SAISIE!$J$5:$J$204,"*Vent G/D*",SAISIE!$M$5:$M$204,$M$149),"-"))</f>
        <v/>
      </c>
      <c r="L152" s="7">
        <f>IF($M$149="","",IF(OR(K152="",K152="-"),"",IF(K152&gt;0,"(soulevement)",IF(K152&lt;0,"(compression)","-"))))</f>
        <v/>
      </c>
    </row>
    <row r="153">
      <c r="A153" s="6">
        <f>IF(OR($F$149="",NOT(COUNTIFS(SAISIE!$B$5:$B$204,"*Vent D/G*",SAISIE!$F$5:$F$204,$F$149)&gt;0)),"","Vent D/G")</f>
        <v/>
      </c>
      <c r="B153" s="7">
        <f>IF(OR($F$149="",NOT(COUNTIFS(SAISIE!$B$5:$B$204,"*Vent D/G*",SAISIE!$F$5:$F$204,$F$149)&gt;0)),"",IFERROR(IF(MINIFS(SAISIE!$E$5:$E$204,SAISIE!$B$5:$B$204,"*Vent D/G*",SAISIE!$F$5:$F$204,$F$149)&gt;=0,MAXIFS(SAISIE!$C$5:$C$204,SAISIE!$B$5:$B$204,"*Vent D/G*",SAISIE!$F$5:$F$204,$F$149),INDEX(SAISIE!$C$5:$C$204,MATCH(MINIFS(SAISIE!$E$5:$E$204,SAISIE!$B$5:$B$204,"*Vent D/G*",SAISIE!$F$5:$F$204,$F$149),SAISIE!$E$5:$E$204,0))),"-"))</f>
        <v/>
      </c>
      <c r="C153" s="7">
        <f>IF(OR($F$149="",NOT(COUNTIFS(SAISIE!$B$5:$B$204,"*Vent D/G*",SAISIE!$F$5:$F$204,$F$149)&gt;0)),"",IFERROR(IF(MINIFS(SAISIE!$E$5:$E$204,SAISIE!$B$5:$B$204,"*Vent D/G*",SAISIE!$F$5:$F$204,$F$149)&gt;=0,INDEX(SAISIE!$D$5:$D$204,MATCH(MAXIFS(SAISIE!$C$5:$C$204,SAISIE!$B$5:$B$204,"*Vent D/G*",SAISIE!$F$5:$F$204,$F$149),SAISIE!$C$5:$C$204,0)),INDEX(SAISIE!$D$5:$D$204,MATCH(MINIFS(SAISIE!$E$5:$E$204,SAISIE!$B$5:$B$204,"*Vent D/G*",SAISIE!$F$5:$F$204,$F$149),SAISIE!$E$5:$E$204,0))),"-"))</f>
        <v/>
      </c>
      <c r="D153" s="7">
        <f>IF(OR($F$149="",NOT(COUNTIFS(SAISIE!$B$5:$B$204,"*Vent D/G*",SAISIE!$F$5:$F$204,$F$149)&gt;0)),"",IFERROR(IF(MINIFS(SAISIE!$E$5:$E$204,SAISIE!$B$5:$B$204,"*Vent D/G*",SAISIE!$F$5:$F$204,$F$149)&gt;=0,0,MINIFS(SAISIE!$E$5:$E$204,SAISIE!$B$5:$B$204,"*Vent D/G*",SAISIE!$F$5:$F$204,$F$149)),"-"))</f>
        <v/>
      </c>
      <c r="E153" s="7">
        <f>IF($F$149="","",IF(OR(D153="",D153="-"),"",IF(D153&gt;0,"(soulevement)",IF(D153&lt;0,"(compression)","-"))))</f>
        <v/>
      </c>
      <c r="I153" s="6">
        <f>IF(OR($M$149="",NOT(COUNTIFS(SAISIE!$J$5:$J$204,"*Vent D/G*",SAISIE!$M$5:$M$204,$M$149)&gt;0)),"","Vent D/G")</f>
        <v/>
      </c>
      <c r="J153" s="7">
        <f>IF(OR($M$149="",NOT(COUNTIFS(SAISIE!$J$5:$J$204,"*Vent D/G*",SAISIE!$M$5:$M$204,$M$149)&gt;0)),"",IFERROR(IF(MINIFS(SAISIE!$L$5:$L$204,SAISIE!$J$5:$J$204,"*Vent D/G*",SAISIE!$M$5:$M$204,$M$149)&gt;=0,MAXIFS(SAISIE!$K$5:$K$204,SAISIE!$J$5:$J$204,"*Vent D/G*",SAISIE!$M$5:$M$204,$M$149),INDEX(SAISIE!$K$5:$K$204,MATCH(MINIFS(SAISIE!$L$5:$L$204,SAISIE!$J$5:$J$204,"*Vent D/G*",SAISIE!$M$5:$M$204,$M$149),SAISIE!$L$5:$L$204,0))),"-"))</f>
        <v/>
      </c>
      <c r="K153" s="7">
        <f>IF(OR($M$149="",NOT(COUNTIFS(SAISIE!$J$5:$J$204,"*Vent D/G*",SAISIE!$M$5:$M$204,$M$149)&gt;0)),"",IFERROR(IF(MINIFS(SAISIE!$L$5:$L$204,SAISIE!$J$5:$J$204,"*Vent D/G*",SAISIE!$M$5:$M$204,$M$149)&gt;=0,0,MINIFS(SAISIE!$L$5:$L$204,SAISIE!$J$5:$J$204,"*Vent D/G*",SAISIE!$M$5:$M$204,$M$149)),"-"))</f>
        <v/>
      </c>
      <c r="L153" s="7">
        <f>IF($M$149="","",IF(OR(K153="",K153="-"),"",IF(K153&gt;0,"(soulevement)",IF(K153&lt;0,"(compression)","-"))))</f>
        <v/>
      </c>
    </row>
    <row r="154">
      <c r="A154" s="6">
        <f>IF(OR($F$149="",NOT(MAXIFS(SAISIE!$E$5:$E$204,SAISIE!$B$5:$B$204,"*Vent D/G*",SAISIE!$F$5:$F$204,$F$149)&gt;0)),"","Vent D/G")</f>
        <v/>
      </c>
      <c r="B154" s="7">
        <f>IF(OR($F$149="",NOT(MAXIFS(SAISIE!$E$5:$E$204,SAISIE!$B$5:$B$204,"*Vent D/G*",SAISIE!$F$5:$F$204,$F$149)&gt;0)),"",IFERROR(INDEX(SAISIE!$C$5:$C$204,MATCH(MAXIFS(SAISIE!$E$5:$E$204,SAISIE!$B$5:$B$204,"*Vent D/G*",SAISIE!$F$5:$F$204,$F$149),SAISIE!$E$5:$E$204,0)),"-"))</f>
        <v/>
      </c>
      <c r="C154" s="7">
        <f>IF(OR($F$149="",NOT(MAXIFS(SAISIE!$E$5:$E$204,SAISIE!$B$5:$B$204,"*Vent D/G*",SAISIE!$F$5:$F$204,$F$149)&gt;0)),"",IFERROR(INDEX(SAISIE!$D$5:$D$204,MATCH(MAXIFS(SAISIE!$E$5:$E$204,SAISIE!$B$5:$B$204,"*Vent D/G*",SAISIE!$F$5:$F$204,$F$149),SAISIE!$E$5:$E$204,0)),"-"))</f>
        <v/>
      </c>
      <c r="D154" s="7">
        <f>IF(OR($F$149="",NOT(MAXIFS(SAISIE!$E$5:$E$204,SAISIE!$B$5:$B$204,"*Vent D/G*",SAISIE!$F$5:$F$204,$F$149)&gt;0)),"",IFERROR(MAXIFS(SAISIE!$E$5:$E$204,SAISIE!$B$5:$B$204,"*Vent D/G*",SAISIE!$F$5:$F$204,$F$149),"-"))</f>
        <v/>
      </c>
      <c r="E154" s="7">
        <f>IF($F$149="","",IF(OR(D154="",D154="-"),"",IF(D154&gt;0,"(soulevement)",IF(D154&lt;0,"(compression)","-"))))</f>
        <v/>
      </c>
      <c r="I154" s="6">
        <f>IF(OR($M$149="",NOT(MAXIFS(SAISIE!$L$5:$L$204,SAISIE!$J$5:$J$204,"*Vent D/G*",SAISIE!$M$5:$M$204,$M$149)&gt;0)),"","Vent D/G")</f>
        <v/>
      </c>
      <c r="J154" s="7">
        <f>IF(OR($M$149="",NOT(MAXIFS(SAISIE!$L$5:$L$204,SAISIE!$J$5:$J$204,"*Vent D/G*",SAISIE!$M$5:$M$204,$M$149)&gt;0)),"",IFERROR(INDEX(SAISIE!$K$5:$K$204,MATCH(MAXIFS(SAISIE!$L$5:$L$204,SAISIE!$J$5:$J$204,"*Vent D/G*",SAISIE!$M$5:$M$204,$M$149),SAISIE!$L$5:$L$204,0)),"-"))</f>
        <v/>
      </c>
      <c r="K154" s="7">
        <f>IF(OR($M$149="",NOT(MAXIFS(SAISIE!$L$5:$L$204,SAISIE!$J$5:$J$204,"*Vent D/G*",SAISIE!$M$5:$M$204,$M$149)&gt;0)),"",IFERROR(MAXIFS(SAISIE!$L$5:$L$204,SAISIE!$J$5:$J$204,"*Vent D/G*",SAISIE!$M$5:$M$204,$M$149),"-"))</f>
        <v/>
      </c>
      <c r="L154" s="7">
        <f>IF($M$149="","",IF(OR(K154="",K154="-"),"",IF(K154&gt;0,"(soulevement)",IF(K154&lt;0,"(compression)","-"))))</f>
        <v/>
      </c>
    </row>
    <row r="155">
      <c r="A155" s="6">
        <f>IF(OR($F$149="",NOT(COUNTIFS(SAISIE!$B$5:$B$204,"*Vent Av./Arr.*",SAISIE!$F$5:$F$204,$F$149)&gt;0)),"","Vent Av./Arr.")</f>
        <v/>
      </c>
      <c r="B155" s="7">
        <f>IF(OR($F$149="",NOT(COUNTIFS(SAISIE!$B$5:$B$204,"*Vent Av./Arr.*",SAISIE!$F$5:$F$204,$F$149)&gt;0)),"",IFERROR(IF(MINIFS(SAISIE!$E$5:$E$204,SAISIE!$B$5:$B$204,"*Vent Av./Arr.*",SAISIE!$F$5:$F$204,$F$149)&gt;=0,MAXIFS(SAISIE!$C$5:$C$204,SAISIE!$B$5:$B$204,"*Vent Av./Arr.*",SAISIE!$F$5:$F$204,$F$149),INDEX(SAISIE!$C$5:$C$204,MATCH(MINIFS(SAISIE!$E$5:$E$204,SAISIE!$B$5:$B$204,"*Vent Av./Arr.*",SAISIE!$F$5:$F$204,$F$149),SAISIE!$E$5:$E$204,0))),"-"))</f>
        <v/>
      </c>
      <c r="C155" s="7">
        <f>IF(OR($F$149="",NOT(COUNTIFS(SAISIE!$B$5:$B$204,"*Vent Av./Arr.*",SAISIE!$F$5:$F$204,$F$149)&gt;0)),"",IFERROR(IF(MINIFS(SAISIE!$E$5:$E$204,SAISIE!$B$5:$B$204,"*Vent Av./Arr.*",SAISIE!$F$5:$F$204,$F$149)&gt;=0,INDEX(SAISIE!$D$5:$D$204,MATCH(MAXIFS(SAISIE!$C$5:$C$204,SAISIE!$B$5:$B$204,"*Vent Av./Arr.*",SAISIE!$F$5:$F$204,$F$149),SAISIE!$C$5:$C$204,0)),INDEX(SAISIE!$D$5:$D$204,MATCH(MINIFS(SAISIE!$E$5:$E$204,SAISIE!$B$5:$B$204,"*Vent Av./Arr.*",SAISIE!$F$5:$F$204,$F$149),SAISIE!$E$5:$E$204,0))),"-"))</f>
        <v/>
      </c>
      <c r="D155" s="7">
        <f>IF(OR($F$149="",NOT(COUNTIFS(SAISIE!$B$5:$B$204,"*Vent Av./Arr.*",SAISIE!$F$5:$F$204,$F$149)&gt;0)),"",IFERROR(IF(MINIFS(SAISIE!$E$5:$E$204,SAISIE!$B$5:$B$204,"*Vent Av./Arr.*",SAISIE!$F$5:$F$204,$F$149)&gt;=0,0,MINIFS(SAISIE!$E$5:$E$204,SAISIE!$B$5:$B$204,"*Vent Av./Arr.*",SAISIE!$F$5:$F$204,$F$149)),"-"))</f>
        <v/>
      </c>
      <c r="E155" s="7">
        <f>IF($F$149="","",IF(OR(D155="",D155="-"),"",IF(D155&gt;0,"(soulevement)",IF(D155&lt;0,"(compression)","-"))))</f>
        <v/>
      </c>
      <c r="I155" s="6">
        <f>IF(OR($M$149="",NOT(COUNTIFS(SAISIE!$J$5:$J$204,"*Vent Av./Arr.*",SAISIE!$M$5:$M$204,$M$149)&gt;0)),"","Vent Av./Arr.")</f>
        <v/>
      </c>
      <c r="J155" s="7">
        <f>IF(OR($M$149="",NOT(COUNTIFS(SAISIE!$J$5:$J$204,"*Vent Av./Arr.*",SAISIE!$M$5:$M$204,$M$149)&gt;0)),"",IFERROR(IF(MINIFS(SAISIE!$L$5:$L$204,SAISIE!$J$5:$J$204,"*Vent Av./Arr.*",SAISIE!$M$5:$M$204,$M$149)&gt;=0,MAXIFS(SAISIE!$K$5:$K$204,SAISIE!$J$5:$J$204,"*Vent Av./Arr.*",SAISIE!$M$5:$M$204,$M$149),INDEX(SAISIE!$K$5:$K$204,MATCH(MINIFS(SAISIE!$L$5:$L$204,SAISIE!$J$5:$J$204,"*Vent Av./Arr.*",SAISIE!$M$5:$M$204,$M$149),SAISIE!$L$5:$L$204,0))),"-"))</f>
        <v/>
      </c>
      <c r="K155" s="7">
        <f>IF(OR($M$149="",NOT(COUNTIFS(SAISIE!$J$5:$J$204,"*Vent Av./Arr.*",SAISIE!$M$5:$M$204,$M$149)&gt;0)),"",IFERROR(IF(MINIFS(SAISIE!$L$5:$L$204,SAISIE!$J$5:$J$204,"*Vent Av./Arr.*",SAISIE!$M$5:$M$204,$M$149)&gt;=0,0,MINIFS(SAISIE!$L$5:$L$204,SAISIE!$J$5:$J$204,"*Vent Av./Arr.*",SAISIE!$M$5:$M$204,$M$149)),"-"))</f>
        <v/>
      </c>
      <c r="L155" s="7">
        <f>IF($M$149="","",IF(OR(K155="",K155="-"),"",IF(K155&gt;0,"(soulevement)",IF(K155&lt;0,"(compression)","-"))))</f>
        <v/>
      </c>
    </row>
    <row r="156">
      <c r="A156" s="6">
        <f>IF(OR($F$149="",NOT(MAXIFS(SAISIE!$E$5:$E$204,SAISIE!$B$5:$B$204,"*Vent Av./Arr.*",SAISIE!$F$5:$F$204,$F$149)&gt;0)),"","Vent Av./Arr.")</f>
        <v/>
      </c>
      <c r="B156" s="7">
        <f>IF(OR($F$149="",NOT(MAXIFS(SAISIE!$E$5:$E$204,SAISIE!$B$5:$B$204,"*Vent Av./Arr.*",SAISIE!$F$5:$F$204,$F$149)&gt;0)),"",IFERROR(INDEX(SAISIE!$C$5:$C$204,MATCH(MAXIFS(SAISIE!$E$5:$E$204,SAISIE!$B$5:$B$204,"*Vent Av./Arr.*",SAISIE!$F$5:$F$204,$F$149),SAISIE!$E$5:$E$204,0)),"-"))</f>
        <v/>
      </c>
      <c r="C156" s="7">
        <f>IF(OR($F$149="",NOT(MAXIFS(SAISIE!$E$5:$E$204,SAISIE!$B$5:$B$204,"*Vent Av./Arr.*",SAISIE!$F$5:$F$204,$F$149)&gt;0)),"",IFERROR(INDEX(SAISIE!$D$5:$D$204,MATCH(MAXIFS(SAISIE!$E$5:$E$204,SAISIE!$B$5:$B$204,"*Vent Av./Arr.*",SAISIE!$F$5:$F$204,$F$149),SAISIE!$E$5:$E$204,0)),"-"))</f>
        <v/>
      </c>
      <c r="D156" s="7">
        <f>IF(OR($F$149="",NOT(MAXIFS(SAISIE!$E$5:$E$204,SAISIE!$B$5:$B$204,"*Vent Av./Arr.*",SAISIE!$F$5:$F$204,$F$149)&gt;0)),"",IFERROR(MAXIFS(SAISIE!$E$5:$E$204,SAISIE!$B$5:$B$204,"*Vent Av./Arr.*",SAISIE!$F$5:$F$204,$F$149),"-"))</f>
        <v/>
      </c>
      <c r="E156" s="7">
        <f>IF($F$149="","",IF(OR(D156="",D156="-"),"",IF(D156&gt;0,"(soulevement)",IF(D156&lt;0,"(compression)","-"))))</f>
        <v/>
      </c>
      <c r="I156" s="6">
        <f>IF(OR($M$149="",NOT(MAXIFS(SAISIE!$L$5:$L$204,SAISIE!$J$5:$J$204,"*Vent Av./Arr.*",SAISIE!$M$5:$M$204,$M$149)&gt;0)),"","Vent Av./Arr.")</f>
        <v/>
      </c>
      <c r="J156" s="7">
        <f>IF(OR($M$149="",NOT(MAXIFS(SAISIE!$L$5:$L$204,SAISIE!$J$5:$J$204,"*Vent Av./Arr.*",SAISIE!$M$5:$M$204,$M$149)&gt;0)),"",IFERROR(INDEX(SAISIE!$K$5:$K$204,MATCH(MAXIFS(SAISIE!$L$5:$L$204,SAISIE!$J$5:$J$204,"*Vent Av./Arr.*",SAISIE!$M$5:$M$204,$M$149),SAISIE!$L$5:$L$204,0)),"-"))</f>
        <v/>
      </c>
      <c r="K156" s="7">
        <f>IF(OR($M$149="",NOT(MAXIFS(SAISIE!$L$5:$L$204,SAISIE!$J$5:$J$204,"*Vent Av./Arr.*",SAISIE!$M$5:$M$204,$M$149)&gt;0)),"",IFERROR(MAXIFS(SAISIE!$L$5:$L$204,SAISIE!$J$5:$J$204,"*Vent Av./Arr.*",SAISIE!$M$5:$M$204,$M$149),"-"))</f>
        <v/>
      </c>
      <c r="L156" s="7">
        <f>IF($M$149="","",IF(OR(K156="",K156="-"),"",IF(K156&gt;0,"(soulevement)",IF(K156&lt;0,"(compression)","-"))))</f>
        <v/>
      </c>
    </row>
    <row r="157">
      <c r="A157" s="6">
        <f>IF(OR($F$149="",NOT(COUNTIFS(SAISIE!$B$5:$B$204,"*Vent Arr./Av.*",SAISIE!$F$5:$F$204,$F$149)&gt;0)),"","Vent Arr./Av.")</f>
        <v/>
      </c>
      <c r="B157" s="7">
        <f>IF(OR($F$149="",NOT(COUNTIFS(SAISIE!$B$5:$B$204,"*Vent Arr./Av.*",SAISIE!$F$5:$F$204,$F$149)&gt;0)),"",IFERROR(IF(MINIFS(SAISIE!$E$5:$E$204,SAISIE!$B$5:$B$204,"*Vent Arr./Av.*",SAISIE!$F$5:$F$204,$F$149)&gt;=0,MAXIFS(SAISIE!$C$5:$C$204,SAISIE!$B$5:$B$204,"*Vent Arr./Av.*",SAISIE!$F$5:$F$204,$F$149),INDEX(SAISIE!$C$5:$C$204,MATCH(MINIFS(SAISIE!$E$5:$E$204,SAISIE!$B$5:$B$204,"*Vent Arr./Av.*",SAISIE!$F$5:$F$204,$F$149),SAISIE!$E$5:$E$204,0))),"-"))</f>
        <v/>
      </c>
      <c r="C157" s="7">
        <f>IF(OR($F$149="",NOT(COUNTIFS(SAISIE!$B$5:$B$204,"*Vent Arr./Av.*",SAISIE!$F$5:$F$204,$F$149)&gt;0)),"",IFERROR(IF(MINIFS(SAISIE!$E$5:$E$204,SAISIE!$B$5:$B$204,"*Vent Arr./Av.*",SAISIE!$F$5:$F$204,$F$149)&gt;=0,INDEX(SAISIE!$D$5:$D$204,MATCH(MAXIFS(SAISIE!$C$5:$C$204,SAISIE!$B$5:$B$204,"*Vent Arr./Av.*",SAISIE!$F$5:$F$204,$F$149),SAISIE!$C$5:$C$204,0)),INDEX(SAISIE!$D$5:$D$204,MATCH(MINIFS(SAISIE!$E$5:$E$204,SAISIE!$B$5:$B$204,"*Vent Arr./Av.*",SAISIE!$F$5:$F$204,$F$149),SAISIE!$E$5:$E$204,0))),"-"))</f>
        <v/>
      </c>
      <c r="D157" s="7">
        <f>IF(OR($F$149="",NOT(COUNTIFS(SAISIE!$B$5:$B$204,"*Vent Arr./Av.*",SAISIE!$F$5:$F$204,$F$149)&gt;0)),"",IFERROR(IF(MINIFS(SAISIE!$E$5:$E$204,SAISIE!$B$5:$B$204,"*Vent Arr./Av.*",SAISIE!$F$5:$F$204,$F$149)&gt;=0,0,MINIFS(SAISIE!$E$5:$E$204,SAISIE!$B$5:$B$204,"*Vent Arr./Av.*",SAISIE!$F$5:$F$204,$F$149)),"-"))</f>
        <v/>
      </c>
      <c r="E157" s="7">
        <f>IF($F$149="","",IF(OR(D157="",D157="-"),"",IF(D157&gt;0,"(soulevement)",IF(D157&lt;0,"(compression)","-"))))</f>
        <v/>
      </c>
      <c r="I157" s="6">
        <f>IF(OR($M$149="",NOT(COUNTIFS(SAISIE!$J$5:$J$204,"*Vent Arr./Av.*",SAISIE!$M$5:$M$204,$M$149)&gt;0)),"","Vent Arr./Av.")</f>
        <v/>
      </c>
      <c r="J157" s="7">
        <f>IF(OR($M$149="",NOT(COUNTIFS(SAISIE!$J$5:$J$204,"*Vent Arr./Av.*",SAISIE!$M$5:$M$204,$M$149)&gt;0)),"",IFERROR(IF(MINIFS(SAISIE!$L$5:$L$204,SAISIE!$J$5:$J$204,"*Vent Arr./Av.*",SAISIE!$M$5:$M$204,$M$149)&gt;=0,MAXIFS(SAISIE!$K$5:$K$204,SAISIE!$J$5:$J$204,"*Vent Arr./Av.*",SAISIE!$M$5:$M$204,$M$149),INDEX(SAISIE!$K$5:$K$204,MATCH(MINIFS(SAISIE!$L$5:$L$204,SAISIE!$J$5:$J$204,"*Vent Arr./Av.*",SAISIE!$M$5:$M$204,$M$149),SAISIE!$L$5:$L$204,0))),"-"))</f>
        <v/>
      </c>
      <c r="K157" s="7">
        <f>IF(OR($M$149="",NOT(COUNTIFS(SAISIE!$J$5:$J$204,"*Vent Arr./Av.*",SAISIE!$M$5:$M$204,$M$149)&gt;0)),"",IFERROR(IF(MINIFS(SAISIE!$L$5:$L$204,SAISIE!$J$5:$J$204,"*Vent Arr./Av.*",SAISIE!$M$5:$M$204,$M$149)&gt;=0,0,MINIFS(SAISIE!$L$5:$L$204,SAISIE!$J$5:$J$204,"*Vent Arr./Av.*",SAISIE!$M$5:$M$204,$M$149)),"-"))</f>
        <v/>
      </c>
      <c r="L157" s="7">
        <f>IF($M$149="","",IF(OR(K157="",K157="-"),"",IF(K157&gt;0,"(soulevement)",IF(K157&lt;0,"(compression)","-"))))</f>
        <v/>
      </c>
    </row>
    <row r="158">
      <c r="A158" s="6">
        <f>IF(OR($F$149="",NOT(MAXIFS(SAISIE!$E$5:$E$204,SAISIE!$B$5:$B$204,"*Vent Arr./Av.*",SAISIE!$F$5:$F$204,$F$149)&gt;0)),"","Vent Arr./Av.")</f>
        <v/>
      </c>
      <c r="B158" s="7">
        <f>IF(OR($F$149="",NOT(MAXIFS(SAISIE!$E$5:$E$204,SAISIE!$B$5:$B$204,"*Vent Arr./Av.*",SAISIE!$F$5:$F$204,$F$149)&gt;0)),"",IFERROR(INDEX(SAISIE!$C$5:$C$204,MATCH(MAXIFS(SAISIE!$E$5:$E$204,SAISIE!$B$5:$B$204,"*Vent Arr./Av.*",SAISIE!$F$5:$F$204,$F$149),SAISIE!$E$5:$E$204,0)),"-"))</f>
        <v/>
      </c>
      <c r="C158" s="7">
        <f>IF(OR($F$149="",NOT(MAXIFS(SAISIE!$E$5:$E$204,SAISIE!$B$5:$B$204,"*Vent Arr./Av.*",SAISIE!$F$5:$F$204,$F$149)&gt;0)),"",IFERROR(INDEX(SAISIE!$D$5:$D$204,MATCH(MAXIFS(SAISIE!$E$5:$E$204,SAISIE!$B$5:$B$204,"*Vent Arr./Av.*",SAISIE!$F$5:$F$204,$F$149),SAISIE!$E$5:$E$204,0)),"-"))</f>
        <v/>
      </c>
      <c r="D158" s="7">
        <f>IF(OR($F$149="",NOT(MAXIFS(SAISIE!$E$5:$E$204,SAISIE!$B$5:$B$204,"*Vent Arr./Av.*",SAISIE!$F$5:$F$204,$F$149)&gt;0)),"",IFERROR(MAXIFS(SAISIE!$E$5:$E$204,SAISIE!$B$5:$B$204,"*Vent Arr./Av.*",SAISIE!$F$5:$F$204,$F$149),"-"))</f>
        <v/>
      </c>
      <c r="E158" s="7">
        <f>IF($F$149="","",IF(OR(D158="",D158="-"),"",IF(D158&gt;0,"(soulevement)",IF(D158&lt;0,"(compression)","-"))))</f>
        <v/>
      </c>
      <c r="I158" s="6">
        <f>IF(OR($M$149="",NOT(MAXIFS(SAISIE!$L$5:$L$204,SAISIE!$J$5:$J$204,"*Vent Arr./Av.*",SAISIE!$M$5:$M$204,$M$149)&gt;0)),"","Vent Arr./Av.")</f>
        <v/>
      </c>
      <c r="J158" s="7">
        <f>IF(OR($M$149="",NOT(MAXIFS(SAISIE!$L$5:$L$204,SAISIE!$J$5:$J$204,"*Vent Arr./Av.*",SAISIE!$M$5:$M$204,$M$149)&gt;0)),"",IFERROR(INDEX(SAISIE!$K$5:$K$204,MATCH(MAXIFS(SAISIE!$L$5:$L$204,SAISIE!$J$5:$J$204,"*Vent Arr./Av.*",SAISIE!$M$5:$M$204,$M$149),SAISIE!$L$5:$L$204,0)),"-"))</f>
        <v/>
      </c>
      <c r="K158" s="7">
        <f>IF(OR($M$149="",NOT(MAXIFS(SAISIE!$L$5:$L$204,SAISIE!$J$5:$J$204,"*Vent Arr./Av.*",SAISIE!$M$5:$M$204,$M$149)&gt;0)),"",IFERROR(MAXIFS(SAISIE!$L$5:$L$204,SAISIE!$J$5:$J$204,"*Vent Arr./Av.*",SAISIE!$M$5:$M$204,$M$149),"-"))</f>
        <v/>
      </c>
      <c r="L158" s="7">
        <f>IF($M$149="","",IF(OR(K158="",K158="-"),"",IF(K158&gt;0,"(soulevement)",IF(K158&lt;0,"(compression)","-"))))</f>
        <v/>
      </c>
    </row>
    <row r="159">
      <c r="A159" s="6">
        <f>IF(OR($F$149="",NOT(TRUE)),"","Neige normale")</f>
        <v/>
      </c>
      <c r="B159" s="7">
        <f>IF($F$149="","",IFERROR(INDEX(SAISIE!$C$5:$C$204,MATCH(MINIFS(SAISIE!$E$5:$E$204,SAISIE!$B$5:$B$204,"*Neige*",SAISIE!$B$5:$B$204,"&lt;&gt;*accidentel*",SAISIE!$F$5:$F$204,$F$149),SAISIE!$E$5:$E$204,0)),"-"))</f>
        <v/>
      </c>
      <c r="C159" s="7">
        <f>IF($F$149="","",IFERROR(INDEX(SAISIE!$D$5:$D$204,MATCH(MINIFS(SAISIE!$E$5:$E$204,SAISIE!$B$5:$B$204,"*Neige*",SAISIE!$B$5:$B$204,"&lt;&gt;*accidentel*",SAISIE!$F$5:$F$204,$F$149),SAISIE!$E$5:$E$204,0)),"-"))</f>
        <v/>
      </c>
      <c r="D159" s="7">
        <f>IF($F$149="","",IFERROR(INDEX(SAISIE!$E$5:$E$204,MATCH(MINIFS(SAISIE!$E$5:$E$204,SAISIE!$B$5:$B$204,"*Neige*",SAISIE!$B$5:$B$204,"&lt;&gt;*accidentel*",SAISIE!$F$5:$F$204,$F$149),SAISIE!$E$5:$E$204,0)),"-"))</f>
        <v/>
      </c>
      <c r="E159" s="7">
        <f>IF($F$149="","",IF(OR(D159="",D159="-"),"",IF(D159&gt;0,"(soulevement)",IF(D159&lt;0,"(compression)","-"))))</f>
        <v/>
      </c>
      <c r="I159" s="6">
        <f>IF(OR($M$149="",NOT(TRUE)),"","Neige normale")</f>
        <v/>
      </c>
      <c r="J159" s="7">
        <f>IF($M$149="","",IFERROR(INDEX(SAISIE!$K$5:$K$204,MATCH(MINIFS(SAISIE!$L$5:$L$204,SAISIE!$J$5:$J$204,"*Neige*",SAISIE!$J$5:$J$204,"&lt;&gt;*accidentel*",SAISIE!$M$5:$M$204,$M$149),SAISIE!$L$5:$L$204,0)),"-"))</f>
        <v/>
      </c>
      <c r="K159" s="7">
        <f>IF($M$149="","",IFERROR(INDEX(SAISIE!$L$5:$L$204,MATCH(MINIFS(SAISIE!$L$5:$L$204,SAISIE!$J$5:$J$204,"*Neige*",SAISIE!$J$5:$J$204,"&lt;&gt;*accidentel*",SAISIE!$M$5:$M$204,$M$149),SAISIE!$L$5:$L$204,0)),"-"))</f>
        <v/>
      </c>
      <c r="L159" s="7">
        <f>IF($M$149="","",IF(OR(K159="",K159="-"),"",IF(K159&gt;0,"(soulevement)",IF(K159&lt;0,"(compression)","-"))))</f>
        <v/>
      </c>
    </row>
    <row r="160">
      <c r="A160" s="6">
        <f>IF(OR($F$149="",NOT(TRUE)),"","Neige accidentelle")</f>
        <v/>
      </c>
      <c r="B160" s="7">
        <f>IF($F$149="","",IFERROR(LOOKUP(2,1/((SAISIE!$F$5:$F$204=$F$149)*(ISNUMBER(SEARCH("accidentel",SAISIE!$B$5:$B$204)))),SAISIE!$C$5:$C$204),"-"))</f>
        <v/>
      </c>
      <c r="C160" s="7">
        <f>IF($F$149="","",IFERROR(LOOKUP(2,1/((SAISIE!$F$5:$F$204=$F$149)*(ISNUMBER(SEARCH("accidentel",SAISIE!$B$5:$B$204)))),SAISIE!$D$5:$D$204),"-"))</f>
        <v/>
      </c>
      <c r="D160" s="7">
        <f>IF($F$149="","",IFERROR(LOOKUP(2,1/((SAISIE!$F$5:$F$204=$F$149)*(ISNUMBER(SEARCH("accidentel",SAISIE!$B$5:$B$204)))),SAISIE!$E$5:$E$204),"-"))</f>
        <v/>
      </c>
      <c r="E160" s="7">
        <f>IF($F$149="","",IF(OR(D160="",D160="-"),"",IF(D160&gt;0,"(soulevement)",IF(D160&lt;0,"(compression)","-"))))</f>
        <v/>
      </c>
      <c r="I160" s="6">
        <f>IF(OR($M$149="",NOT(TRUE)),"","Neige accidentelle")</f>
        <v/>
      </c>
      <c r="J160" s="7">
        <f>IF($M$149="","",IFERROR(LOOKUP(2,1/((SAISIE!$M$5:$M$204=$M$149)*(ISNUMBER(SEARCH("accidentel",SAISIE!$J$5:$J$204)))),SAISIE!$K$5:$K$204),"-"))</f>
        <v/>
      </c>
      <c r="K160" s="7">
        <f>IF($M$149="","",IFERROR(LOOKUP(2,1/((SAISIE!$M$5:$M$204=$M$149)*(ISNUMBER(SEARCH("accidentel",SAISIE!$J$5:$J$204)))),SAISIE!$L$5:$L$204),"-"))</f>
        <v/>
      </c>
      <c r="L160" s="7">
        <f>IF($M$149="","",IF(OR(K160="",K160="-"),"",IF(K160&gt;0,"(soulevement)",IF(K160&lt;0,"(compression)","-"))))</f>
        <v/>
      </c>
    </row>
    <row r="161">
      <c r="A161" s="5">
        <f>IF($F$161="","","Noeud "&amp;$F$161)</f>
        <v/>
      </c>
      <c r="B161" s="5" t="n"/>
      <c r="C161" s="5" t="n"/>
      <c r="D161" s="5" t="n"/>
      <c r="E161" s="5" t="n"/>
      <c r="F161">
        <f>IFERROR(INDEX(SAISIE!$F$5:$F$204,AGGREGATE(15,6,ROW(SAISIE!$F$5:$F$204)-ROW(SAISIE!$F$5)+1/(SAISIE!$F$5:$F$204&lt;&gt;"")/(COUNTIF($F$4:F160,SAISIE!$F$5:$F$204)=0),1)),"")</f>
        <v/>
      </c>
      <c r="I161" s="5">
        <f>IF($M$161="","","Noeud "&amp;$M$161)</f>
        <v/>
      </c>
      <c r="J161" s="5" t="n"/>
      <c r="K161" s="5" t="n"/>
      <c r="L161" s="5" t="n"/>
      <c r="M161">
        <f>IFERROR(INDEX(SAISIE!$M$5:$M$204,AGGREGATE(15,6,ROW(SAISIE!$M$5:$M$204)-ROW(SAISIE!$M$5)+1/(SAISIE!$M$5:$M$204&lt;&gt;"")/(COUNTIF($M$4:M160,SAISIE!$M$5:$M$204)=0),1)),"")</f>
        <v/>
      </c>
    </row>
    <row r="162">
      <c r="A162" s="6">
        <f>IF(OR($F$161="",NOT(TRUE)),"","Couverture")</f>
        <v/>
      </c>
      <c r="B162" s="7">
        <f>IF($F$161="","",IFERROR(IFERROR(LOOKUP(2,1/((SAISIE!$F$5:$F$204=$F$161)*(LEFT(SAISIE!$B$5:$B$204,2)="G ")),SAISIE!$C$5:$C$204),LOOKUP(2,1/((SAISIE!$F$5:$F$204=$F$161)*(ISNUMBER(SEARCH("Couverture",SAISIE!$B$5:$B$204)))),SAISIE!$C$5:$C$204)),"-"))</f>
        <v/>
      </c>
      <c r="C162" s="7">
        <f>IF($F$161="","",IFERROR(IFERROR(LOOKUP(2,1/((SAISIE!$F$5:$F$204=$F$161)*(LEFT(SAISIE!$B$5:$B$204,2)="G ")),SAISIE!$D$5:$D$204),LOOKUP(2,1/((SAISIE!$F$5:$F$204=$F$161)*(ISNUMBER(SEARCH("Couverture",SAISIE!$B$5:$B$204)))),SAISIE!$D$5:$D$204)),"-"))</f>
        <v/>
      </c>
      <c r="D162" s="7">
        <f>IF($F$161="","",IFERROR(IFERROR(LOOKUP(2,1/((SAISIE!$F$5:$F$204=$F$161)*(LEFT(SAISIE!$B$5:$B$204,2)="G ")),SAISIE!$E$5:$E$204),LOOKUP(2,1/((SAISIE!$F$5:$F$204=$F$161)*(ISNUMBER(SEARCH("Couverture",SAISIE!$B$5:$B$204)))),SAISIE!$E$5:$E$204)),"-"))</f>
        <v/>
      </c>
      <c r="E162" s="7">
        <f>IF($F$161="","",IF(OR(D162="",D162="-"),"",IF(D162&gt;0,"(soulevement)",IF(D162&lt;0,"(compression)","-"))))</f>
        <v/>
      </c>
      <c r="I162" s="6">
        <f>IF(OR($M$161="",NOT(TRUE)),"","Couverture")</f>
        <v/>
      </c>
      <c r="J162" s="7">
        <f>IF($M$161="","",IFERROR(IFERROR(LOOKUP(2,1/((SAISIE!$M$5:$M$204=$M$161)*(LEFT(SAISIE!$J$5:$J$204,2)="G ")),SAISIE!$K$5:$K$204),LOOKUP(2,1/((SAISIE!$M$5:$M$204=$M$161)*(ISNUMBER(SEARCH("Couverture",SAISIE!$J$5:$J$204)))),SAISIE!$K$5:$K$204)),"-"))</f>
        <v/>
      </c>
      <c r="K162" s="7">
        <f>IF($M$161="","",IFERROR(IFERROR(LOOKUP(2,1/((SAISIE!$M$5:$M$204=$M$161)*(LEFT(SAISIE!$J$5:$J$204,2)="G ")),SAISIE!$L$5:$L$204),LOOKUP(2,1/((SAISIE!$M$5:$M$204=$M$161)*(ISNUMBER(SEARCH("Couverture",SAISIE!$J$5:$J$204)))),SAISIE!$L$5:$L$204)),"-"))</f>
        <v/>
      </c>
      <c r="L162" s="7">
        <f>IF($M$161="","",IF(OR(K162="",K162="-"),"",IF(K162&gt;0,"(soulevement)",IF(K162&lt;0,"(compression)","-"))))</f>
        <v/>
      </c>
    </row>
    <row r="163">
      <c r="A163" s="6">
        <f>IF(OR($F$161="",NOT(COUNTIFS(SAISIE!$B$5:$B$204,"*Vent G/D*",SAISIE!$F$5:$F$204,$F$161)&gt;0)),"","Vent G/D")</f>
        <v/>
      </c>
      <c r="B163" s="7">
        <f>IF(OR($F$161="",NOT(COUNTIFS(SAISIE!$B$5:$B$204,"*Vent G/D*",SAISIE!$F$5:$F$204,$F$161)&gt;0)),"",IFERROR(IF(MINIFS(SAISIE!$E$5:$E$204,SAISIE!$B$5:$B$204,"*Vent G/D*",SAISIE!$F$5:$F$204,$F$161)&gt;=0,MAXIFS(SAISIE!$C$5:$C$204,SAISIE!$B$5:$B$204,"*Vent G/D*",SAISIE!$F$5:$F$204,$F$161),INDEX(SAISIE!$C$5:$C$204,MATCH(MINIFS(SAISIE!$E$5:$E$204,SAISIE!$B$5:$B$204,"*Vent G/D*",SAISIE!$F$5:$F$204,$F$161),SAISIE!$E$5:$E$204,0))),"-"))</f>
        <v/>
      </c>
      <c r="C163" s="7">
        <f>IF(OR($F$161="",NOT(COUNTIFS(SAISIE!$B$5:$B$204,"*Vent G/D*",SAISIE!$F$5:$F$204,$F$161)&gt;0)),"",IFERROR(IF(MINIFS(SAISIE!$E$5:$E$204,SAISIE!$B$5:$B$204,"*Vent G/D*",SAISIE!$F$5:$F$204,$F$161)&gt;=0,INDEX(SAISIE!$D$5:$D$204,MATCH(MAXIFS(SAISIE!$C$5:$C$204,SAISIE!$B$5:$B$204,"*Vent G/D*",SAISIE!$F$5:$F$204,$F$161),SAISIE!$C$5:$C$204,0)),INDEX(SAISIE!$D$5:$D$204,MATCH(MINIFS(SAISIE!$E$5:$E$204,SAISIE!$B$5:$B$204,"*Vent G/D*",SAISIE!$F$5:$F$204,$F$161),SAISIE!$E$5:$E$204,0))),"-"))</f>
        <v/>
      </c>
      <c r="D163" s="7">
        <f>IF(OR($F$161="",NOT(COUNTIFS(SAISIE!$B$5:$B$204,"*Vent G/D*",SAISIE!$F$5:$F$204,$F$161)&gt;0)),"",IFERROR(IF(MINIFS(SAISIE!$E$5:$E$204,SAISIE!$B$5:$B$204,"*Vent G/D*",SAISIE!$F$5:$F$204,$F$161)&gt;=0,0,MINIFS(SAISIE!$E$5:$E$204,SAISIE!$B$5:$B$204,"*Vent G/D*",SAISIE!$F$5:$F$204,$F$161)),"-"))</f>
        <v/>
      </c>
      <c r="E163" s="7">
        <f>IF($F$161="","",IF(OR(D163="",D163="-"),"",IF(D163&gt;0,"(soulevement)",IF(D163&lt;0,"(compression)","-"))))</f>
        <v/>
      </c>
      <c r="I163" s="6">
        <f>IF(OR($M$161="",NOT(COUNTIFS(SAISIE!$J$5:$J$204,"*Vent G/D*",SAISIE!$M$5:$M$204,$M$161)&gt;0)),"","Vent G/D")</f>
        <v/>
      </c>
      <c r="J163" s="7">
        <f>IF(OR($M$161="",NOT(COUNTIFS(SAISIE!$J$5:$J$204,"*Vent G/D*",SAISIE!$M$5:$M$204,$M$161)&gt;0)),"",IFERROR(IF(MINIFS(SAISIE!$L$5:$L$204,SAISIE!$J$5:$J$204,"*Vent G/D*",SAISIE!$M$5:$M$204,$M$161)&gt;=0,MAXIFS(SAISIE!$K$5:$K$204,SAISIE!$J$5:$J$204,"*Vent G/D*",SAISIE!$M$5:$M$204,$M$161),INDEX(SAISIE!$K$5:$K$204,MATCH(MINIFS(SAISIE!$L$5:$L$204,SAISIE!$J$5:$J$204,"*Vent G/D*",SAISIE!$M$5:$M$204,$M$161),SAISIE!$L$5:$L$204,0))),"-"))</f>
        <v/>
      </c>
      <c r="K163" s="7">
        <f>IF(OR($M$161="",NOT(COUNTIFS(SAISIE!$J$5:$J$204,"*Vent G/D*",SAISIE!$M$5:$M$204,$M$161)&gt;0)),"",IFERROR(IF(MINIFS(SAISIE!$L$5:$L$204,SAISIE!$J$5:$J$204,"*Vent G/D*",SAISIE!$M$5:$M$204,$M$161)&gt;=0,0,MINIFS(SAISIE!$L$5:$L$204,SAISIE!$J$5:$J$204,"*Vent G/D*",SAISIE!$M$5:$M$204,$M$161)),"-"))</f>
        <v/>
      </c>
      <c r="L163" s="7">
        <f>IF($M$161="","",IF(OR(K163="",K163="-"),"",IF(K163&gt;0,"(soulevement)",IF(K163&lt;0,"(compression)","-"))))</f>
        <v/>
      </c>
    </row>
    <row r="164">
      <c r="A164" s="6">
        <f>IF(OR($F$161="",NOT(MAXIFS(SAISIE!$E$5:$E$204,SAISIE!$B$5:$B$204,"*Vent G/D*",SAISIE!$F$5:$F$204,$F$161)&gt;0)),"","Vent G/D")</f>
        <v/>
      </c>
      <c r="B164" s="7">
        <f>IF(OR($F$161="",NOT(MAXIFS(SAISIE!$E$5:$E$204,SAISIE!$B$5:$B$204,"*Vent G/D*",SAISIE!$F$5:$F$204,$F$161)&gt;0)),"",IFERROR(INDEX(SAISIE!$C$5:$C$204,MATCH(MAXIFS(SAISIE!$E$5:$E$204,SAISIE!$B$5:$B$204,"*Vent G/D*",SAISIE!$F$5:$F$204,$F$161),SAISIE!$E$5:$E$204,0)),"-"))</f>
        <v/>
      </c>
      <c r="C164" s="7">
        <f>IF(OR($F$161="",NOT(MAXIFS(SAISIE!$E$5:$E$204,SAISIE!$B$5:$B$204,"*Vent G/D*",SAISIE!$F$5:$F$204,$F$161)&gt;0)),"",IFERROR(INDEX(SAISIE!$D$5:$D$204,MATCH(MAXIFS(SAISIE!$E$5:$E$204,SAISIE!$B$5:$B$204,"*Vent G/D*",SAISIE!$F$5:$F$204,$F$161),SAISIE!$E$5:$E$204,0)),"-"))</f>
        <v/>
      </c>
      <c r="D164" s="7">
        <f>IF(OR($F$161="",NOT(MAXIFS(SAISIE!$E$5:$E$204,SAISIE!$B$5:$B$204,"*Vent G/D*",SAISIE!$F$5:$F$204,$F$161)&gt;0)),"",IFERROR(MAXIFS(SAISIE!$E$5:$E$204,SAISIE!$B$5:$B$204,"*Vent G/D*",SAISIE!$F$5:$F$204,$F$161),"-"))</f>
        <v/>
      </c>
      <c r="E164" s="7">
        <f>IF($F$161="","",IF(OR(D164="",D164="-"),"",IF(D164&gt;0,"(soulevement)",IF(D164&lt;0,"(compression)","-"))))</f>
        <v/>
      </c>
      <c r="I164" s="6">
        <f>IF(OR($M$161="",NOT(MAXIFS(SAISIE!$L$5:$L$204,SAISIE!$J$5:$J$204,"*Vent G/D*",SAISIE!$M$5:$M$204,$M$161)&gt;0)),"","Vent G/D")</f>
        <v/>
      </c>
      <c r="J164" s="7">
        <f>IF(OR($M$161="",NOT(MAXIFS(SAISIE!$L$5:$L$204,SAISIE!$J$5:$J$204,"*Vent G/D*",SAISIE!$M$5:$M$204,$M$161)&gt;0)),"",IFERROR(INDEX(SAISIE!$K$5:$K$204,MATCH(MAXIFS(SAISIE!$L$5:$L$204,SAISIE!$J$5:$J$204,"*Vent G/D*",SAISIE!$M$5:$M$204,$M$161),SAISIE!$L$5:$L$204,0)),"-"))</f>
        <v/>
      </c>
      <c r="K164" s="7">
        <f>IF(OR($M$161="",NOT(MAXIFS(SAISIE!$L$5:$L$204,SAISIE!$J$5:$J$204,"*Vent G/D*",SAISIE!$M$5:$M$204,$M$161)&gt;0)),"",IFERROR(MAXIFS(SAISIE!$L$5:$L$204,SAISIE!$J$5:$J$204,"*Vent G/D*",SAISIE!$M$5:$M$204,$M$161),"-"))</f>
        <v/>
      </c>
      <c r="L164" s="7">
        <f>IF($M$161="","",IF(OR(K164="",K164="-"),"",IF(K164&gt;0,"(soulevement)",IF(K164&lt;0,"(compression)","-"))))</f>
        <v/>
      </c>
    </row>
    <row r="165">
      <c r="A165" s="6">
        <f>IF(OR($F$161="",NOT(COUNTIFS(SAISIE!$B$5:$B$204,"*Vent D/G*",SAISIE!$F$5:$F$204,$F$161)&gt;0)),"","Vent D/G")</f>
        <v/>
      </c>
      <c r="B165" s="7">
        <f>IF(OR($F$161="",NOT(COUNTIFS(SAISIE!$B$5:$B$204,"*Vent D/G*",SAISIE!$F$5:$F$204,$F$161)&gt;0)),"",IFERROR(IF(MINIFS(SAISIE!$E$5:$E$204,SAISIE!$B$5:$B$204,"*Vent D/G*",SAISIE!$F$5:$F$204,$F$161)&gt;=0,MAXIFS(SAISIE!$C$5:$C$204,SAISIE!$B$5:$B$204,"*Vent D/G*",SAISIE!$F$5:$F$204,$F$161),INDEX(SAISIE!$C$5:$C$204,MATCH(MINIFS(SAISIE!$E$5:$E$204,SAISIE!$B$5:$B$204,"*Vent D/G*",SAISIE!$F$5:$F$204,$F$161),SAISIE!$E$5:$E$204,0))),"-"))</f>
        <v/>
      </c>
      <c r="C165" s="7">
        <f>IF(OR($F$161="",NOT(COUNTIFS(SAISIE!$B$5:$B$204,"*Vent D/G*",SAISIE!$F$5:$F$204,$F$161)&gt;0)),"",IFERROR(IF(MINIFS(SAISIE!$E$5:$E$204,SAISIE!$B$5:$B$204,"*Vent D/G*",SAISIE!$F$5:$F$204,$F$161)&gt;=0,INDEX(SAISIE!$D$5:$D$204,MATCH(MAXIFS(SAISIE!$C$5:$C$204,SAISIE!$B$5:$B$204,"*Vent D/G*",SAISIE!$F$5:$F$204,$F$161),SAISIE!$C$5:$C$204,0)),INDEX(SAISIE!$D$5:$D$204,MATCH(MINIFS(SAISIE!$E$5:$E$204,SAISIE!$B$5:$B$204,"*Vent D/G*",SAISIE!$F$5:$F$204,$F$161),SAISIE!$E$5:$E$204,0))),"-"))</f>
        <v/>
      </c>
      <c r="D165" s="7">
        <f>IF(OR($F$161="",NOT(COUNTIFS(SAISIE!$B$5:$B$204,"*Vent D/G*",SAISIE!$F$5:$F$204,$F$161)&gt;0)),"",IFERROR(IF(MINIFS(SAISIE!$E$5:$E$204,SAISIE!$B$5:$B$204,"*Vent D/G*",SAISIE!$F$5:$F$204,$F$161)&gt;=0,0,MINIFS(SAISIE!$E$5:$E$204,SAISIE!$B$5:$B$204,"*Vent D/G*",SAISIE!$F$5:$F$204,$F$161)),"-"))</f>
        <v/>
      </c>
      <c r="E165" s="7">
        <f>IF($F$161="","",IF(OR(D165="",D165="-"),"",IF(D165&gt;0,"(soulevement)",IF(D165&lt;0,"(compression)","-"))))</f>
        <v/>
      </c>
      <c r="I165" s="6">
        <f>IF(OR($M$161="",NOT(COUNTIFS(SAISIE!$J$5:$J$204,"*Vent D/G*",SAISIE!$M$5:$M$204,$M$161)&gt;0)),"","Vent D/G")</f>
        <v/>
      </c>
      <c r="J165" s="7">
        <f>IF(OR($M$161="",NOT(COUNTIFS(SAISIE!$J$5:$J$204,"*Vent D/G*",SAISIE!$M$5:$M$204,$M$161)&gt;0)),"",IFERROR(IF(MINIFS(SAISIE!$L$5:$L$204,SAISIE!$J$5:$J$204,"*Vent D/G*",SAISIE!$M$5:$M$204,$M$161)&gt;=0,MAXIFS(SAISIE!$K$5:$K$204,SAISIE!$J$5:$J$204,"*Vent D/G*",SAISIE!$M$5:$M$204,$M$161),INDEX(SAISIE!$K$5:$K$204,MATCH(MINIFS(SAISIE!$L$5:$L$204,SAISIE!$J$5:$J$204,"*Vent D/G*",SAISIE!$M$5:$M$204,$M$161),SAISIE!$L$5:$L$204,0))),"-"))</f>
        <v/>
      </c>
      <c r="K165" s="7">
        <f>IF(OR($M$161="",NOT(COUNTIFS(SAISIE!$J$5:$J$204,"*Vent D/G*",SAISIE!$M$5:$M$204,$M$161)&gt;0)),"",IFERROR(IF(MINIFS(SAISIE!$L$5:$L$204,SAISIE!$J$5:$J$204,"*Vent D/G*",SAISIE!$M$5:$M$204,$M$161)&gt;=0,0,MINIFS(SAISIE!$L$5:$L$204,SAISIE!$J$5:$J$204,"*Vent D/G*",SAISIE!$M$5:$M$204,$M$161)),"-"))</f>
        <v/>
      </c>
      <c r="L165" s="7">
        <f>IF($M$161="","",IF(OR(K165="",K165="-"),"",IF(K165&gt;0,"(soulevement)",IF(K165&lt;0,"(compression)","-"))))</f>
        <v/>
      </c>
    </row>
    <row r="166">
      <c r="A166" s="6">
        <f>IF(OR($F$161="",NOT(MAXIFS(SAISIE!$E$5:$E$204,SAISIE!$B$5:$B$204,"*Vent D/G*",SAISIE!$F$5:$F$204,$F$161)&gt;0)),"","Vent D/G")</f>
        <v/>
      </c>
      <c r="B166" s="7">
        <f>IF(OR($F$161="",NOT(MAXIFS(SAISIE!$E$5:$E$204,SAISIE!$B$5:$B$204,"*Vent D/G*",SAISIE!$F$5:$F$204,$F$161)&gt;0)),"",IFERROR(INDEX(SAISIE!$C$5:$C$204,MATCH(MAXIFS(SAISIE!$E$5:$E$204,SAISIE!$B$5:$B$204,"*Vent D/G*",SAISIE!$F$5:$F$204,$F$161),SAISIE!$E$5:$E$204,0)),"-"))</f>
        <v/>
      </c>
      <c r="C166" s="7">
        <f>IF(OR($F$161="",NOT(MAXIFS(SAISIE!$E$5:$E$204,SAISIE!$B$5:$B$204,"*Vent D/G*",SAISIE!$F$5:$F$204,$F$161)&gt;0)),"",IFERROR(INDEX(SAISIE!$D$5:$D$204,MATCH(MAXIFS(SAISIE!$E$5:$E$204,SAISIE!$B$5:$B$204,"*Vent D/G*",SAISIE!$F$5:$F$204,$F$161),SAISIE!$E$5:$E$204,0)),"-"))</f>
        <v/>
      </c>
      <c r="D166" s="7">
        <f>IF(OR($F$161="",NOT(MAXIFS(SAISIE!$E$5:$E$204,SAISIE!$B$5:$B$204,"*Vent D/G*",SAISIE!$F$5:$F$204,$F$161)&gt;0)),"",IFERROR(MAXIFS(SAISIE!$E$5:$E$204,SAISIE!$B$5:$B$204,"*Vent D/G*",SAISIE!$F$5:$F$204,$F$161),"-"))</f>
        <v/>
      </c>
      <c r="E166" s="7">
        <f>IF($F$161="","",IF(OR(D166="",D166="-"),"",IF(D166&gt;0,"(soulevement)",IF(D166&lt;0,"(compression)","-"))))</f>
        <v/>
      </c>
      <c r="I166" s="6">
        <f>IF(OR($M$161="",NOT(MAXIFS(SAISIE!$L$5:$L$204,SAISIE!$J$5:$J$204,"*Vent D/G*",SAISIE!$M$5:$M$204,$M$161)&gt;0)),"","Vent D/G")</f>
        <v/>
      </c>
      <c r="J166" s="7">
        <f>IF(OR($M$161="",NOT(MAXIFS(SAISIE!$L$5:$L$204,SAISIE!$J$5:$J$204,"*Vent D/G*",SAISIE!$M$5:$M$204,$M$161)&gt;0)),"",IFERROR(INDEX(SAISIE!$K$5:$K$204,MATCH(MAXIFS(SAISIE!$L$5:$L$204,SAISIE!$J$5:$J$204,"*Vent D/G*",SAISIE!$M$5:$M$204,$M$161),SAISIE!$L$5:$L$204,0)),"-"))</f>
        <v/>
      </c>
      <c r="K166" s="7">
        <f>IF(OR($M$161="",NOT(MAXIFS(SAISIE!$L$5:$L$204,SAISIE!$J$5:$J$204,"*Vent D/G*",SAISIE!$M$5:$M$204,$M$161)&gt;0)),"",IFERROR(MAXIFS(SAISIE!$L$5:$L$204,SAISIE!$J$5:$J$204,"*Vent D/G*",SAISIE!$M$5:$M$204,$M$161),"-"))</f>
        <v/>
      </c>
      <c r="L166" s="7">
        <f>IF($M$161="","",IF(OR(K166="",K166="-"),"",IF(K166&gt;0,"(soulevement)",IF(K166&lt;0,"(compression)","-"))))</f>
        <v/>
      </c>
    </row>
    <row r="167">
      <c r="A167" s="6">
        <f>IF(OR($F$161="",NOT(COUNTIFS(SAISIE!$B$5:$B$204,"*Vent Av./Arr.*",SAISIE!$F$5:$F$204,$F$161)&gt;0)),"","Vent Av./Arr.")</f>
        <v/>
      </c>
      <c r="B167" s="7">
        <f>IF(OR($F$161="",NOT(COUNTIFS(SAISIE!$B$5:$B$204,"*Vent Av./Arr.*",SAISIE!$F$5:$F$204,$F$161)&gt;0)),"",IFERROR(IF(MINIFS(SAISIE!$E$5:$E$204,SAISIE!$B$5:$B$204,"*Vent Av./Arr.*",SAISIE!$F$5:$F$204,$F$161)&gt;=0,MAXIFS(SAISIE!$C$5:$C$204,SAISIE!$B$5:$B$204,"*Vent Av./Arr.*",SAISIE!$F$5:$F$204,$F$161),INDEX(SAISIE!$C$5:$C$204,MATCH(MINIFS(SAISIE!$E$5:$E$204,SAISIE!$B$5:$B$204,"*Vent Av./Arr.*",SAISIE!$F$5:$F$204,$F$161),SAISIE!$E$5:$E$204,0))),"-"))</f>
        <v/>
      </c>
      <c r="C167" s="7">
        <f>IF(OR($F$161="",NOT(COUNTIFS(SAISIE!$B$5:$B$204,"*Vent Av./Arr.*",SAISIE!$F$5:$F$204,$F$161)&gt;0)),"",IFERROR(IF(MINIFS(SAISIE!$E$5:$E$204,SAISIE!$B$5:$B$204,"*Vent Av./Arr.*",SAISIE!$F$5:$F$204,$F$161)&gt;=0,INDEX(SAISIE!$D$5:$D$204,MATCH(MAXIFS(SAISIE!$C$5:$C$204,SAISIE!$B$5:$B$204,"*Vent Av./Arr.*",SAISIE!$F$5:$F$204,$F$161),SAISIE!$C$5:$C$204,0)),INDEX(SAISIE!$D$5:$D$204,MATCH(MINIFS(SAISIE!$E$5:$E$204,SAISIE!$B$5:$B$204,"*Vent Av./Arr.*",SAISIE!$F$5:$F$204,$F$161),SAISIE!$E$5:$E$204,0))),"-"))</f>
        <v/>
      </c>
      <c r="D167" s="7">
        <f>IF(OR($F$161="",NOT(COUNTIFS(SAISIE!$B$5:$B$204,"*Vent Av./Arr.*",SAISIE!$F$5:$F$204,$F$161)&gt;0)),"",IFERROR(IF(MINIFS(SAISIE!$E$5:$E$204,SAISIE!$B$5:$B$204,"*Vent Av./Arr.*",SAISIE!$F$5:$F$204,$F$161)&gt;=0,0,MINIFS(SAISIE!$E$5:$E$204,SAISIE!$B$5:$B$204,"*Vent Av./Arr.*",SAISIE!$F$5:$F$204,$F$161)),"-"))</f>
        <v/>
      </c>
      <c r="E167" s="7">
        <f>IF($F$161="","",IF(OR(D167="",D167="-"),"",IF(D167&gt;0,"(soulevement)",IF(D167&lt;0,"(compression)","-"))))</f>
        <v/>
      </c>
      <c r="I167" s="6">
        <f>IF(OR($M$161="",NOT(COUNTIFS(SAISIE!$J$5:$J$204,"*Vent Av./Arr.*",SAISIE!$M$5:$M$204,$M$161)&gt;0)),"","Vent Av./Arr.")</f>
        <v/>
      </c>
      <c r="J167" s="7">
        <f>IF(OR($M$161="",NOT(COUNTIFS(SAISIE!$J$5:$J$204,"*Vent Av./Arr.*",SAISIE!$M$5:$M$204,$M$161)&gt;0)),"",IFERROR(IF(MINIFS(SAISIE!$L$5:$L$204,SAISIE!$J$5:$J$204,"*Vent Av./Arr.*",SAISIE!$M$5:$M$204,$M$161)&gt;=0,MAXIFS(SAISIE!$K$5:$K$204,SAISIE!$J$5:$J$204,"*Vent Av./Arr.*",SAISIE!$M$5:$M$204,$M$161),INDEX(SAISIE!$K$5:$K$204,MATCH(MINIFS(SAISIE!$L$5:$L$204,SAISIE!$J$5:$J$204,"*Vent Av./Arr.*",SAISIE!$M$5:$M$204,$M$161),SAISIE!$L$5:$L$204,0))),"-"))</f>
        <v/>
      </c>
      <c r="K167" s="7">
        <f>IF(OR($M$161="",NOT(COUNTIFS(SAISIE!$J$5:$J$204,"*Vent Av./Arr.*",SAISIE!$M$5:$M$204,$M$161)&gt;0)),"",IFERROR(IF(MINIFS(SAISIE!$L$5:$L$204,SAISIE!$J$5:$J$204,"*Vent Av./Arr.*",SAISIE!$M$5:$M$204,$M$161)&gt;=0,0,MINIFS(SAISIE!$L$5:$L$204,SAISIE!$J$5:$J$204,"*Vent Av./Arr.*",SAISIE!$M$5:$M$204,$M$161)),"-"))</f>
        <v/>
      </c>
      <c r="L167" s="7">
        <f>IF($M$161="","",IF(OR(K167="",K167="-"),"",IF(K167&gt;0,"(soulevement)",IF(K167&lt;0,"(compression)","-"))))</f>
        <v/>
      </c>
    </row>
    <row r="168">
      <c r="A168" s="6">
        <f>IF(OR($F$161="",NOT(MAXIFS(SAISIE!$E$5:$E$204,SAISIE!$B$5:$B$204,"*Vent Av./Arr.*",SAISIE!$F$5:$F$204,$F$161)&gt;0)),"","Vent Av./Arr.")</f>
        <v/>
      </c>
      <c r="B168" s="7">
        <f>IF(OR($F$161="",NOT(MAXIFS(SAISIE!$E$5:$E$204,SAISIE!$B$5:$B$204,"*Vent Av./Arr.*",SAISIE!$F$5:$F$204,$F$161)&gt;0)),"",IFERROR(INDEX(SAISIE!$C$5:$C$204,MATCH(MAXIFS(SAISIE!$E$5:$E$204,SAISIE!$B$5:$B$204,"*Vent Av./Arr.*",SAISIE!$F$5:$F$204,$F$161),SAISIE!$E$5:$E$204,0)),"-"))</f>
        <v/>
      </c>
      <c r="C168" s="7">
        <f>IF(OR($F$161="",NOT(MAXIFS(SAISIE!$E$5:$E$204,SAISIE!$B$5:$B$204,"*Vent Av./Arr.*",SAISIE!$F$5:$F$204,$F$161)&gt;0)),"",IFERROR(INDEX(SAISIE!$D$5:$D$204,MATCH(MAXIFS(SAISIE!$E$5:$E$204,SAISIE!$B$5:$B$204,"*Vent Av./Arr.*",SAISIE!$F$5:$F$204,$F$161),SAISIE!$E$5:$E$204,0)),"-"))</f>
        <v/>
      </c>
      <c r="D168" s="7">
        <f>IF(OR($F$161="",NOT(MAXIFS(SAISIE!$E$5:$E$204,SAISIE!$B$5:$B$204,"*Vent Av./Arr.*",SAISIE!$F$5:$F$204,$F$161)&gt;0)),"",IFERROR(MAXIFS(SAISIE!$E$5:$E$204,SAISIE!$B$5:$B$204,"*Vent Av./Arr.*",SAISIE!$F$5:$F$204,$F$161),"-"))</f>
        <v/>
      </c>
      <c r="E168" s="7">
        <f>IF($F$161="","",IF(OR(D168="",D168="-"),"",IF(D168&gt;0,"(soulevement)",IF(D168&lt;0,"(compression)","-"))))</f>
        <v/>
      </c>
      <c r="I168" s="6">
        <f>IF(OR($M$161="",NOT(MAXIFS(SAISIE!$L$5:$L$204,SAISIE!$J$5:$J$204,"*Vent Av./Arr.*",SAISIE!$M$5:$M$204,$M$161)&gt;0)),"","Vent Av./Arr.")</f>
        <v/>
      </c>
      <c r="J168" s="7">
        <f>IF(OR($M$161="",NOT(MAXIFS(SAISIE!$L$5:$L$204,SAISIE!$J$5:$J$204,"*Vent Av./Arr.*",SAISIE!$M$5:$M$204,$M$161)&gt;0)),"",IFERROR(INDEX(SAISIE!$K$5:$K$204,MATCH(MAXIFS(SAISIE!$L$5:$L$204,SAISIE!$J$5:$J$204,"*Vent Av./Arr.*",SAISIE!$M$5:$M$204,$M$161),SAISIE!$L$5:$L$204,0)),"-"))</f>
        <v/>
      </c>
      <c r="K168" s="7">
        <f>IF(OR($M$161="",NOT(MAXIFS(SAISIE!$L$5:$L$204,SAISIE!$J$5:$J$204,"*Vent Av./Arr.*",SAISIE!$M$5:$M$204,$M$161)&gt;0)),"",IFERROR(MAXIFS(SAISIE!$L$5:$L$204,SAISIE!$J$5:$J$204,"*Vent Av./Arr.*",SAISIE!$M$5:$M$204,$M$161),"-"))</f>
        <v/>
      </c>
      <c r="L168" s="7">
        <f>IF($M$161="","",IF(OR(K168="",K168="-"),"",IF(K168&gt;0,"(soulevement)",IF(K168&lt;0,"(compression)","-"))))</f>
        <v/>
      </c>
    </row>
    <row r="169">
      <c r="A169" s="6">
        <f>IF(OR($F$161="",NOT(COUNTIFS(SAISIE!$B$5:$B$204,"*Vent Arr./Av.*",SAISIE!$F$5:$F$204,$F$161)&gt;0)),"","Vent Arr./Av.")</f>
        <v/>
      </c>
      <c r="B169" s="7">
        <f>IF(OR($F$161="",NOT(COUNTIFS(SAISIE!$B$5:$B$204,"*Vent Arr./Av.*",SAISIE!$F$5:$F$204,$F$161)&gt;0)),"",IFERROR(IF(MINIFS(SAISIE!$E$5:$E$204,SAISIE!$B$5:$B$204,"*Vent Arr./Av.*",SAISIE!$F$5:$F$204,$F$161)&gt;=0,MAXIFS(SAISIE!$C$5:$C$204,SAISIE!$B$5:$B$204,"*Vent Arr./Av.*",SAISIE!$F$5:$F$204,$F$161),INDEX(SAISIE!$C$5:$C$204,MATCH(MINIFS(SAISIE!$E$5:$E$204,SAISIE!$B$5:$B$204,"*Vent Arr./Av.*",SAISIE!$F$5:$F$204,$F$161),SAISIE!$E$5:$E$204,0))),"-"))</f>
        <v/>
      </c>
      <c r="C169" s="7">
        <f>IF(OR($F$161="",NOT(COUNTIFS(SAISIE!$B$5:$B$204,"*Vent Arr./Av.*",SAISIE!$F$5:$F$204,$F$161)&gt;0)),"",IFERROR(IF(MINIFS(SAISIE!$E$5:$E$204,SAISIE!$B$5:$B$204,"*Vent Arr./Av.*",SAISIE!$F$5:$F$204,$F$161)&gt;=0,INDEX(SAISIE!$D$5:$D$204,MATCH(MAXIFS(SAISIE!$C$5:$C$204,SAISIE!$B$5:$B$204,"*Vent Arr./Av.*",SAISIE!$F$5:$F$204,$F$161),SAISIE!$C$5:$C$204,0)),INDEX(SAISIE!$D$5:$D$204,MATCH(MINIFS(SAISIE!$E$5:$E$204,SAISIE!$B$5:$B$204,"*Vent Arr./Av.*",SAISIE!$F$5:$F$204,$F$161),SAISIE!$E$5:$E$204,0))),"-"))</f>
        <v/>
      </c>
      <c r="D169" s="7">
        <f>IF(OR($F$161="",NOT(COUNTIFS(SAISIE!$B$5:$B$204,"*Vent Arr./Av.*",SAISIE!$F$5:$F$204,$F$161)&gt;0)),"",IFERROR(IF(MINIFS(SAISIE!$E$5:$E$204,SAISIE!$B$5:$B$204,"*Vent Arr./Av.*",SAISIE!$F$5:$F$204,$F$161)&gt;=0,0,MINIFS(SAISIE!$E$5:$E$204,SAISIE!$B$5:$B$204,"*Vent Arr./Av.*",SAISIE!$F$5:$F$204,$F$161)),"-"))</f>
        <v/>
      </c>
      <c r="E169" s="7">
        <f>IF($F$161="","",IF(OR(D169="",D169="-"),"",IF(D169&gt;0,"(soulevement)",IF(D169&lt;0,"(compression)","-"))))</f>
        <v/>
      </c>
      <c r="I169" s="6">
        <f>IF(OR($M$161="",NOT(COUNTIFS(SAISIE!$J$5:$J$204,"*Vent Arr./Av.*",SAISIE!$M$5:$M$204,$M$161)&gt;0)),"","Vent Arr./Av.")</f>
        <v/>
      </c>
      <c r="J169" s="7">
        <f>IF(OR($M$161="",NOT(COUNTIFS(SAISIE!$J$5:$J$204,"*Vent Arr./Av.*",SAISIE!$M$5:$M$204,$M$161)&gt;0)),"",IFERROR(IF(MINIFS(SAISIE!$L$5:$L$204,SAISIE!$J$5:$J$204,"*Vent Arr./Av.*",SAISIE!$M$5:$M$204,$M$161)&gt;=0,MAXIFS(SAISIE!$K$5:$K$204,SAISIE!$J$5:$J$204,"*Vent Arr./Av.*",SAISIE!$M$5:$M$204,$M$161),INDEX(SAISIE!$K$5:$K$204,MATCH(MINIFS(SAISIE!$L$5:$L$204,SAISIE!$J$5:$J$204,"*Vent Arr./Av.*",SAISIE!$M$5:$M$204,$M$161),SAISIE!$L$5:$L$204,0))),"-"))</f>
        <v/>
      </c>
      <c r="K169" s="7">
        <f>IF(OR($M$161="",NOT(COUNTIFS(SAISIE!$J$5:$J$204,"*Vent Arr./Av.*",SAISIE!$M$5:$M$204,$M$161)&gt;0)),"",IFERROR(IF(MINIFS(SAISIE!$L$5:$L$204,SAISIE!$J$5:$J$204,"*Vent Arr./Av.*",SAISIE!$M$5:$M$204,$M$161)&gt;=0,0,MINIFS(SAISIE!$L$5:$L$204,SAISIE!$J$5:$J$204,"*Vent Arr./Av.*",SAISIE!$M$5:$M$204,$M$161)),"-"))</f>
        <v/>
      </c>
      <c r="L169" s="7">
        <f>IF($M$161="","",IF(OR(K169="",K169="-"),"",IF(K169&gt;0,"(soulevement)",IF(K169&lt;0,"(compression)","-"))))</f>
        <v/>
      </c>
    </row>
    <row r="170">
      <c r="A170" s="6">
        <f>IF(OR($F$161="",NOT(MAXIFS(SAISIE!$E$5:$E$204,SAISIE!$B$5:$B$204,"*Vent Arr./Av.*",SAISIE!$F$5:$F$204,$F$161)&gt;0)),"","Vent Arr./Av.")</f>
        <v/>
      </c>
      <c r="B170" s="7">
        <f>IF(OR($F$161="",NOT(MAXIFS(SAISIE!$E$5:$E$204,SAISIE!$B$5:$B$204,"*Vent Arr./Av.*",SAISIE!$F$5:$F$204,$F$161)&gt;0)),"",IFERROR(INDEX(SAISIE!$C$5:$C$204,MATCH(MAXIFS(SAISIE!$E$5:$E$204,SAISIE!$B$5:$B$204,"*Vent Arr./Av.*",SAISIE!$F$5:$F$204,$F$161),SAISIE!$E$5:$E$204,0)),"-"))</f>
        <v/>
      </c>
      <c r="C170" s="7">
        <f>IF(OR($F$161="",NOT(MAXIFS(SAISIE!$E$5:$E$204,SAISIE!$B$5:$B$204,"*Vent Arr./Av.*",SAISIE!$F$5:$F$204,$F$161)&gt;0)),"",IFERROR(INDEX(SAISIE!$D$5:$D$204,MATCH(MAXIFS(SAISIE!$E$5:$E$204,SAISIE!$B$5:$B$204,"*Vent Arr./Av.*",SAISIE!$F$5:$F$204,$F$161),SAISIE!$E$5:$E$204,0)),"-"))</f>
        <v/>
      </c>
      <c r="D170" s="7">
        <f>IF(OR($F$161="",NOT(MAXIFS(SAISIE!$E$5:$E$204,SAISIE!$B$5:$B$204,"*Vent Arr./Av.*",SAISIE!$F$5:$F$204,$F$161)&gt;0)),"",IFERROR(MAXIFS(SAISIE!$E$5:$E$204,SAISIE!$B$5:$B$204,"*Vent Arr./Av.*",SAISIE!$F$5:$F$204,$F$161),"-"))</f>
        <v/>
      </c>
      <c r="E170" s="7">
        <f>IF($F$161="","",IF(OR(D170="",D170="-"),"",IF(D170&gt;0,"(soulevement)",IF(D170&lt;0,"(compression)","-"))))</f>
        <v/>
      </c>
      <c r="I170" s="6">
        <f>IF(OR($M$161="",NOT(MAXIFS(SAISIE!$L$5:$L$204,SAISIE!$J$5:$J$204,"*Vent Arr./Av.*",SAISIE!$M$5:$M$204,$M$161)&gt;0)),"","Vent Arr./Av.")</f>
        <v/>
      </c>
      <c r="J170" s="7">
        <f>IF(OR($M$161="",NOT(MAXIFS(SAISIE!$L$5:$L$204,SAISIE!$J$5:$J$204,"*Vent Arr./Av.*",SAISIE!$M$5:$M$204,$M$161)&gt;0)),"",IFERROR(INDEX(SAISIE!$K$5:$K$204,MATCH(MAXIFS(SAISIE!$L$5:$L$204,SAISIE!$J$5:$J$204,"*Vent Arr./Av.*",SAISIE!$M$5:$M$204,$M$161),SAISIE!$L$5:$L$204,0)),"-"))</f>
        <v/>
      </c>
      <c r="K170" s="7">
        <f>IF(OR($M$161="",NOT(MAXIFS(SAISIE!$L$5:$L$204,SAISIE!$J$5:$J$204,"*Vent Arr./Av.*",SAISIE!$M$5:$M$204,$M$161)&gt;0)),"",IFERROR(MAXIFS(SAISIE!$L$5:$L$204,SAISIE!$J$5:$J$204,"*Vent Arr./Av.*",SAISIE!$M$5:$M$204,$M$161),"-"))</f>
        <v/>
      </c>
      <c r="L170" s="7">
        <f>IF($M$161="","",IF(OR(K170="",K170="-"),"",IF(K170&gt;0,"(soulevement)",IF(K170&lt;0,"(compression)","-"))))</f>
        <v/>
      </c>
    </row>
    <row r="171">
      <c r="A171" s="6">
        <f>IF(OR($F$161="",NOT(TRUE)),"","Neige normale")</f>
        <v/>
      </c>
      <c r="B171" s="7">
        <f>IF($F$161="","",IFERROR(INDEX(SAISIE!$C$5:$C$204,MATCH(MINIFS(SAISIE!$E$5:$E$204,SAISIE!$B$5:$B$204,"*Neige*",SAISIE!$B$5:$B$204,"&lt;&gt;*accidentel*",SAISIE!$F$5:$F$204,$F$161),SAISIE!$E$5:$E$204,0)),"-"))</f>
        <v/>
      </c>
      <c r="C171" s="7">
        <f>IF($F$161="","",IFERROR(INDEX(SAISIE!$D$5:$D$204,MATCH(MINIFS(SAISIE!$E$5:$E$204,SAISIE!$B$5:$B$204,"*Neige*",SAISIE!$B$5:$B$204,"&lt;&gt;*accidentel*",SAISIE!$F$5:$F$204,$F$161),SAISIE!$E$5:$E$204,0)),"-"))</f>
        <v/>
      </c>
      <c r="D171" s="7">
        <f>IF($F$161="","",IFERROR(INDEX(SAISIE!$E$5:$E$204,MATCH(MINIFS(SAISIE!$E$5:$E$204,SAISIE!$B$5:$B$204,"*Neige*",SAISIE!$B$5:$B$204,"&lt;&gt;*accidentel*",SAISIE!$F$5:$F$204,$F$161),SAISIE!$E$5:$E$204,0)),"-"))</f>
        <v/>
      </c>
      <c r="E171" s="7">
        <f>IF($F$161="","",IF(OR(D171="",D171="-"),"",IF(D171&gt;0,"(soulevement)",IF(D171&lt;0,"(compression)","-"))))</f>
        <v/>
      </c>
      <c r="I171" s="6">
        <f>IF(OR($M$161="",NOT(TRUE)),"","Neige normale")</f>
        <v/>
      </c>
      <c r="J171" s="7">
        <f>IF($M$161="","",IFERROR(INDEX(SAISIE!$K$5:$K$204,MATCH(MINIFS(SAISIE!$L$5:$L$204,SAISIE!$J$5:$J$204,"*Neige*",SAISIE!$J$5:$J$204,"&lt;&gt;*accidentel*",SAISIE!$M$5:$M$204,$M$161),SAISIE!$L$5:$L$204,0)),"-"))</f>
        <v/>
      </c>
      <c r="K171" s="7">
        <f>IF($M$161="","",IFERROR(INDEX(SAISIE!$L$5:$L$204,MATCH(MINIFS(SAISIE!$L$5:$L$204,SAISIE!$J$5:$J$204,"*Neige*",SAISIE!$J$5:$J$204,"&lt;&gt;*accidentel*",SAISIE!$M$5:$M$204,$M$161),SAISIE!$L$5:$L$204,0)),"-"))</f>
        <v/>
      </c>
      <c r="L171" s="7">
        <f>IF($M$161="","",IF(OR(K171="",K171="-"),"",IF(K171&gt;0,"(soulevement)",IF(K171&lt;0,"(compression)","-"))))</f>
        <v/>
      </c>
    </row>
    <row r="172">
      <c r="A172" s="6">
        <f>IF(OR($F$161="",NOT(TRUE)),"","Neige accidentelle")</f>
        <v/>
      </c>
      <c r="B172" s="7">
        <f>IF($F$161="","",IFERROR(LOOKUP(2,1/((SAISIE!$F$5:$F$204=$F$161)*(ISNUMBER(SEARCH("accidentel",SAISIE!$B$5:$B$204)))),SAISIE!$C$5:$C$204),"-"))</f>
        <v/>
      </c>
      <c r="C172" s="7">
        <f>IF($F$161="","",IFERROR(LOOKUP(2,1/((SAISIE!$F$5:$F$204=$F$161)*(ISNUMBER(SEARCH("accidentel",SAISIE!$B$5:$B$204)))),SAISIE!$D$5:$D$204),"-"))</f>
        <v/>
      </c>
      <c r="D172" s="7">
        <f>IF($F$161="","",IFERROR(LOOKUP(2,1/((SAISIE!$F$5:$F$204=$F$161)*(ISNUMBER(SEARCH("accidentel",SAISIE!$B$5:$B$204)))),SAISIE!$E$5:$E$204),"-"))</f>
        <v/>
      </c>
      <c r="E172" s="7">
        <f>IF($F$161="","",IF(OR(D172="",D172="-"),"",IF(D172&gt;0,"(soulevement)",IF(D172&lt;0,"(compression)","-"))))</f>
        <v/>
      </c>
      <c r="I172" s="6">
        <f>IF(OR($M$161="",NOT(TRUE)),"","Neige accidentelle")</f>
        <v/>
      </c>
      <c r="J172" s="7">
        <f>IF($M$161="","",IFERROR(LOOKUP(2,1/((SAISIE!$M$5:$M$204=$M$161)*(ISNUMBER(SEARCH("accidentel",SAISIE!$J$5:$J$204)))),SAISIE!$K$5:$K$204),"-"))</f>
        <v/>
      </c>
      <c r="K172" s="7">
        <f>IF($M$161="","",IFERROR(LOOKUP(2,1/((SAISIE!$M$5:$M$204=$M$161)*(ISNUMBER(SEARCH("accidentel",SAISIE!$J$5:$J$204)))),SAISIE!$L$5:$L$204),"-"))</f>
        <v/>
      </c>
      <c r="L172" s="7">
        <f>IF($M$161="","",IF(OR(K172="",K172="-"),"",IF(K172&gt;0,"(soulevement)",IF(K172&lt;0,"(compression)","-"))))</f>
        <v/>
      </c>
    </row>
    <row r="173">
      <c r="A173" s="5">
        <f>IF($F$173="","","Noeud "&amp;$F$173)</f>
        <v/>
      </c>
      <c r="B173" s="5" t="n"/>
      <c r="C173" s="5" t="n"/>
      <c r="D173" s="5" t="n"/>
      <c r="E173" s="5" t="n"/>
      <c r="F173">
        <f>IFERROR(INDEX(SAISIE!$F$5:$F$204,AGGREGATE(15,6,ROW(SAISIE!$F$5:$F$204)-ROW(SAISIE!$F$5)+1/(SAISIE!$F$5:$F$204&lt;&gt;"")/(COUNTIF($F$4:F172,SAISIE!$F$5:$F$204)=0),1)),"")</f>
        <v/>
      </c>
      <c r="I173" s="5">
        <f>IF($M$173="","","Noeud "&amp;$M$173)</f>
        <v/>
      </c>
      <c r="J173" s="5" t="n"/>
      <c r="K173" s="5" t="n"/>
      <c r="L173" s="5" t="n"/>
      <c r="M173">
        <f>IFERROR(INDEX(SAISIE!$M$5:$M$204,AGGREGATE(15,6,ROW(SAISIE!$M$5:$M$204)-ROW(SAISIE!$M$5)+1/(SAISIE!$M$5:$M$204&lt;&gt;"")/(COUNTIF($M$4:M172,SAISIE!$M$5:$M$204)=0),1)),"")</f>
        <v/>
      </c>
    </row>
    <row r="174">
      <c r="A174" s="6">
        <f>IF(OR($F$173="",NOT(TRUE)),"","Couverture")</f>
        <v/>
      </c>
      <c r="B174" s="7">
        <f>IF($F$173="","",IFERROR(IFERROR(LOOKUP(2,1/((SAISIE!$F$5:$F$204=$F$173)*(LEFT(SAISIE!$B$5:$B$204,2)="G ")),SAISIE!$C$5:$C$204),LOOKUP(2,1/((SAISIE!$F$5:$F$204=$F$173)*(ISNUMBER(SEARCH("Couverture",SAISIE!$B$5:$B$204)))),SAISIE!$C$5:$C$204)),"-"))</f>
        <v/>
      </c>
      <c r="C174" s="7">
        <f>IF($F$173="","",IFERROR(IFERROR(LOOKUP(2,1/((SAISIE!$F$5:$F$204=$F$173)*(LEFT(SAISIE!$B$5:$B$204,2)="G ")),SAISIE!$D$5:$D$204),LOOKUP(2,1/((SAISIE!$F$5:$F$204=$F$173)*(ISNUMBER(SEARCH("Couverture",SAISIE!$B$5:$B$204)))),SAISIE!$D$5:$D$204)),"-"))</f>
        <v/>
      </c>
      <c r="D174" s="7">
        <f>IF($F$173="","",IFERROR(IFERROR(LOOKUP(2,1/((SAISIE!$F$5:$F$204=$F$173)*(LEFT(SAISIE!$B$5:$B$204,2)="G ")),SAISIE!$E$5:$E$204),LOOKUP(2,1/((SAISIE!$F$5:$F$204=$F$173)*(ISNUMBER(SEARCH("Couverture",SAISIE!$B$5:$B$204)))),SAISIE!$E$5:$E$204)),"-"))</f>
        <v/>
      </c>
      <c r="E174" s="7">
        <f>IF($F$173="","",IF(OR(D174="",D174="-"),"",IF(D174&gt;0,"(soulevement)",IF(D174&lt;0,"(compression)","-"))))</f>
        <v/>
      </c>
      <c r="I174" s="6">
        <f>IF(OR($M$173="",NOT(TRUE)),"","Couverture")</f>
        <v/>
      </c>
      <c r="J174" s="7">
        <f>IF($M$173="","",IFERROR(IFERROR(LOOKUP(2,1/((SAISIE!$M$5:$M$204=$M$173)*(LEFT(SAISIE!$J$5:$J$204,2)="G ")),SAISIE!$K$5:$K$204),LOOKUP(2,1/((SAISIE!$M$5:$M$204=$M$173)*(ISNUMBER(SEARCH("Couverture",SAISIE!$J$5:$J$204)))),SAISIE!$K$5:$K$204)),"-"))</f>
        <v/>
      </c>
      <c r="K174" s="7">
        <f>IF($M$173="","",IFERROR(IFERROR(LOOKUP(2,1/((SAISIE!$M$5:$M$204=$M$173)*(LEFT(SAISIE!$J$5:$J$204,2)="G ")),SAISIE!$L$5:$L$204),LOOKUP(2,1/((SAISIE!$M$5:$M$204=$M$173)*(ISNUMBER(SEARCH("Couverture",SAISIE!$J$5:$J$204)))),SAISIE!$L$5:$L$204)),"-"))</f>
        <v/>
      </c>
      <c r="L174" s="7">
        <f>IF($M$173="","",IF(OR(K174="",K174="-"),"",IF(K174&gt;0,"(soulevement)",IF(K174&lt;0,"(compression)","-"))))</f>
        <v/>
      </c>
    </row>
    <row r="175">
      <c r="A175" s="6">
        <f>IF(OR($F$173="",NOT(COUNTIFS(SAISIE!$B$5:$B$204,"*Vent G/D*",SAISIE!$F$5:$F$204,$F$173)&gt;0)),"","Vent G/D")</f>
        <v/>
      </c>
      <c r="B175" s="7">
        <f>IF(OR($F$173="",NOT(COUNTIFS(SAISIE!$B$5:$B$204,"*Vent G/D*",SAISIE!$F$5:$F$204,$F$173)&gt;0)),"",IFERROR(IF(MINIFS(SAISIE!$E$5:$E$204,SAISIE!$B$5:$B$204,"*Vent G/D*",SAISIE!$F$5:$F$204,$F$173)&gt;=0,MAXIFS(SAISIE!$C$5:$C$204,SAISIE!$B$5:$B$204,"*Vent G/D*",SAISIE!$F$5:$F$204,$F$173),INDEX(SAISIE!$C$5:$C$204,MATCH(MINIFS(SAISIE!$E$5:$E$204,SAISIE!$B$5:$B$204,"*Vent G/D*",SAISIE!$F$5:$F$204,$F$173),SAISIE!$E$5:$E$204,0))),"-"))</f>
        <v/>
      </c>
      <c r="C175" s="7">
        <f>IF(OR($F$173="",NOT(COUNTIFS(SAISIE!$B$5:$B$204,"*Vent G/D*",SAISIE!$F$5:$F$204,$F$173)&gt;0)),"",IFERROR(IF(MINIFS(SAISIE!$E$5:$E$204,SAISIE!$B$5:$B$204,"*Vent G/D*",SAISIE!$F$5:$F$204,$F$173)&gt;=0,INDEX(SAISIE!$D$5:$D$204,MATCH(MAXIFS(SAISIE!$C$5:$C$204,SAISIE!$B$5:$B$204,"*Vent G/D*",SAISIE!$F$5:$F$204,$F$173),SAISIE!$C$5:$C$204,0)),INDEX(SAISIE!$D$5:$D$204,MATCH(MINIFS(SAISIE!$E$5:$E$204,SAISIE!$B$5:$B$204,"*Vent G/D*",SAISIE!$F$5:$F$204,$F$173),SAISIE!$E$5:$E$204,0))),"-"))</f>
        <v/>
      </c>
      <c r="D175" s="7">
        <f>IF(OR($F$173="",NOT(COUNTIFS(SAISIE!$B$5:$B$204,"*Vent G/D*",SAISIE!$F$5:$F$204,$F$173)&gt;0)),"",IFERROR(IF(MINIFS(SAISIE!$E$5:$E$204,SAISIE!$B$5:$B$204,"*Vent G/D*",SAISIE!$F$5:$F$204,$F$173)&gt;=0,0,MINIFS(SAISIE!$E$5:$E$204,SAISIE!$B$5:$B$204,"*Vent G/D*",SAISIE!$F$5:$F$204,$F$173)),"-"))</f>
        <v/>
      </c>
      <c r="E175" s="7">
        <f>IF($F$173="","",IF(OR(D175="",D175="-"),"",IF(D175&gt;0,"(soulevement)",IF(D175&lt;0,"(compression)","-"))))</f>
        <v/>
      </c>
      <c r="I175" s="6">
        <f>IF(OR($M$173="",NOT(COUNTIFS(SAISIE!$J$5:$J$204,"*Vent G/D*",SAISIE!$M$5:$M$204,$M$173)&gt;0)),"","Vent G/D")</f>
        <v/>
      </c>
      <c r="J175" s="7">
        <f>IF(OR($M$173="",NOT(COUNTIFS(SAISIE!$J$5:$J$204,"*Vent G/D*",SAISIE!$M$5:$M$204,$M$173)&gt;0)),"",IFERROR(IF(MINIFS(SAISIE!$L$5:$L$204,SAISIE!$J$5:$J$204,"*Vent G/D*",SAISIE!$M$5:$M$204,$M$173)&gt;=0,MAXIFS(SAISIE!$K$5:$K$204,SAISIE!$J$5:$J$204,"*Vent G/D*",SAISIE!$M$5:$M$204,$M$173),INDEX(SAISIE!$K$5:$K$204,MATCH(MINIFS(SAISIE!$L$5:$L$204,SAISIE!$J$5:$J$204,"*Vent G/D*",SAISIE!$M$5:$M$204,$M$173),SAISIE!$L$5:$L$204,0))),"-"))</f>
        <v/>
      </c>
      <c r="K175" s="7">
        <f>IF(OR($M$173="",NOT(COUNTIFS(SAISIE!$J$5:$J$204,"*Vent G/D*",SAISIE!$M$5:$M$204,$M$173)&gt;0)),"",IFERROR(IF(MINIFS(SAISIE!$L$5:$L$204,SAISIE!$J$5:$J$204,"*Vent G/D*",SAISIE!$M$5:$M$204,$M$173)&gt;=0,0,MINIFS(SAISIE!$L$5:$L$204,SAISIE!$J$5:$J$204,"*Vent G/D*",SAISIE!$M$5:$M$204,$M$173)),"-"))</f>
        <v/>
      </c>
      <c r="L175" s="7">
        <f>IF($M$173="","",IF(OR(K175="",K175="-"),"",IF(K175&gt;0,"(soulevement)",IF(K175&lt;0,"(compression)","-"))))</f>
        <v/>
      </c>
    </row>
    <row r="176">
      <c r="A176" s="6">
        <f>IF(OR($F$173="",NOT(MAXIFS(SAISIE!$E$5:$E$204,SAISIE!$B$5:$B$204,"*Vent G/D*",SAISIE!$F$5:$F$204,$F$173)&gt;0)),"","Vent G/D")</f>
        <v/>
      </c>
      <c r="B176" s="7">
        <f>IF(OR($F$173="",NOT(MAXIFS(SAISIE!$E$5:$E$204,SAISIE!$B$5:$B$204,"*Vent G/D*",SAISIE!$F$5:$F$204,$F$173)&gt;0)),"",IFERROR(INDEX(SAISIE!$C$5:$C$204,MATCH(MAXIFS(SAISIE!$E$5:$E$204,SAISIE!$B$5:$B$204,"*Vent G/D*",SAISIE!$F$5:$F$204,$F$173),SAISIE!$E$5:$E$204,0)),"-"))</f>
        <v/>
      </c>
      <c r="C176" s="7">
        <f>IF(OR($F$173="",NOT(MAXIFS(SAISIE!$E$5:$E$204,SAISIE!$B$5:$B$204,"*Vent G/D*",SAISIE!$F$5:$F$204,$F$173)&gt;0)),"",IFERROR(INDEX(SAISIE!$D$5:$D$204,MATCH(MAXIFS(SAISIE!$E$5:$E$204,SAISIE!$B$5:$B$204,"*Vent G/D*",SAISIE!$F$5:$F$204,$F$173),SAISIE!$E$5:$E$204,0)),"-"))</f>
        <v/>
      </c>
      <c r="D176" s="7">
        <f>IF(OR($F$173="",NOT(MAXIFS(SAISIE!$E$5:$E$204,SAISIE!$B$5:$B$204,"*Vent G/D*",SAISIE!$F$5:$F$204,$F$173)&gt;0)),"",IFERROR(MAXIFS(SAISIE!$E$5:$E$204,SAISIE!$B$5:$B$204,"*Vent G/D*",SAISIE!$F$5:$F$204,$F$173),"-"))</f>
        <v/>
      </c>
      <c r="E176" s="7">
        <f>IF($F$173="","",IF(OR(D176="",D176="-"),"",IF(D176&gt;0,"(soulevement)",IF(D176&lt;0,"(compression)","-"))))</f>
        <v/>
      </c>
      <c r="I176" s="6">
        <f>IF(OR($M$173="",NOT(MAXIFS(SAISIE!$L$5:$L$204,SAISIE!$J$5:$J$204,"*Vent G/D*",SAISIE!$M$5:$M$204,$M$173)&gt;0)),"","Vent G/D")</f>
        <v/>
      </c>
      <c r="J176" s="7">
        <f>IF(OR($M$173="",NOT(MAXIFS(SAISIE!$L$5:$L$204,SAISIE!$J$5:$J$204,"*Vent G/D*",SAISIE!$M$5:$M$204,$M$173)&gt;0)),"",IFERROR(INDEX(SAISIE!$K$5:$K$204,MATCH(MAXIFS(SAISIE!$L$5:$L$204,SAISIE!$J$5:$J$204,"*Vent G/D*",SAISIE!$M$5:$M$204,$M$173),SAISIE!$L$5:$L$204,0)),"-"))</f>
        <v/>
      </c>
      <c r="K176" s="7">
        <f>IF(OR($M$173="",NOT(MAXIFS(SAISIE!$L$5:$L$204,SAISIE!$J$5:$J$204,"*Vent G/D*",SAISIE!$M$5:$M$204,$M$173)&gt;0)),"",IFERROR(MAXIFS(SAISIE!$L$5:$L$204,SAISIE!$J$5:$J$204,"*Vent G/D*",SAISIE!$M$5:$M$204,$M$173),"-"))</f>
        <v/>
      </c>
      <c r="L176" s="7">
        <f>IF($M$173="","",IF(OR(K176="",K176="-"),"",IF(K176&gt;0,"(soulevement)",IF(K176&lt;0,"(compression)","-"))))</f>
        <v/>
      </c>
    </row>
    <row r="177">
      <c r="A177" s="6">
        <f>IF(OR($F$173="",NOT(COUNTIFS(SAISIE!$B$5:$B$204,"*Vent D/G*",SAISIE!$F$5:$F$204,$F$173)&gt;0)),"","Vent D/G")</f>
        <v/>
      </c>
      <c r="B177" s="7">
        <f>IF(OR($F$173="",NOT(COUNTIFS(SAISIE!$B$5:$B$204,"*Vent D/G*",SAISIE!$F$5:$F$204,$F$173)&gt;0)),"",IFERROR(IF(MINIFS(SAISIE!$E$5:$E$204,SAISIE!$B$5:$B$204,"*Vent D/G*",SAISIE!$F$5:$F$204,$F$173)&gt;=0,MAXIFS(SAISIE!$C$5:$C$204,SAISIE!$B$5:$B$204,"*Vent D/G*",SAISIE!$F$5:$F$204,$F$173),INDEX(SAISIE!$C$5:$C$204,MATCH(MINIFS(SAISIE!$E$5:$E$204,SAISIE!$B$5:$B$204,"*Vent D/G*",SAISIE!$F$5:$F$204,$F$173),SAISIE!$E$5:$E$204,0))),"-"))</f>
        <v/>
      </c>
      <c r="C177" s="7">
        <f>IF(OR($F$173="",NOT(COUNTIFS(SAISIE!$B$5:$B$204,"*Vent D/G*",SAISIE!$F$5:$F$204,$F$173)&gt;0)),"",IFERROR(IF(MINIFS(SAISIE!$E$5:$E$204,SAISIE!$B$5:$B$204,"*Vent D/G*",SAISIE!$F$5:$F$204,$F$173)&gt;=0,INDEX(SAISIE!$D$5:$D$204,MATCH(MAXIFS(SAISIE!$C$5:$C$204,SAISIE!$B$5:$B$204,"*Vent D/G*",SAISIE!$F$5:$F$204,$F$173),SAISIE!$C$5:$C$204,0)),INDEX(SAISIE!$D$5:$D$204,MATCH(MINIFS(SAISIE!$E$5:$E$204,SAISIE!$B$5:$B$204,"*Vent D/G*",SAISIE!$F$5:$F$204,$F$173),SAISIE!$E$5:$E$204,0))),"-"))</f>
        <v/>
      </c>
      <c r="D177" s="7">
        <f>IF(OR($F$173="",NOT(COUNTIFS(SAISIE!$B$5:$B$204,"*Vent D/G*",SAISIE!$F$5:$F$204,$F$173)&gt;0)),"",IFERROR(IF(MINIFS(SAISIE!$E$5:$E$204,SAISIE!$B$5:$B$204,"*Vent D/G*",SAISIE!$F$5:$F$204,$F$173)&gt;=0,0,MINIFS(SAISIE!$E$5:$E$204,SAISIE!$B$5:$B$204,"*Vent D/G*",SAISIE!$F$5:$F$204,$F$173)),"-"))</f>
        <v/>
      </c>
      <c r="E177" s="7">
        <f>IF($F$173="","",IF(OR(D177="",D177="-"),"",IF(D177&gt;0,"(soulevement)",IF(D177&lt;0,"(compression)","-"))))</f>
        <v/>
      </c>
      <c r="I177" s="6">
        <f>IF(OR($M$173="",NOT(COUNTIFS(SAISIE!$J$5:$J$204,"*Vent D/G*",SAISIE!$M$5:$M$204,$M$173)&gt;0)),"","Vent D/G")</f>
        <v/>
      </c>
      <c r="J177" s="7">
        <f>IF(OR($M$173="",NOT(COUNTIFS(SAISIE!$J$5:$J$204,"*Vent D/G*",SAISIE!$M$5:$M$204,$M$173)&gt;0)),"",IFERROR(IF(MINIFS(SAISIE!$L$5:$L$204,SAISIE!$J$5:$J$204,"*Vent D/G*",SAISIE!$M$5:$M$204,$M$173)&gt;=0,MAXIFS(SAISIE!$K$5:$K$204,SAISIE!$J$5:$J$204,"*Vent D/G*",SAISIE!$M$5:$M$204,$M$173),INDEX(SAISIE!$K$5:$K$204,MATCH(MINIFS(SAISIE!$L$5:$L$204,SAISIE!$J$5:$J$204,"*Vent D/G*",SAISIE!$M$5:$M$204,$M$173),SAISIE!$L$5:$L$204,0))),"-"))</f>
        <v/>
      </c>
      <c r="K177" s="7">
        <f>IF(OR($M$173="",NOT(COUNTIFS(SAISIE!$J$5:$J$204,"*Vent D/G*",SAISIE!$M$5:$M$204,$M$173)&gt;0)),"",IFERROR(IF(MINIFS(SAISIE!$L$5:$L$204,SAISIE!$J$5:$J$204,"*Vent D/G*",SAISIE!$M$5:$M$204,$M$173)&gt;=0,0,MINIFS(SAISIE!$L$5:$L$204,SAISIE!$J$5:$J$204,"*Vent D/G*",SAISIE!$M$5:$M$204,$M$173)),"-"))</f>
        <v/>
      </c>
      <c r="L177" s="7">
        <f>IF($M$173="","",IF(OR(K177="",K177="-"),"",IF(K177&gt;0,"(soulevement)",IF(K177&lt;0,"(compression)","-"))))</f>
        <v/>
      </c>
    </row>
    <row r="178">
      <c r="A178" s="6">
        <f>IF(OR($F$173="",NOT(MAXIFS(SAISIE!$E$5:$E$204,SAISIE!$B$5:$B$204,"*Vent D/G*",SAISIE!$F$5:$F$204,$F$173)&gt;0)),"","Vent D/G")</f>
        <v/>
      </c>
      <c r="B178" s="7">
        <f>IF(OR($F$173="",NOT(MAXIFS(SAISIE!$E$5:$E$204,SAISIE!$B$5:$B$204,"*Vent D/G*",SAISIE!$F$5:$F$204,$F$173)&gt;0)),"",IFERROR(INDEX(SAISIE!$C$5:$C$204,MATCH(MAXIFS(SAISIE!$E$5:$E$204,SAISIE!$B$5:$B$204,"*Vent D/G*",SAISIE!$F$5:$F$204,$F$173),SAISIE!$E$5:$E$204,0)),"-"))</f>
        <v/>
      </c>
      <c r="C178" s="7">
        <f>IF(OR($F$173="",NOT(MAXIFS(SAISIE!$E$5:$E$204,SAISIE!$B$5:$B$204,"*Vent D/G*",SAISIE!$F$5:$F$204,$F$173)&gt;0)),"",IFERROR(INDEX(SAISIE!$D$5:$D$204,MATCH(MAXIFS(SAISIE!$E$5:$E$204,SAISIE!$B$5:$B$204,"*Vent D/G*",SAISIE!$F$5:$F$204,$F$173),SAISIE!$E$5:$E$204,0)),"-"))</f>
        <v/>
      </c>
      <c r="D178" s="7">
        <f>IF(OR($F$173="",NOT(MAXIFS(SAISIE!$E$5:$E$204,SAISIE!$B$5:$B$204,"*Vent D/G*",SAISIE!$F$5:$F$204,$F$173)&gt;0)),"",IFERROR(MAXIFS(SAISIE!$E$5:$E$204,SAISIE!$B$5:$B$204,"*Vent D/G*",SAISIE!$F$5:$F$204,$F$173),"-"))</f>
        <v/>
      </c>
      <c r="E178" s="7">
        <f>IF($F$173="","",IF(OR(D178="",D178="-"),"",IF(D178&gt;0,"(soulevement)",IF(D178&lt;0,"(compression)","-"))))</f>
        <v/>
      </c>
      <c r="I178" s="6">
        <f>IF(OR($M$173="",NOT(MAXIFS(SAISIE!$L$5:$L$204,SAISIE!$J$5:$J$204,"*Vent D/G*",SAISIE!$M$5:$M$204,$M$173)&gt;0)),"","Vent D/G")</f>
        <v/>
      </c>
      <c r="J178" s="7">
        <f>IF(OR($M$173="",NOT(MAXIFS(SAISIE!$L$5:$L$204,SAISIE!$J$5:$J$204,"*Vent D/G*",SAISIE!$M$5:$M$204,$M$173)&gt;0)),"",IFERROR(INDEX(SAISIE!$K$5:$K$204,MATCH(MAXIFS(SAISIE!$L$5:$L$204,SAISIE!$J$5:$J$204,"*Vent D/G*",SAISIE!$M$5:$M$204,$M$173),SAISIE!$L$5:$L$204,0)),"-"))</f>
        <v/>
      </c>
      <c r="K178" s="7">
        <f>IF(OR($M$173="",NOT(MAXIFS(SAISIE!$L$5:$L$204,SAISIE!$J$5:$J$204,"*Vent D/G*",SAISIE!$M$5:$M$204,$M$173)&gt;0)),"",IFERROR(MAXIFS(SAISIE!$L$5:$L$204,SAISIE!$J$5:$J$204,"*Vent D/G*",SAISIE!$M$5:$M$204,$M$173),"-"))</f>
        <v/>
      </c>
      <c r="L178" s="7">
        <f>IF($M$173="","",IF(OR(K178="",K178="-"),"",IF(K178&gt;0,"(soulevement)",IF(K178&lt;0,"(compression)","-"))))</f>
        <v/>
      </c>
    </row>
    <row r="179">
      <c r="A179" s="6">
        <f>IF(OR($F$173="",NOT(COUNTIFS(SAISIE!$B$5:$B$204,"*Vent Av./Arr.*",SAISIE!$F$5:$F$204,$F$173)&gt;0)),"","Vent Av./Arr.")</f>
        <v/>
      </c>
      <c r="B179" s="7">
        <f>IF(OR($F$173="",NOT(COUNTIFS(SAISIE!$B$5:$B$204,"*Vent Av./Arr.*",SAISIE!$F$5:$F$204,$F$173)&gt;0)),"",IFERROR(IF(MINIFS(SAISIE!$E$5:$E$204,SAISIE!$B$5:$B$204,"*Vent Av./Arr.*",SAISIE!$F$5:$F$204,$F$173)&gt;=0,MAXIFS(SAISIE!$C$5:$C$204,SAISIE!$B$5:$B$204,"*Vent Av./Arr.*",SAISIE!$F$5:$F$204,$F$173),INDEX(SAISIE!$C$5:$C$204,MATCH(MINIFS(SAISIE!$E$5:$E$204,SAISIE!$B$5:$B$204,"*Vent Av./Arr.*",SAISIE!$F$5:$F$204,$F$173),SAISIE!$E$5:$E$204,0))),"-"))</f>
        <v/>
      </c>
      <c r="C179" s="7">
        <f>IF(OR($F$173="",NOT(COUNTIFS(SAISIE!$B$5:$B$204,"*Vent Av./Arr.*",SAISIE!$F$5:$F$204,$F$173)&gt;0)),"",IFERROR(IF(MINIFS(SAISIE!$E$5:$E$204,SAISIE!$B$5:$B$204,"*Vent Av./Arr.*",SAISIE!$F$5:$F$204,$F$173)&gt;=0,INDEX(SAISIE!$D$5:$D$204,MATCH(MAXIFS(SAISIE!$C$5:$C$204,SAISIE!$B$5:$B$204,"*Vent Av./Arr.*",SAISIE!$F$5:$F$204,$F$173),SAISIE!$C$5:$C$204,0)),INDEX(SAISIE!$D$5:$D$204,MATCH(MINIFS(SAISIE!$E$5:$E$204,SAISIE!$B$5:$B$204,"*Vent Av./Arr.*",SAISIE!$F$5:$F$204,$F$173),SAISIE!$E$5:$E$204,0))),"-"))</f>
        <v/>
      </c>
      <c r="D179" s="7">
        <f>IF(OR($F$173="",NOT(COUNTIFS(SAISIE!$B$5:$B$204,"*Vent Av./Arr.*",SAISIE!$F$5:$F$204,$F$173)&gt;0)),"",IFERROR(IF(MINIFS(SAISIE!$E$5:$E$204,SAISIE!$B$5:$B$204,"*Vent Av./Arr.*",SAISIE!$F$5:$F$204,$F$173)&gt;=0,0,MINIFS(SAISIE!$E$5:$E$204,SAISIE!$B$5:$B$204,"*Vent Av./Arr.*",SAISIE!$F$5:$F$204,$F$173)),"-"))</f>
        <v/>
      </c>
      <c r="E179" s="7">
        <f>IF($F$173="","",IF(OR(D179="",D179="-"),"",IF(D179&gt;0,"(soulevement)",IF(D179&lt;0,"(compression)","-"))))</f>
        <v/>
      </c>
      <c r="I179" s="6">
        <f>IF(OR($M$173="",NOT(COUNTIFS(SAISIE!$J$5:$J$204,"*Vent Av./Arr.*",SAISIE!$M$5:$M$204,$M$173)&gt;0)),"","Vent Av./Arr.")</f>
        <v/>
      </c>
      <c r="J179" s="7">
        <f>IF(OR($M$173="",NOT(COUNTIFS(SAISIE!$J$5:$J$204,"*Vent Av./Arr.*",SAISIE!$M$5:$M$204,$M$173)&gt;0)),"",IFERROR(IF(MINIFS(SAISIE!$L$5:$L$204,SAISIE!$J$5:$J$204,"*Vent Av./Arr.*",SAISIE!$M$5:$M$204,$M$173)&gt;=0,MAXIFS(SAISIE!$K$5:$K$204,SAISIE!$J$5:$J$204,"*Vent Av./Arr.*",SAISIE!$M$5:$M$204,$M$173),INDEX(SAISIE!$K$5:$K$204,MATCH(MINIFS(SAISIE!$L$5:$L$204,SAISIE!$J$5:$J$204,"*Vent Av./Arr.*",SAISIE!$M$5:$M$204,$M$173),SAISIE!$L$5:$L$204,0))),"-"))</f>
        <v/>
      </c>
      <c r="K179" s="7">
        <f>IF(OR($M$173="",NOT(COUNTIFS(SAISIE!$J$5:$J$204,"*Vent Av./Arr.*",SAISIE!$M$5:$M$204,$M$173)&gt;0)),"",IFERROR(IF(MINIFS(SAISIE!$L$5:$L$204,SAISIE!$J$5:$J$204,"*Vent Av./Arr.*",SAISIE!$M$5:$M$204,$M$173)&gt;=0,0,MINIFS(SAISIE!$L$5:$L$204,SAISIE!$J$5:$J$204,"*Vent Av./Arr.*",SAISIE!$M$5:$M$204,$M$173)),"-"))</f>
        <v/>
      </c>
      <c r="L179" s="7">
        <f>IF($M$173="","",IF(OR(K179="",K179="-"),"",IF(K179&gt;0,"(soulevement)",IF(K179&lt;0,"(compression)","-"))))</f>
        <v/>
      </c>
    </row>
    <row r="180">
      <c r="A180" s="6">
        <f>IF(OR($F$173="",NOT(MAXIFS(SAISIE!$E$5:$E$204,SAISIE!$B$5:$B$204,"*Vent Av./Arr.*",SAISIE!$F$5:$F$204,$F$173)&gt;0)),"","Vent Av./Arr.")</f>
        <v/>
      </c>
      <c r="B180" s="7">
        <f>IF(OR($F$173="",NOT(MAXIFS(SAISIE!$E$5:$E$204,SAISIE!$B$5:$B$204,"*Vent Av./Arr.*",SAISIE!$F$5:$F$204,$F$173)&gt;0)),"",IFERROR(INDEX(SAISIE!$C$5:$C$204,MATCH(MAXIFS(SAISIE!$E$5:$E$204,SAISIE!$B$5:$B$204,"*Vent Av./Arr.*",SAISIE!$F$5:$F$204,$F$173),SAISIE!$E$5:$E$204,0)),"-"))</f>
        <v/>
      </c>
      <c r="C180" s="7">
        <f>IF(OR($F$173="",NOT(MAXIFS(SAISIE!$E$5:$E$204,SAISIE!$B$5:$B$204,"*Vent Av./Arr.*",SAISIE!$F$5:$F$204,$F$173)&gt;0)),"",IFERROR(INDEX(SAISIE!$D$5:$D$204,MATCH(MAXIFS(SAISIE!$E$5:$E$204,SAISIE!$B$5:$B$204,"*Vent Av./Arr.*",SAISIE!$F$5:$F$204,$F$173),SAISIE!$E$5:$E$204,0)),"-"))</f>
        <v/>
      </c>
      <c r="D180" s="7">
        <f>IF(OR($F$173="",NOT(MAXIFS(SAISIE!$E$5:$E$204,SAISIE!$B$5:$B$204,"*Vent Av./Arr.*",SAISIE!$F$5:$F$204,$F$173)&gt;0)),"",IFERROR(MAXIFS(SAISIE!$E$5:$E$204,SAISIE!$B$5:$B$204,"*Vent Av./Arr.*",SAISIE!$F$5:$F$204,$F$173),"-"))</f>
        <v/>
      </c>
      <c r="E180" s="7">
        <f>IF($F$173="","",IF(OR(D180="",D180="-"),"",IF(D180&gt;0,"(soulevement)",IF(D180&lt;0,"(compression)","-"))))</f>
        <v/>
      </c>
      <c r="I180" s="6">
        <f>IF(OR($M$173="",NOT(MAXIFS(SAISIE!$L$5:$L$204,SAISIE!$J$5:$J$204,"*Vent Av./Arr.*",SAISIE!$M$5:$M$204,$M$173)&gt;0)),"","Vent Av./Arr.")</f>
        <v/>
      </c>
      <c r="J180" s="7">
        <f>IF(OR($M$173="",NOT(MAXIFS(SAISIE!$L$5:$L$204,SAISIE!$J$5:$J$204,"*Vent Av./Arr.*",SAISIE!$M$5:$M$204,$M$173)&gt;0)),"",IFERROR(INDEX(SAISIE!$K$5:$K$204,MATCH(MAXIFS(SAISIE!$L$5:$L$204,SAISIE!$J$5:$J$204,"*Vent Av./Arr.*",SAISIE!$M$5:$M$204,$M$173),SAISIE!$L$5:$L$204,0)),"-"))</f>
        <v/>
      </c>
      <c r="K180" s="7">
        <f>IF(OR($M$173="",NOT(MAXIFS(SAISIE!$L$5:$L$204,SAISIE!$J$5:$J$204,"*Vent Av./Arr.*",SAISIE!$M$5:$M$204,$M$173)&gt;0)),"",IFERROR(MAXIFS(SAISIE!$L$5:$L$204,SAISIE!$J$5:$J$204,"*Vent Av./Arr.*",SAISIE!$M$5:$M$204,$M$173),"-"))</f>
        <v/>
      </c>
      <c r="L180" s="7">
        <f>IF($M$173="","",IF(OR(K180="",K180="-"),"",IF(K180&gt;0,"(soulevement)",IF(K180&lt;0,"(compression)","-"))))</f>
        <v/>
      </c>
    </row>
    <row r="181">
      <c r="A181" s="6">
        <f>IF(OR($F$173="",NOT(COUNTIFS(SAISIE!$B$5:$B$204,"*Vent Arr./Av.*",SAISIE!$F$5:$F$204,$F$173)&gt;0)),"","Vent Arr./Av.")</f>
        <v/>
      </c>
      <c r="B181" s="7">
        <f>IF(OR($F$173="",NOT(COUNTIFS(SAISIE!$B$5:$B$204,"*Vent Arr./Av.*",SAISIE!$F$5:$F$204,$F$173)&gt;0)),"",IFERROR(IF(MINIFS(SAISIE!$E$5:$E$204,SAISIE!$B$5:$B$204,"*Vent Arr./Av.*",SAISIE!$F$5:$F$204,$F$173)&gt;=0,MAXIFS(SAISIE!$C$5:$C$204,SAISIE!$B$5:$B$204,"*Vent Arr./Av.*",SAISIE!$F$5:$F$204,$F$173),INDEX(SAISIE!$C$5:$C$204,MATCH(MINIFS(SAISIE!$E$5:$E$204,SAISIE!$B$5:$B$204,"*Vent Arr./Av.*",SAISIE!$F$5:$F$204,$F$173),SAISIE!$E$5:$E$204,0))),"-"))</f>
        <v/>
      </c>
      <c r="C181" s="7">
        <f>IF(OR($F$173="",NOT(COUNTIFS(SAISIE!$B$5:$B$204,"*Vent Arr./Av.*",SAISIE!$F$5:$F$204,$F$173)&gt;0)),"",IFERROR(IF(MINIFS(SAISIE!$E$5:$E$204,SAISIE!$B$5:$B$204,"*Vent Arr./Av.*",SAISIE!$F$5:$F$204,$F$173)&gt;=0,INDEX(SAISIE!$D$5:$D$204,MATCH(MAXIFS(SAISIE!$C$5:$C$204,SAISIE!$B$5:$B$204,"*Vent Arr./Av.*",SAISIE!$F$5:$F$204,$F$173),SAISIE!$C$5:$C$204,0)),INDEX(SAISIE!$D$5:$D$204,MATCH(MINIFS(SAISIE!$E$5:$E$204,SAISIE!$B$5:$B$204,"*Vent Arr./Av.*",SAISIE!$F$5:$F$204,$F$173),SAISIE!$E$5:$E$204,0))),"-"))</f>
        <v/>
      </c>
      <c r="D181" s="7">
        <f>IF(OR($F$173="",NOT(COUNTIFS(SAISIE!$B$5:$B$204,"*Vent Arr./Av.*",SAISIE!$F$5:$F$204,$F$173)&gt;0)),"",IFERROR(IF(MINIFS(SAISIE!$E$5:$E$204,SAISIE!$B$5:$B$204,"*Vent Arr./Av.*",SAISIE!$F$5:$F$204,$F$173)&gt;=0,0,MINIFS(SAISIE!$E$5:$E$204,SAISIE!$B$5:$B$204,"*Vent Arr./Av.*",SAISIE!$F$5:$F$204,$F$173)),"-"))</f>
        <v/>
      </c>
      <c r="E181" s="7">
        <f>IF($F$173="","",IF(OR(D181="",D181="-"),"",IF(D181&gt;0,"(soulevement)",IF(D181&lt;0,"(compression)","-"))))</f>
        <v/>
      </c>
      <c r="I181" s="6">
        <f>IF(OR($M$173="",NOT(COUNTIFS(SAISIE!$J$5:$J$204,"*Vent Arr./Av.*",SAISIE!$M$5:$M$204,$M$173)&gt;0)),"","Vent Arr./Av.")</f>
        <v/>
      </c>
      <c r="J181" s="7">
        <f>IF(OR($M$173="",NOT(COUNTIFS(SAISIE!$J$5:$J$204,"*Vent Arr./Av.*",SAISIE!$M$5:$M$204,$M$173)&gt;0)),"",IFERROR(IF(MINIFS(SAISIE!$L$5:$L$204,SAISIE!$J$5:$J$204,"*Vent Arr./Av.*",SAISIE!$M$5:$M$204,$M$173)&gt;=0,MAXIFS(SAISIE!$K$5:$K$204,SAISIE!$J$5:$J$204,"*Vent Arr./Av.*",SAISIE!$M$5:$M$204,$M$173),INDEX(SAISIE!$K$5:$K$204,MATCH(MINIFS(SAISIE!$L$5:$L$204,SAISIE!$J$5:$J$204,"*Vent Arr./Av.*",SAISIE!$M$5:$M$204,$M$173),SAISIE!$L$5:$L$204,0))),"-"))</f>
        <v/>
      </c>
      <c r="K181" s="7">
        <f>IF(OR($M$173="",NOT(COUNTIFS(SAISIE!$J$5:$J$204,"*Vent Arr./Av.*",SAISIE!$M$5:$M$204,$M$173)&gt;0)),"",IFERROR(IF(MINIFS(SAISIE!$L$5:$L$204,SAISIE!$J$5:$J$204,"*Vent Arr./Av.*",SAISIE!$M$5:$M$204,$M$173)&gt;=0,0,MINIFS(SAISIE!$L$5:$L$204,SAISIE!$J$5:$J$204,"*Vent Arr./Av.*",SAISIE!$M$5:$M$204,$M$173)),"-"))</f>
        <v/>
      </c>
      <c r="L181" s="7">
        <f>IF($M$173="","",IF(OR(K181="",K181="-"),"",IF(K181&gt;0,"(soulevement)",IF(K181&lt;0,"(compression)","-"))))</f>
        <v/>
      </c>
    </row>
    <row r="182">
      <c r="A182" s="6">
        <f>IF(OR($F$173="",NOT(MAXIFS(SAISIE!$E$5:$E$204,SAISIE!$B$5:$B$204,"*Vent Arr./Av.*",SAISIE!$F$5:$F$204,$F$173)&gt;0)),"","Vent Arr./Av.")</f>
        <v/>
      </c>
      <c r="B182" s="7">
        <f>IF(OR($F$173="",NOT(MAXIFS(SAISIE!$E$5:$E$204,SAISIE!$B$5:$B$204,"*Vent Arr./Av.*",SAISIE!$F$5:$F$204,$F$173)&gt;0)),"",IFERROR(INDEX(SAISIE!$C$5:$C$204,MATCH(MAXIFS(SAISIE!$E$5:$E$204,SAISIE!$B$5:$B$204,"*Vent Arr./Av.*",SAISIE!$F$5:$F$204,$F$173),SAISIE!$E$5:$E$204,0)),"-"))</f>
        <v/>
      </c>
      <c r="C182" s="7">
        <f>IF(OR($F$173="",NOT(MAXIFS(SAISIE!$E$5:$E$204,SAISIE!$B$5:$B$204,"*Vent Arr./Av.*",SAISIE!$F$5:$F$204,$F$173)&gt;0)),"",IFERROR(INDEX(SAISIE!$D$5:$D$204,MATCH(MAXIFS(SAISIE!$E$5:$E$204,SAISIE!$B$5:$B$204,"*Vent Arr./Av.*",SAISIE!$F$5:$F$204,$F$173),SAISIE!$E$5:$E$204,0)),"-"))</f>
        <v/>
      </c>
      <c r="D182" s="7">
        <f>IF(OR($F$173="",NOT(MAXIFS(SAISIE!$E$5:$E$204,SAISIE!$B$5:$B$204,"*Vent Arr./Av.*",SAISIE!$F$5:$F$204,$F$173)&gt;0)),"",IFERROR(MAXIFS(SAISIE!$E$5:$E$204,SAISIE!$B$5:$B$204,"*Vent Arr./Av.*",SAISIE!$F$5:$F$204,$F$173),"-"))</f>
        <v/>
      </c>
      <c r="E182" s="7">
        <f>IF($F$173="","",IF(OR(D182="",D182="-"),"",IF(D182&gt;0,"(soulevement)",IF(D182&lt;0,"(compression)","-"))))</f>
        <v/>
      </c>
      <c r="I182" s="6">
        <f>IF(OR($M$173="",NOT(MAXIFS(SAISIE!$L$5:$L$204,SAISIE!$J$5:$J$204,"*Vent Arr./Av.*",SAISIE!$M$5:$M$204,$M$173)&gt;0)),"","Vent Arr./Av.")</f>
        <v/>
      </c>
      <c r="J182" s="7">
        <f>IF(OR($M$173="",NOT(MAXIFS(SAISIE!$L$5:$L$204,SAISIE!$J$5:$J$204,"*Vent Arr./Av.*",SAISIE!$M$5:$M$204,$M$173)&gt;0)),"",IFERROR(INDEX(SAISIE!$K$5:$K$204,MATCH(MAXIFS(SAISIE!$L$5:$L$204,SAISIE!$J$5:$J$204,"*Vent Arr./Av.*",SAISIE!$M$5:$M$204,$M$173),SAISIE!$L$5:$L$204,0)),"-"))</f>
        <v/>
      </c>
      <c r="K182" s="7">
        <f>IF(OR($M$173="",NOT(MAXIFS(SAISIE!$L$5:$L$204,SAISIE!$J$5:$J$204,"*Vent Arr./Av.*",SAISIE!$M$5:$M$204,$M$173)&gt;0)),"",IFERROR(MAXIFS(SAISIE!$L$5:$L$204,SAISIE!$J$5:$J$204,"*Vent Arr./Av.*",SAISIE!$M$5:$M$204,$M$173),"-"))</f>
        <v/>
      </c>
      <c r="L182" s="7">
        <f>IF($M$173="","",IF(OR(K182="",K182="-"),"",IF(K182&gt;0,"(soulevement)",IF(K182&lt;0,"(compression)","-"))))</f>
        <v/>
      </c>
    </row>
    <row r="183">
      <c r="A183" s="6">
        <f>IF(OR($F$173="",NOT(TRUE)),"","Neige normale")</f>
        <v/>
      </c>
      <c r="B183" s="7">
        <f>IF($F$173="","",IFERROR(INDEX(SAISIE!$C$5:$C$204,MATCH(MINIFS(SAISIE!$E$5:$E$204,SAISIE!$B$5:$B$204,"*Neige*",SAISIE!$B$5:$B$204,"&lt;&gt;*accidentel*",SAISIE!$F$5:$F$204,$F$173),SAISIE!$E$5:$E$204,0)),"-"))</f>
        <v/>
      </c>
      <c r="C183" s="7">
        <f>IF($F$173="","",IFERROR(INDEX(SAISIE!$D$5:$D$204,MATCH(MINIFS(SAISIE!$E$5:$E$204,SAISIE!$B$5:$B$204,"*Neige*",SAISIE!$B$5:$B$204,"&lt;&gt;*accidentel*",SAISIE!$F$5:$F$204,$F$173),SAISIE!$E$5:$E$204,0)),"-"))</f>
        <v/>
      </c>
      <c r="D183" s="7">
        <f>IF($F$173="","",IFERROR(INDEX(SAISIE!$E$5:$E$204,MATCH(MINIFS(SAISIE!$E$5:$E$204,SAISIE!$B$5:$B$204,"*Neige*",SAISIE!$B$5:$B$204,"&lt;&gt;*accidentel*",SAISIE!$F$5:$F$204,$F$173),SAISIE!$E$5:$E$204,0)),"-"))</f>
        <v/>
      </c>
      <c r="E183" s="7">
        <f>IF($F$173="","",IF(OR(D183="",D183="-"),"",IF(D183&gt;0,"(soulevement)",IF(D183&lt;0,"(compression)","-"))))</f>
        <v/>
      </c>
      <c r="I183" s="6">
        <f>IF(OR($M$173="",NOT(TRUE)),"","Neige normale")</f>
        <v/>
      </c>
      <c r="J183" s="7">
        <f>IF($M$173="","",IFERROR(INDEX(SAISIE!$K$5:$K$204,MATCH(MINIFS(SAISIE!$L$5:$L$204,SAISIE!$J$5:$J$204,"*Neige*",SAISIE!$J$5:$J$204,"&lt;&gt;*accidentel*",SAISIE!$M$5:$M$204,$M$173),SAISIE!$L$5:$L$204,0)),"-"))</f>
        <v/>
      </c>
      <c r="K183" s="7">
        <f>IF($M$173="","",IFERROR(INDEX(SAISIE!$L$5:$L$204,MATCH(MINIFS(SAISIE!$L$5:$L$204,SAISIE!$J$5:$J$204,"*Neige*",SAISIE!$J$5:$J$204,"&lt;&gt;*accidentel*",SAISIE!$M$5:$M$204,$M$173),SAISIE!$L$5:$L$204,0)),"-"))</f>
        <v/>
      </c>
      <c r="L183" s="7">
        <f>IF($M$173="","",IF(OR(K183="",K183="-"),"",IF(K183&gt;0,"(soulevement)",IF(K183&lt;0,"(compression)","-"))))</f>
        <v/>
      </c>
    </row>
    <row r="184">
      <c r="A184" s="6">
        <f>IF(OR($F$173="",NOT(TRUE)),"","Neige accidentelle")</f>
        <v/>
      </c>
      <c r="B184" s="7">
        <f>IF($F$173="","",IFERROR(LOOKUP(2,1/((SAISIE!$F$5:$F$204=$F$173)*(ISNUMBER(SEARCH("accidentel",SAISIE!$B$5:$B$204)))),SAISIE!$C$5:$C$204),"-"))</f>
        <v/>
      </c>
      <c r="C184" s="7">
        <f>IF($F$173="","",IFERROR(LOOKUP(2,1/((SAISIE!$F$5:$F$204=$F$173)*(ISNUMBER(SEARCH("accidentel",SAISIE!$B$5:$B$204)))),SAISIE!$D$5:$D$204),"-"))</f>
        <v/>
      </c>
      <c r="D184" s="7">
        <f>IF($F$173="","",IFERROR(LOOKUP(2,1/((SAISIE!$F$5:$F$204=$F$173)*(ISNUMBER(SEARCH("accidentel",SAISIE!$B$5:$B$204)))),SAISIE!$E$5:$E$204),"-"))</f>
        <v/>
      </c>
      <c r="E184" s="7">
        <f>IF($F$173="","",IF(OR(D184="",D184="-"),"",IF(D184&gt;0,"(soulevement)",IF(D184&lt;0,"(compression)","-"))))</f>
        <v/>
      </c>
      <c r="I184" s="6">
        <f>IF(OR($M$173="",NOT(TRUE)),"","Neige accidentelle")</f>
        <v/>
      </c>
      <c r="J184" s="7">
        <f>IF($M$173="","",IFERROR(LOOKUP(2,1/((SAISIE!$M$5:$M$204=$M$173)*(ISNUMBER(SEARCH("accidentel",SAISIE!$J$5:$J$204)))),SAISIE!$K$5:$K$204),"-"))</f>
        <v/>
      </c>
      <c r="K184" s="7">
        <f>IF($M$173="","",IFERROR(LOOKUP(2,1/((SAISIE!$M$5:$M$204=$M$173)*(ISNUMBER(SEARCH("accidentel",SAISIE!$J$5:$J$204)))),SAISIE!$L$5:$L$204),"-"))</f>
        <v/>
      </c>
      <c r="L184" s="7">
        <f>IF($M$173="","",IF(OR(K184="",K184="-"),"",IF(K184&gt;0,"(soulevement)",IF(K184&lt;0,"(compression)","-"))))</f>
        <v/>
      </c>
    </row>
    <row r="185">
      <c r="A185" s="5">
        <f>IF($F$185="","","Noeud "&amp;$F$185)</f>
        <v/>
      </c>
      <c r="B185" s="5" t="n"/>
      <c r="C185" s="5" t="n"/>
      <c r="D185" s="5" t="n"/>
      <c r="E185" s="5" t="n"/>
      <c r="F185">
        <f>IFERROR(INDEX(SAISIE!$F$5:$F$204,AGGREGATE(15,6,ROW(SAISIE!$F$5:$F$204)-ROW(SAISIE!$F$5)+1/(SAISIE!$F$5:$F$204&lt;&gt;"")/(COUNTIF($F$4:F184,SAISIE!$F$5:$F$204)=0),1)),"")</f>
        <v/>
      </c>
      <c r="I185" s="5">
        <f>IF($M$185="","","Noeud "&amp;$M$185)</f>
        <v/>
      </c>
      <c r="J185" s="5" t="n"/>
      <c r="K185" s="5" t="n"/>
      <c r="L185" s="5" t="n"/>
      <c r="M185">
        <f>IFERROR(INDEX(SAISIE!$M$5:$M$204,AGGREGATE(15,6,ROW(SAISIE!$M$5:$M$204)-ROW(SAISIE!$M$5)+1/(SAISIE!$M$5:$M$204&lt;&gt;"")/(COUNTIF($M$4:M184,SAISIE!$M$5:$M$204)=0),1)),"")</f>
        <v/>
      </c>
    </row>
    <row r="186">
      <c r="A186" s="6">
        <f>IF(OR($F$185="",NOT(TRUE)),"","Couverture")</f>
        <v/>
      </c>
      <c r="B186" s="7">
        <f>IF($F$185="","",IFERROR(IFERROR(LOOKUP(2,1/((SAISIE!$F$5:$F$204=$F$185)*(LEFT(SAISIE!$B$5:$B$204,2)="G ")),SAISIE!$C$5:$C$204),LOOKUP(2,1/((SAISIE!$F$5:$F$204=$F$185)*(ISNUMBER(SEARCH("Couverture",SAISIE!$B$5:$B$204)))),SAISIE!$C$5:$C$204)),"-"))</f>
        <v/>
      </c>
      <c r="C186" s="7">
        <f>IF($F$185="","",IFERROR(IFERROR(LOOKUP(2,1/((SAISIE!$F$5:$F$204=$F$185)*(LEFT(SAISIE!$B$5:$B$204,2)="G ")),SAISIE!$D$5:$D$204),LOOKUP(2,1/((SAISIE!$F$5:$F$204=$F$185)*(ISNUMBER(SEARCH("Couverture",SAISIE!$B$5:$B$204)))),SAISIE!$D$5:$D$204)),"-"))</f>
        <v/>
      </c>
      <c r="D186" s="7">
        <f>IF($F$185="","",IFERROR(IFERROR(LOOKUP(2,1/((SAISIE!$F$5:$F$204=$F$185)*(LEFT(SAISIE!$B$5:$B$204,2)="G ")),SAISIE!$E$5:$E$204),LOOKUP(2,1/((SAISIE!$F$5:$F$204=$F$185)*(ISNUMBER(SEARCH("Couverture",SAISIE!$B$5:$B$204)))),SAISIE!$E$5:$E$204)),"-"))</f>
        <v/>
      </c>
      <c r="E186" s="7">
        <f>IF($F$185="","",IF(OR(D186="",D186="-"),"",IF(D186&gt;0,"(soulevement)",IF(D186&lt;0,"(compression)","-"))))</f>
        <v/>
      </c>
      <c r="I186" s="6">
        <f>IF(OR($M$185="",NOT(TRUE)),"","Couverture")</f>
        <v/>
      </c>
      <c r="J186" s="7">
        <f>IF($M$185="","",IFERROR(IFERROR(LOOKUP(2,1/((SAISIE!$M$5:$M$204=$M$185)*(LEFT(SAISIE!$J$5:$J$204,2)="G ")),SAISIE!$K$5:$K$204),LOOKUP(2,1/((SAISIE!$M$5:$M$204=$M$185)*(ISNUMBER(SEARCH("Couverture",SAISIE!$J$5:$J$204)))),SAISIE!$K$5:$K$204)),"-"))</f>
        <v/>
      </c>
      <c r="K186" s="7">
        <f>IF($M$185="","",IFERROR(IFERROR(LOOKUP(2,1/((SAISIE!$M$5:$M$204=$M$185)*(LEFT(SAISIE!$J$5:$J$204,2)="G ")),SAISIE!$L$5:$L$204),LOOKUP(2,1/((SAISIE!$M$5:$M$204=$M$185)*(ISNUMBER(SEARCH("Couverture",SAISIE!$J$5:$J$204)))),SAISIE!$L$5:$L$204)),"-"))</f>
        <v/>
      </c>
      <c r="L186" s="7">
        <f>IF($M$185="","",IF(OR(K186="",K186="-"),"",IF(K186&gt;0,"(soulevement)",IF(K186&lt;0,"(compression)","-"))))</f>
        <v/>
      </c>
    </row>
    <row r="187">
      <c r="A187" s="6">
        <f>IF(OR($F$185="",NOT(COUNTIFS(SAISIE!$B$5:$B$204,"*Vent G/D*",SAISIE!$F$5:$F$204,$F$185)&gt;0)),"","Vent G/D")</f>
        <v/>
      </c>
      <c r="B187" s="7">
        <f>IF(OR($F$185="",NOT(COUNTIFS(SAISIE!$B$5:$B$204,"*Vent G/D*",SAISIE!$F$5:$F$204,$F$185)&gt;0)),"",IFERROR(IF(MINIFS(SAISIE!$E$5:$E$204,SAISIE!$B$5:$B$204,"*Vent G/D*",SAISIE!$F$5:$F$204,$F$185)&gt;=0,MAXIFS(SAISIE!$C$5:$C$204,SAISIE!$B$5:$B$204,"*Vent G/D*",SAISIE!$F$5:$F$204,$F$185),INDEX(SAISIE!$C$5:$C$204,MATCH(MINIFS(SAISIE!$E$5:$E$204,SAISIE!$B$5:$B$204,"*Vent G/D*",SAISIE!$F$5:$F$204,$F$185),SAISIE!$E$5:$E$204,0))),"-"))</f>
        <v/>
      </c>
      <c r="C187" s="7">
        <f>IF(OR($F$185="",NOT(COUNTIFS(SAISIE!$B$5:$B$204,"*Vent G/D*",SAISIE!$F$5:$F$204,$F$185)&gt;0)),"",IFERROR(IF(MINIFS(SAISIE!$E$5:$E$204,SAISIE!$B$5:$B$204,"*Vent G/D*",SAISIE!$F$5:$F$204,$F$185)&gt;=0,INDEX(SAISIE!$D$5:$D$204,MATCH(MAXIFS(SAISIE!$C$5:$C$204,SAISIE!$B$5:$B$204,"*Vent G/D*",SAISIE!$F$5:$F$204,$F$185),SAISIE!$C$5:$C$204,0)),INDEX(SAISIE!$D$5:$D$204,MATCH(MINIFS(SAISIE!$E$5:$E$204,SAISIE!$B$5:$B$204,"*Vent G/D*",SAISIE!$F$5:$F$204,$F$185),SAISIE!$E$5:$E$204,0))),"-"))</f>
        <v/>
      </c>
      <c r="D187" s="7">
        <f>IF(OR($F$185="",NOT(COUNTIFS(SAISIE!$B$5:$B$204,"*Vent G/D*",SAISIE!$F$5:$F$204,$F$185)&gt;0)),"",IFERROR(IF(MINIFS(SAISIE!$E$5:$E$204,SAISIE!$B$5:$B$204,"*Vent G/D*",SAISIE!$F$5:$F$204,$F$185)&gt;=0,0,MINIFS(SAISIE!$E$5:$E$204,SAISIE!$B$5:$B$204,"*Vent G/D*",SAISIE!$F$5:$F$204,$F$185)),"-"))</f>
        <v/>
      </c>
      <c r="E187" s="7">
        <f>IF($F$185="","",IF(OR(D187="",D187="-"),"",IF(D187&gt;0,"(soulevement)",IF(D187&lt;0,"(compression)","-"))))</f>
        <v/>
      </c>
      <c r="I187" s="6">
        <f>IF(OR($M$185="",NOT(COUNTIFS(SAISIE!$J$5:$J$204,"*Vent G/D*",SAISIE!$M$5:$M$204,$M$185)&gt;0)),"","Vent G/D")</f>
        <v/>
      </c>
      <c r="J187" s="7">
        <f>IF(OR($M$185="",NOT(COUNTIFS(SAISIE!$J$5:$J$204,"*Vent G/D*",SAISIE!$M$5:$M$204,$M$185)&gt;0)),"",IFERROR(IF(MINIFS(SAISIE!$L$5:$L$204,SAISIE!$J$5:$J$204,"*Vent G/D*",SAISIE!$M$5:$M$204,$M$185)&gt;=0,MAXIFS(SAISIE!$K$5:$K$204,SAISIE!$J$5:$J$204,"*Vent G/D*",SAISIE!$M$5:$M$204,$M$185),INDEX(SAISIE!$K$5:$K$204,MATCH(MINIFS(SAISIE!$L$5:$L$204,SAISIE!$J$5:$J$204,"*Vent G/D*",SAISIE!$M$5:$M$204,$M$185),SAISIE!$L$5:$L$204,0))),"-"))</f>
        <v/>
      </c>
      <c r="K187" s="7">
        <f>IF(OR($M$185="",NOT(COUNTIFS(SAISIE!$J$5:$J$204,"*Vent G/D*",SAISIE!$M$5:$M$204,$M$185)&gt;0)),"",IFERROR(IF(MINIFS(SAISIE!$L$5:$L$204,SAISIE!$J$5:$J$204,"*Vent G/D*",SAISIE!$M$5:$M$204,$M$185)&gt;=0,0,MINIFS(SAISIE!$L$5:$L$204,SAISIE!$J$5:$J$204,"*Vent G/D*",SAISIE!$M$5:$M$204,$M$185)),"-"))</f>
        <v/>
      </c>
      <c r="L187" s="7">
        <f>IF($M$185="","",IF(OR(K187="",K187="-"),"",IF(K187&gt;0,"(soulevement)",IF(K187&lt;0,"(compression)","-"))))</f>
        <v/>
      </c>
    </row>
    <row r="188">
      <c r="A188" s="6">
        <f>IF(OR($F$185="",NOT(MAXIFS(SAISIE!$E$5:$E$204,SAISIE!$B$5:$B$204,"*Vent G/D*",SAISIE!$F$5:$F$204,$F$185)&gt;0)),"","Vent G/D")</f>
        <v/>
      </c>
      <c r="B188" s="7">
        <f>IF(OR($F$185="",NOT(MAXIFS(SAISIE!$E$5:$E$204,SAISIE!$B$5:$B$204,"*Vent G/D*",SAISIE!$F$5:$F$204,$F$185)&gt;0)),"",IFERROR(INDEX(SAISIE!$C$5:$C$204,MATCH(MAXIFS(SAISIE!$E$5:$E$204,SAISIE!$B$5:$B$204,"*Vent G/D*",SAISIE!$F$5:$F$204,$F$185),SAISIE!$E$5:$E$204,0)),"-"))</f>
        <v/>
      </c>
      <c r="C188" s="7">
        <f>IF(OR($F$185="",NOT(MAXIFS(SAISIE!$E$5:$E$204,SAISIE!$B$5:$B$204,"*Vent G/D*",SAISIE!$F$5:$F$204,$F$185)&gt;0)),"",IFERROR(INDEX(SAISIE!$D$5:$D$204,MATCH(MAXIFS(SAISIE!$E$5:$E$204,SAISIE!$B$5:$B$204,"*Vent G/D*",SAISIE!$F$5:$F$204,$F$185),SAISIE!$E$5:$E$204,0)),"-"))</f>
        <v/>
      </c>
      <c r="D188" s="7">
        <f>IF(OR($F$185="",NOT(MAXIFS(SAISIE!$E$5:$E$204,SAISIE!$B$5:$B$204,"*Vent G/D*",SAISIE!$F$5:$F$204,$F$185)&gt;0)),"",IFERROR(MAXIFS(SAISIE!$E$5:$E$204,SAISIE!$B$5:$B$204,"*Vent G/D*",SAISIE!$F$5:$F$204,$F$185),"-"))</f>
        <v/>
      </c>
      <c r="E188" s="7">
        <f>IF($F$185="","",IF(OR(D188="",D188="-"),"",IF(D188&gt;0,"(soulevement)",IF(D188&lt;0,"(compression)","-"))))</f>
        <v/>
      </c>
      <c r="I188" s="6">
        <f>IF(OR($M$185="",NOT(MAXIFS(SAISIE!$L$5:$L$204,SAISIE!$J$5:$J$204,"*Vent G/D*",SAISIE!$M$5:$M$204,$M$185)&gt;0)),"","Vent G/D")</f>
        <v/>
      </c>
      <c r="J188" s="7">
        <f>IF(OR($M$185="",NOT(MAXIFS(SAISIE!$L$5:$L$204,SAISIE!$J$5:$J$204,"*Vent G/D*",SAISIE!$M$5:$M$204,$M$185)&gt;0)),"",IFERROR(INDEX(SAISIE!$K$5:$K$204,MATCH(MAXIFS(SAISIE!$L$5:$L$204,SAISIE!$J$5:$J$204,"*Vent G/D*",SAISIE!$M$5:$M$204,$M$185),SAISIE!$L$5:$L$204,0)),"-"))</f>
        <v/>
      </c>
      <c r="K188" s="7">
        <f>IF(OR($M$185="",NOT(MAXIFS(SAISIE!$L$5:$L$204,SAISIE!$J$5:$J$204,"*Vent G/D*",SAISIE!$M$5:$M$204,$M$185)&gt;0)),"",IFERROR(MAXIFS(SAISIE!$L$5:$L$204,SAISIE!$J$5:$J$204,"*Vent G/D*",SAISIE!$M$5:$M$204,$M$185),"-"))</f>
        <v/>
      </c>
      <c r="L188" s="7">
        <f>IF($M$185="","",IF(OR(K188="",K188="-"),"",IF(K188&gt;0,"(soulevement)",IF(K188&lt;0,"(compression)","-"))))</f>
        <v/>
      </c>
    </row>
    <row r="189">
      <c r="A189" s="6">
        <f>IF(OR($F$185="",NOT(COUNTIFS(SAISIE!$B$5:$B$204,"*Vent D/G*",SAISIE!$F$5:$F$204,$F$185)&gt;0)),"","Vent D/G")</f>
        <v/>
      </c>
      <c r="B189" s="7">
        <f>IF(OR($F$185="",NOT(COUNTIFS(SAISIE!$B$5:$B$204,"*Vent D/G*",SAISIE!$F$5:$F$204,$F$185)&gt;0)),"",IFERROR(IF(MINIFS(SAISIE!$E$5:$E$204,SAISIE!$B$5:$B$204,"*Vent D/G*",SAISIE!$F$5:$F$204,$F$185)&gt;=0,MAXIFS(SAISIE!$C$5:$C$204,SAISIE!$B$5:$B$204,"*Vent D/G*",SAISIE!$F$5:$F$204,$F$185),INDEX(SAISIE!$C$5:$C$204,MATCH(MINIFS(SAISIE!$E$5:$E$204,SAISIE!$B$5:$B$204,"*Vent D/G*",SAISIE!$F$5:$F$204,$F$185),SAISIE!$E$5:$E$204,0))),"-"))</f>
        <v/>
      </c>
      <c r="C189" s="7">
        <f>IF(OR($F$185="",NOT(COUNTIFS(SAISIE!$B$5:$B$204,"*Vent D/G*",SAISIE!$F$5:$F$204,$F$185)&gt;0)),"",IFERROR(IF(MINIFS(SAISIE!$E$5:$E$204,SAISIE!$B$5:$B$204,"*Vent D/G*",SAISIE!$F$5:$F$204,$F$185)&gt;=0,INDEX(SAISIE!$D$5:$D$204,MATCH(MAXIFS(SAISIE!$C$5:$C$204,SAISIE!$B$5:$B$204,"*Vent D/G*",SAISIE!$F$5:$F$204,$F$185),SAISIE!$C$5:$C$204,0)),INDEX(SAISIE!$D$5:$D$204,MATCH(MINIFS(SAISIE!$E$5:$E$204,SAISIE!$B$5:$B$204,"*Vent D/G*",SAISIE!$F$5:$F$204,$F$185),SAISIE!$E$5:$E$204,0))),"-"))</f>
        <v/>
      </c>
      <c r="D189" s="7">
        <f>IF(OR($F$185="",NOT(COUNTIFS(SAISIE!$B$5:$B$204,"*Vent D/G*",SAISIE!$F$5:$F$204,$F$185)&gt;0)),"",IFERROR(IF(MINIFS(SAISIE!$E$5:$E$204,SAISIE!$B$5:$B$204,"*Vent D/G*",SAISIE!$F$5:$F$204,$F$185)&gt;=0,0,MINIFS(SAISIE!$E$5:$E$204,SAISIE!$B$5:$B$204,"*Vent D/G*",SAISIE!$F$5:$F$204,$F$185)),"-"))</f>
        <v/>
      </c>
      <c r="E189" s="7">
        <f>IF($F$185="","",IF(OR(D189="",D189="-"),"",IF(D189&gt;0,"(soulevement)",IF(D189&lt;0,"(compression)","-"))))</f>
        <v/>
      </c>
      <c r="I189" s="6">
        <f>IF(OR($M$185="",NOT(COUNTIFS(SAISIE!$J$5:$J$204,"*Vent D/G*",SAISIE!$M$5:$M$204,$M$185)&gt;0)),"","Vent D/G")</f>
        <v/>
      </c>
      <c r="J189" s="7">
        <f>IF(OR($M$185="",NOT(COUNTIFS(SAISIE!$J$5:$J$204,"*Vent D/G*",SAISIE!$M$5:$M$204,$M$185)&gt;0)),"",IFERROR(IF(MINIFS(SAISIE!$L$5:$L$204,SAISIE!$J$5:$J$204,"*Vent D/G*",SAISIE!$M$5:$M$204,$M$185)&gt;=0,MAXIFS(SAISIE!$K$5:$K$204,SAISIE!$J$5:$J$204,"*Vent D/G*",SAISIE!$M$5:$M$204,$M$185),INDEX(SAISIE!$K$5:$K$204,MATCH(MINIFS(SAISIE!$L$5:$L$204,SAISIE!$J$5:$J$204,"*Vent D/G*",SAISIE!$M$5:$M$204,$M$185),SAISIE!$L$5:$L$204,0))),"-"))</f>
        <v/>
      </c>
      <c r="K189" s="7">
        <f>IF(OR($M$185="",NOT(COUNTIFS(SAISIE!$J$5:$J$204,"*Vent D/G*",SAISIE!$M$5:$M$204,$M$185)&gt;0)),"",IFERROR(IF(MINIFS(SAISIE!$L$5:$L$204,SAISIE!$J$5:$J$204,"*Vent D/G*",SAISIE!$M$5:$M$204,$M$185)&gt;=0,0,MINIFS(SAISIE!$L$5:$L$204,SAISIE!$J$5:$J$204,"*Vent D/G*",SAISIE!$M$5:$M$204,$M$185)),"-"))</f>
        <v/>
      </c>
      <c r="L189" s="7">
        <f>IF($M$185="","",IF(OR(K189="",K189="-"),"",IF(K189&gt;0,"(soulevement)",IF(K189&lt;0,"(compression)","-"))))</f>
        <v/>
      </c>
    </row>
    <row r="190">
      <c r="A190" s="6">
        <f>IF(OR($F$185="",NOT(MAXIFS(SAISIE!$E$5:$E$204,SAISIE!$B$5:$B$204,"*Vent D/G*",SAISIE!$F$5:$F$204,$F$185)&gt;0)),"","Vent D/G")</f>
        <v/>
      </c>
      <c r="B190" s="7">
        <f>IF(OR($F$185="",NOT(MAXIFS(SAISIE!$E$5:$E$204,SAISIE!$B$5:$B$204,"*Vent D/G*",SAISIE!$F$5:$F$204,$F$185)&gt;0)),"",IFERROR(INDEX(SAISIE!$C$5:$C$204,MATCH(MAXIFS(SAISIE!$E$5:$E$204,SAISIE!$B$5:$B$204,"*Vent D/G*",SAISIE!$F$5:$F$204,$F$185),SAISIE!$E$5:$E$204,0)),"-"))</f>
        <v/>
      </c>
      <c r="C190" s="7">
        <f>IF(OR($F$185="",NOT(MAXIFS(SAISIE!$E$5:$E$204,SAISIE!$B$5:$B$204,"*Vent D/G*",SAISIE!$F$5:$F$204,$F$185)&gt;0)),"",IFERROR(INDEX(SAISIE!$D$5:$D$204,MATCH(MAXIFS(SAISIE!$E$5:$E$204,SAISIE!$B$5:$B$204,"*Vent D/G*",SAISIE!$F$5:$F$204,$F$185),SAISIE!$E$5:$E$204,0)),"-"))</f>
        <v/>
      </c>
      <c r="D190" s="7">
        <f>IF(OR($F$185="",NOT(MAXIFS(SAISIE!$E$5:$E$204,SAISIE!$B$5:$B$204,"*Vent D/G*",SAISIE!$F$5:$F$204,$F$185)&gt;0)),"",IFERROR(MAXIFS(SAISIE!$E$5:$E$204,SAISIE!$B$5:$B$204,"*Vent D/G*",SAISIE!$F$5:$F$204,$F$185),"-"))</f>
        <v/>
      </c>
      <c r="E190" s="7">
        <f>IF($F$185="","",IF(OR(D190="",D190="-"),"",IF(D190&gt;0,"(soulevement)",IF(D190&lt;0,"(compression)","-"))))</f>
        <v/>
      </c>
      <c r="I190" s="6">
        <f>IF(OR($M$185="",NOT(MAXIFS(SAISIE!$L$5:$L$204,SAISIE!$J$5:$J$204,"*Vent D/G*",SAISIE!$M$5:$M$204,$M$185)&gt;0)),"","Vent D/G")</f>
        <v/>
      </c>
      <c r="J190" s="7">
        <f>IF(OR($M$185="",NOT(MAXIFS(SAISIE!$L$5:$L$204,SAISIE!$J$5:$J$204,"*Vent D/G*",SAISIE!$M$5:$M$204,$M$185)&gt;0)),"",IFERROR(INDEX(SAISIE!$K$5:$K$204,MATCH(MAXIFS(SAISIE!$L$5:$L$204,SAISIE!$J$5:$J$204,"*Vent D/G*",SAISIE!$M$5:$M$204,$M$185),SAISIE!$L$5:$L$204,0)),"-"))</f>
        <v/>
      </c>
      <c r="K190" s="7">
        <f>IF(OR($M$185="",NOT(MAXIFS(SAISIE!$L$5:$L$204,SAISIE!$J$5:$J$204,"*Vent D/G*",SAISIE!$M$5:$M$204,$M$185)&gt;0)),"",IFERROR(MAXIFS(SAISIE!$L$5:$L$204,SAISIE!$J$5:$J$204,"*Vent D/G*",SAISIE!$M$5:$M$204,$M$185),"-"))</f>
        <v/>
      </c>
      <c r="L190" s="7">
        <f>IF($M$185="","",IF(OR(K190="",K190="-"),"",IF(K190&gt;0,"(soulevement)",IF(K190&lt;0,"(compression)","-"))))</f>
        <v/>
      </c>
    </row>
    <row r="191">
      <c r="A191" s="6">
        <f>IF(OR($F$185="",NOT(COUNTIFS(SAISIE!$B$5:$B$204,"*Vent Av./Arr.*",SAISIE!$F$5:$F$204,$F$185)&gt;0)),"","Vent Av./Arr.")</f>
        <v/>
      </c>
      <c r="B191" s="7">
        <f>IF(OR($F$185="",NOT(COUNTIFS(SAISIE!$B$5:$B$204,"*Vent Av./Arr.*",SAISIE!$F$5:$F$204,$F$185)&gt;0)),"",IFERROR(IF(MINIFS(SAISIE!$E$5:$E$204,SAISIE!$B$5:$B$204,"*Vent Av./Arr.*",SAISIE!$F$5:$F$204,$F$185)&gt;=0,MAXIFS(SAISIE!$C$5:$C$204,SAISIE!$B$5:$B$204,"*Vent Av./Arr.*",SAISIE!$F$5:$F$204,$F$185),INDEX(SAISIE!$C$5:$C$204,MATCH(MINIFS(SAISIE!$E$5:$E$204,SAISIE!$B$5:$B$204,"*Vent Av./Arr.*",SAISIE!$F$5:$F$204,$F$185),SAISIE!$E$5:$E$204,0))),"-"))</f>
        <v/>
      </c>
      <c r="C191" s="7">
        <f>IF(OR($F$185="",NOT(COUNTIFS(SAISIE!$B$5:$B$204,"*Vent Av./Arr.*",SAISIE!$F$5:$F$204,$F$185)&gt;0)),"",IFERROR(IF(MINIFS(SAISIE!$E$5:$E$204,SAISIE!$B$5:$B$204,"*Vent Av./Arr.*",SAISIE!$F$5:$F$204,$F$185)&gt;=0,INDEX(SAISIE!$D$5:$D$204,MATCH(MAXIFS(SAISIE!$C$5:$C$204,SAISIE!$B$5:$B$204,"*Vent Av./Arr.*",SAISIE!$F$5:$F$204,$F$185),SAISIE!$C$5:$C$204,0)),INDEX(SAISIE!$D$5:$D$204,MATCH(MINIFS(SAISIE!$E$5:$E$204,SAISIE!$B$5:$B$204,"*Vent Av./Arr.*",SAISIE!$F$5:$F$204,$F$185),SAISIE!$E$5:$E$204,0))),"-"))</f>
        <v/>
      </c>
      <c r="D191" s="7">
        <f>IF(OR($F$185="",NOT(COUNTIFS(SAISIE!$B$5:$B$204,"*Vent Av./Arr.*",SAISIE!$F$5:$F$204,$F$185)&gt;0)),"",IFERROR(IF(MINIFS(SAISIE!$E$5:$E$204,SAISIE!$B$5:$B$204,"*Vent Av./Arr.*",SAISIE!$F$5:$F$204,$F$185)&gt;=0,0,MINIFS(SAISIE!$E$5:$E$204,SAISIE!$B$5:$B$204,"*Vent Av./Arr.*",SAISIE!$F$5:$F$204,$F$185)),"-"))</f>
        <v/>
      </c>
      <c r="E191" s="7">
        <f>IF($F$185="","",IF(OR(D191="",D191="-"),"",IF(D191&gt;0,"(soulevement)",IF(D191&lt;0,"(compression)","-"))))</f>
        <v/>
      </c>
      <c r="I191" s="6">
        <f>IF(OR($M$185="",NOT(COUNTIFS(SAISIE!$J$5:$J$204,"*Vent Av./Arr.*",SAISIE!$M$5:$M$204,$M$185)&gt;0)),"","Vent Av./Arr.")</f>
        <v/>
      </c>
      <c r="J191" s="7">
        <f>IF(OR($M$185="",NOT(COUNTIFS(SAISIE!$J$5:$J$204,"*Vent Av./Arr.*",SAISIE!$M$5:$M$204,$M$185)&gt;0)),"",IFERROR(IF(MINIFS(SAISIE!$L$5:$L$204,SAISIE!$J$5:$J$204,"*Vent Av./Arr.*",SAISIE!$M$5:$M$204,$M$185)&gt;=0,MAXIFS(SAISIE!$K$5:$K$204,SAISIE!$J$5:$J$204,"*Vent Av./Arr.*",SAISIE!$M$5:$M$204,$M$185),INDEX(SAISIE!$K$5:$K$204,MATCH(MINIFS(SAISIE!$L$5:$L$204,SAISIE!$J$5:$J$204,"*Vent Av./Arr.*",SAISIE!$M$5:$M$204,$M$185),SAISIE!$L$5:$L$204,0))),"-"))</f>
        <v/>
      </c>
      <c r="K191" s="7">
        <f>IF(OR($M$185="",NOT(COUNTIFS(SAISIE!$J$5:$J$204,"*Vent Av./Arr.*",SAISIE!$M$5:$M$204,$M$185)&gt;0)),"",IFERROR(IF(MINIFS(SAISIE!$L$5:$L$204,SAISIE!$J$5:$J$204,"*Vent Av./Arr.*",SAISIE!$M$5:$M$204,$M$185)&gt;=0,0,MINIFS(SAISIE!$L$5:$L$204,SAISIE!$J$5:$J$204,"*Vent Av./Arr.*",SAISIE!$M$5:$M$204,$M$185)),"-"))</f>
        <v/>
      </c>
      <c r="L191" s="7">
        <f>IF($M$185="","",IF(OR(K191="",K191="-"),"",IF(K191&gt;0,"(soulevement)",IF(K191&lt;0,"(compression)","-"))))</f>
        <v/>
      </c>
    </row>
    <row r="192">
      <c r="A192" s="6">
        <f>IF(OR($F$185="",NOT(MAXIFS(SAISIE!$E$5:$E$204,SAISIE!$B$5:$B$204,"*Vent Av./Arr.*",SAISIE!$F$5:$F$204,$F$185)&gt;0)),"","Vent Av./Arr.")</f>
        <v/>
      </c>
      <c r="B192" s="7">
        <f>IF(OR($F$185="",NOT(MAXIFS(SAISIE!$E$5:$E$204,SAISIE!$B$5:$B$204,"*Vent Av./Arr.*",SAISIE!$F$5:$F$204,$F$185)&gt;0)),"",IFERROR(INDEX(SAISIE!$C$5:$C$204,MATCH(MAXIFS(SAISIE!$E$5:$E$204,SAISIE!$B$5:$B$204,"*Vent Av./Arr.*",SAISIE!$F$5:$F$204,$F$185),SAISIE!$E$5:$E$204,0)),"-"))</f>
        <v/>
      </c>
      <c r="C192" s="7">
        <f>IF(OR($F$185="",NOT(MAXIFS(SAISIE!$E$5:$E$204,SAISIE!$B$5:$B$204,"*Vent Av./Arr.*",SAISIE!$F$5:$F$204,$F$185)&gt;0)),"",IFERROR(INDEX(SAISIE!$D$5:$D$204,MATCH(MAXIFS(SAISIE!$E$5:$E$204,SAISIE!$B$5:$B$204,"*Vent Av./Arr.*",SAISIE!$F$5:$F$204,$F$185),SAISIE!$E$5:$E$204,0)),"-"))</f>
        <v/>
      </c>
      <c r="D192" s="7">
        <f>IF(OR($F$185="",NOT(MAXIFS(SAISIE!$E$5:$E$204,SAISIE!$B$5:$B$204,"*Vent Av./Arr.*",SAISIE!$F$5:$F$204,$F$185)&gt;0)),"",IFERROR(MAXIFS(SAISIE!$E$5:$E$204,SAISIE!$B$5:$B$204,"*Vent Av./Arr.*",SAISIE!$F$5:$F$204,$F$185),"-"))</f>
        <v/>
      </c>
      <c r="E192" s="7">
        <f>IF($F$185="","",IF(OR(D192="",D192="-"),"",IF(D192&gt;0,"(soulevement)",IF(D192&lt;0,"(compression)","-"))))</f>
        <v/>
      </c>
      <c r="I192" s="6">
        <f>IF(OR($M$185="",NOT(MAXIFS(SAISIE!$L$5:$L$204,SAISIE!$J$5:$J$204,"*Vent Av./Arr.*",SAISIE!$M$5:$M$204,$M$185)&gt;0)),"","Vent Av./Arr.")</f>
        <v/>
      </c>
      <c r="J192" s="7">
        <f>IF(OR($M$185="",NOT(MAXIFS(SAISIE!$L$5:$L$204,SAISIE!$J$5:$J$204,"*Vent Av./Arr.*",SAISIE!$M$5:$M$204,$M$185)&gt;0)),"",IFERROR(INDEX(SAISIE!$K$5:$K$204,MATCH(MAXIFS(SAISIE!$L$5:$L$204,SAISIE!$J$5:$J$204,"*Vent Av./Arr.*",SAISIE!$M$5:$M$204,$M$185),SAISIE!$L$5:$L$204,0)),"-"))</f>
        <v/>
      </c>
      <c r="K192" s="7">
        <f>IF(OR($M$185="",NOT(MAXIFS(SAISIE!$L$5:$L$204,SAISIE!$J$5:$J$204,"*Vent Av./Arr.*",SAISIE!$M$5:$M$204,$M$185)&gt;0)),"",IFERROR(MAXIFS(SAISIE!$L$5:$L$204,SAISIE!$J$5:$J$204,"*Vent Av./Arr.*",SAISIE!$M$5:$M$204,$M$185),"-"))</f>
        <v/>
      </c>
      <c r="L192" s="7">
        <f>IF($M$185="","",IF(OR(K192="",K192="-"),"",IF(K192&gt;0,"(soulevement)",IF(K192&lt;0,"(compression)","-"))))</f>
        <v/>
      </c>
    </row>
    <row r="193">
      <c r="A193" s="6">
        <f>IF(OR($F$185="",NOT(COUNTIFS(SAISIE!$B$5:$B$204,"*Vent Arr./Av.*",SAISIE!$F$5:$F$204,$F$185)&gt;0)),"","Vent Arr./Av.")</f>
        <v/>
      </c>
      <c r="B193" s="7">
        <f>IF(OR($F$185="",NOT(COUNTIFS(SAISIE!$B$5:$B$204,"*Vent Arr./Av.*",SAISIE!$F$5:$F$204,$F$185)&gt;0)),"",IFERROR(IF(MINIFS(SAISIE!$E$5:$E$204,SAISIE!$B$5:$B$204,"*Vent Arr./Av.*",SAISIE!$F$5:$F$204,$F$185)&gt;=0,MAXIFS(SAISIE!$C$5:$C$204,SAISIE!$B$5:$B$204,"*Vent Arr./Av.*",SAISIE!$F$5:$F$204,$F$185),INDEX(SAISIE!$C$5:$C$204,MATCH(MINIFS(SAISIE!$E$5:$E$204,SAISIE!$B$5:$B$204,"*Vent Arr./Av.*",SAISIE!$F$5:$F$204,$F$185),SAISIE!$E$5:$E$204,0))),"-"))</f>
        <v/>
      </c>
      <c r="C193" s="7">
        <f>IF(OR($F$185="",NOT(COUNTIFS(SAISIE!$B$5:$B$204,"*Vent Arr./Av.*",SAISIE!$F$5:$F$204,$F$185)&gt;0)),"",IFERROR(IF(MINIFS(SAISIE!$E$5:$E$204,SAISIE!$B$5:$B$204,"*Vent Arr./Av.*",SAISIE!$F$5:$F$204,$F$185)&gt;=0,INDEX(SAISIE!$D$5:$D$204,MATCH(MAXIFS(SAISIE!$C$5:$C$204,SAISIE!$B$5:$B$204,"*Vent Arr./Av.*",SAISIE!$F$5:$F$204,$F$185),SAISIE!$C$5:$C$204,0)),INDEX(SAISIE!$D$5:$D$204,MATCH(MINIFS(SAISIE!$E$5:$E$204,SAISIE!$B$5:$B$204,"*Vent Arr./Av.*",SAISIE!$F$5:$F$204,$F$185),SAISIE!$E$5:$E$204,0))),"-"))</f>
        <v/>
      </c>
      <c r="D193" s="7">
        <f>IF(OR($F$185="",NOT(COUNTIFS(SAISIE!$B$5:$B$204,"*Vent Arr./Av.*",SAISIE!$F$5:$F$204,$F$185)&gt;0)),"",IFERROR(IF(MINIFS(SAISIE!$E$5:$E$204,SAISIE!$B$5:$B$204,"*Vent Arr./Av.*",SAISIE!$F$5:$F$204,$F$185)&gt;=0,0,MINIFS(SAISIE!$E$5:$E$204,SAISIE!$B$5:$B$204,"*Vent Arr./Av.*",SAISIE!$F$5:$F$204,$F$185)),"-"))</f>
        <v/>
      </c>
      <c r="E193" s="7">
        <f>IF($F$185="","",IF(OR(D193="",D193="-"),"",IF(D193&gt;0,"(soulevement)",IF(D193&lt;0,"(compression)","-"))))</f>
        <v/>
      </c>
      <c r="I193" s="6">
        <f>IF(OR($M$185="",NOT(COUNTIFS(SAISIE!$J$5:$J$204,"*Vent Arr./Av.*",SAISIE!$M$5:$M$204,$M$185)&gt;0)),"","Vent Arr./Av.")</f>
        <v/>
      </c>
      <c r="J193" s="7">
        <f>IF(OR($M$185="",NOT(COUNTIFS(SAISIE!$J$5:$J$204,"*Vent Arr./Av.*",SAISIE!$M$5:$M$204,$M$185)&gt;0)),"",IFERROR(IF(MINIFS(SAISIE!$L$5:$L$204,SAISIE!$J$5:$J$204,"*Vent Arr./Av.*",SAISIE!$M$5:$M$204,$M$185)&gt;=0,MAXIFS(SAISIE!$K$5:$K$204,SAISIE!$J$5:$J$204,"*Vent Arr./Av.*",SAISIE!$M$5:$M$204,$M$185),INDEX(SAISIE!$K$5:$K$204,MATCH(MINIFS(SAISIE!$L$5:$L$204,SAISIE!$J$5:$J$204,"*Vent Arr./Av.*",SAISIE!$M$5:$M$204,$M$185),SAISIE!$L$5:$L$204,0))),"-"))</f>
        <v/>
      </c>
      <c r="K193" s="7">
        <f>IF(OR($M$185="",NOT(COUNTIFS(SAISIE!$J$5:$J$204,"*Vent Arr./Av.*",SAISIE!$M$5:$M$204,$M$185)&gt;0)),"",IFERROR(IF(MINIFS(SAISIE!$L$5:$L$204,SAISIE!$J$5:$J$204,"*Vent Arr./Av.*",SAISIE!$M$5:$M$204,$M$185)&gt;=0,0,MINIFS(SAISIE!$L$5:$L$204,SAISIE!$J$5:$J$204,"*Vent Arr./Av.*",SAISIE!$M$5:$M$204,$M$185)),"-"))</f>
        <v/>
      </c>
      <c r="L193" s="7">
        <f>IF($M$185="","",IF(OR(K193="",K193="-"),"",IF(K193&gt;0,"(soulevement)",IF(K193&lt;0,"(compression)","-"))))</f>
        <v/>
      </c>
    </row>
    <row r="194">
      <c r="A194" s="6">
        <f>IF(OR($F$185="",NOT(MAXIFS(SAISIE!$E$5:$E$204,SAISIE!$B$5:$B$204,"*Vent Arr./Av.*",SAISIE!$F$5:$F$204,$F$185)&gt;0)),"","Vent Arr./Av.")</f>
        <v/>
      </c>
      <c r="B194" s="7">
        <f>IF(OR($F$185="",NOT(MAXIFS(SAISIE!$E$5:$E$204,SAISIE!$B$5:$B$204,"*Vent Arr./Av.*",SAISIE!$F$5:$F$204,$F$185)&gt;0)),"",IFERROR(INDEX(SAISIE!$C$5:$C$204,MATCH(MAXIFS(SAISIE!$E$5:$E$204,SAISIE!$B$5:$B$204,"*Vent Arr./Av.*",SAISIE!$F$5:$F$204,$F$185),SAISIE!$E$5:$E$204,0)),"-"))</f>
        <v/>
      </c>
      <c r="C194" s="7">
        <f>IF(OR($F$185="",NOT(MAXIFS(SAISIE!$E$5:$E$204,SAISIE!$B$5:$B$204,"*Vent Arr./Av.*",SAISIE!$F$5:$F$204,$F$185)&gt;0)),"",IFERROR(INDEX(SAISIE!$D$5:$D$204,MATCH(MAXIFS(SAISIE!$E$5:$E$204,SAISIE!$B$5:$B$204,"*Vent Arr./Av.*",SAISIE!$F$5:$F$204,$F$185),SAISIE!$E$5:$E$204,0)),"-"))</f>
        <v/>
      </c>
      <c r="D194" s="7">
        <f>IF(OR($F$185="",NOT(MAXIFS(SAISIE!$E$5:$E$204,SAISIE!$B$5:$B$204,"*Vent Arr./Av.*",SAISIE!$F$5:$F$204,$F$185)&gt;0)),"",IFERROR(MAXIFS(SAISIE!$E$5:$E$204,SAISIE!$B$5:$B$204,"*Vent Arr./Av.*",SAISIE!$F$5:$F$204,$F$185),"-"))</f>
        <v/>
      </c>
      <c r="E194" s="7">
        <f>IF($F$185="","",IF(OR(D194="",D194="-"),"",IF(D194&gt;0,"(soulevement)",IF(D194&lt;0,"(compression)","-"))))</f>
        <v/>
      </c>
      <c r="I194" s="6">
        <f>IF(OR($M$185="",NOT(MAXIFS(SAISIE!$L$5:$L$204,SAISIE!$J$5:$J$204,"*Vent Arr./Av.*",SAISIE!$M$5:$M$204,$M$185)&gt;0)),"","Vent Arr./Av.")</f>
        <v/>
      </c>
      <c r="J194" s="7">
        <f>IF(OR($M$185="",NOT(MAXIFS(SAISIE!$L$5:$L$204,SAISIE!$J$5:$J$204,"*Vent Arr./Av.*",SAISIE!$M$5:$M$204,$M$185)&gt;0)),"",IFERROR(INDEX(SAISIE!$K$5:$K$204,MATCH(MAXIFS(SAISIE!$L$5:$L$204,SAISIE!$J$5:$J$204,"*Vent Arr./Av.*",SAISIE!$M$5:$M$204,$M$185),SAISIE!$L$5:$L$204,0)),"-"))</f>
        <v/>
      </c>
      <c r="K194" s="7">
        <f>IF(OR($M$185="",NOT(MAXIFS(SAISIE!$L$5:$L$204,SAISIE!$J$5:$J$204,"*Vent Arr./Av.*",SAISIE!$M$5:$M$204,$M$185)&gt;0)),"",IFERROR(MAXIFS(SAISIE!$L$5:$L$204,SAISIE!$J$5:$J$204,"*Vent Arr./Av.*",SAISIE!$M$5:$M$204,$M$185),"-"))</f>
        <v/>
      </c>
      <c r="L194" s="7">
        <f>IF($M$185="","",IF(OR(K194="",K194="-"),"",IF(K194&gt;0,"(soulevement)",IF(K194&lt;0,"(compression)","-"))))</f>
        <v/>
      </c>
    </row>
    <row r="195">
      <c r="A195" s="6">
        <f>IF(OR($F$185="",NOT(TRUE)),"","Neige normale")</f>
        <v/>
      </c>
      <c r="B195" s="7">
        <f>IF($F$185="","",IFERROR(INDEX(SAISIE!$C$5:$C$204,MATCH(MINIFS(SAISIE!$E$5:$E$204,SAISIE!$B$5:$B$204,"*Neige*",SAISIE!$B$5:$B$204,"&lt;&gt;*accidentel*",SAISIE!$F$5:$F$204,$F$185),SAISIE!$E$5:$E$204,0)),"-"))</f>
        <v/>
      </c>
      <c r="C195" s="7">
        <f>IF($F$185="","",IFERROR(INDEX(SAISIE!$D$5:$D$204,MATCH(MINIFS(SAISIE!$E$5:$E$204,SAISIE!$B$5:$B$204,"*Neige*",SAISIE!$B$5:$B$204,"&lt;&gt;*accidentel*",SAISIE!$F$5:$F$204,$F$185),SAISIE!$E$5:$E$204,0)),"-"))</f>
        <v/>
      </c>
      <c r="D195" s="7">
        <f>IF($F$185="","",IFERROR(INDEX(SAISIE!$E$5:$E$204,MATCH(MINIFS(SAISIE!$E$5:$E$204,SAISIE!$B$5:$B$204,"*Neige*",SAISIE!$B$5:$B$204,"&lt;&gt;*accidentel*",SAISIE!$F$5:$F$204,$F$185),SAISIE!$E$5:$E$204,0)),"-"))</f>
        <v/>
      </c>
      <c r="E195" s="7">
        <f>IF($F$185="","",IF(OR(D195="",D195="-"),"",IF(D195&gt;0,"(soulevement)",IF(D195&lt;0,"(compression)","-"))))</f>
        <v/>
      </c>
      <c r="I195" s="6">
        <f>IF(OR($M$185="",NOT(TRUE)),"","Neige normale")</f>
        <v/>
      </c>
      <c r="J195" s="7">
        <f>IF($M$185="","",IFERROR(INDEX(SAISIE!$K$5:$K$204,MATCH(MINIFS(SAISIE!$L$5:$L$204,SAISIE!$J$5:$J$204,"*Neige*",SAISIE!$J$5:$J$204,"&lt;&gt;*accidentel*",SAISIE!$M$5:$M$204,$M$185),SAISIE!$L$5:$L$204,0)),"-"))</f>
        <v/>
      </c>
      <c r="K195" s="7">
        <f>IF($M$185="","",IFERROR(INDEX(SAISIE!$L$5:$L$204,MATCH(MINIFS(SAISIE!$L$5:$L$204,SAISIE!$J$5:$J$204,"*Neige*",SAISIE!$J$5:$J$204,"&lt;&gt;*accidentel*",SAISIE!$M$5:$M$204,$M$185),SAISIE!$L$5:$L$204,0)),"-"))</f>
        <v/>
      </c>
      <c r="L195" s="7">
        <f>IF($M$185="","",IF(OR(K195="",K195="-"),"",IF(K195&gt;0,"(soulevement)",IF(K195&lt;0,"(compression)","-"))))</f>
        <v/>
      </c>
    </row>
    <row r="196">
      <c r="A196" s="6">
        <f>IF(OR($F$185="",NOT(TRUE)),"","Neige accidentelle")</f>
        <v/>
      </c>
      <c r="B196" s="7">
        <f>IF($F$185="","",IFERROR(LOOKUP(2,1/((SAISIE!$F$5:$F$204=$F$185)*(ISNUMBER(SEARCH("accidentel",SAISIE!$B$5:$B$204)))),SAISIE!$C$5:$C$204),"-"))</f>
        <v/>
      </c>
      <c r="C196" s="7">
        <f>IF($F$185="","",IFERROR(LOOKUP(2,1/((SAISIE!$F$5:$F$204=$F$185)*(ISNUMBER(SEARCH("accidentel",SAISIE!$B$5:$B$204)))),SAISIE!$D$5:$D$204),"-"))</f>
        <v/>
      </c>
      <c r="D196" s="7">
        <f>IF($F$185="","",IFERROR(LOOKUP(2,1/((SAISIE!$F$5:$F$204=$F$185)*(ISNUMBER(SEARCH("accidentel",SAISIE!$B$5:$B$204)))),SAISIE!$E$5:$E$204),"-"))</f>
        <v/>
      </c>
      <c r="E196" s="7">
        <f>IF($F$185="","",IF(OR(D196="",D196="-"),"",IF(D196&gt;0,"(soulevement)",IF(D196&lt;0,"(compression)","-"))))</f>
        <v/>
      </c>
      <c r="I196" s="6">
        <f>IF(OR($M$185="",NOT(TRUE)),"","Neige accidentelle")</f>
        <v/>
      </c>
      <c r="J196" s="7">
        <f>IF($M$185="","",IFERROR(LOOKUP(2,1/((SAISIE!$M$5:$M$204=$M$185)*(ISNUMBER(SEARCH("accidentel",SAISIE!$J$5:$J$204)))),SAISIE!$K$5:$K$204),"-"))</f>
        <v/>
      </c>
      <c r="K196" s="7">
        <f>IF($M$185="","",IFERROR(LOOKUP(2,1/((SAISIE!$M$5:$M$204=$M$185)*(ISNUMBER(SEARCH("accidentel",SAISIE!$J$5:$J$204)))),SAISIE!$L$5:$L$204),"-"))</f>
        <v/>
      </c>
      <c r="L196" s="7">
        <f>IF($M$185="","",IF(OR(K196="",K196="-"),"",IF(K196&gt;0,"(soulevement)",IF(K196&lt;0,"(compression)","-"))))</f>
        <v/>
      </c>
    </row>
    <row r="197">
      <c r="A197" s="5">
        <f>IF($F$197="","","Noeud "&amp;$F$197)</f>
        <v/>
      </c>
      <c r="B197" s="5" t="n"/>
      <c r="C197" s="5" t="n"/>
      <c r="D197" s="5" t="n"/>
      <c r="E197" s="5" t="n"/>
      <c r="F197">
        <f>IFERROR(INDEX(SAISIE!$F$5:$F$204,AGGREGATE(15,6,ROW(SAISIE!$F$5:$F$204)-ROW(SAISIE!$F$5)+1/(SAISIE!$F$5:$F$204&lt;&gt;"")/(COUNTIF($F$4:F196,SAISIE!$F$5:$F$204)=0),1)),"")</f>
        <v/>
      </c>
      <c r="I197" s="5">
        <f>IF($M$197="","","Noeud "&amp;$M$197)</f>
        <v/>
      </c>
      <c r="J197" s="5" t="n"/>
      <c r="K197" s="5" t="n"/>
      <c r="L197" s="5" t="n"/>
      <c r="M197">
        <f>IFERROR(INDEX(SAISIE!$M$5:$M$204,AGGREGATE(15,6,ROW(SAISIE!$M$5:$M$204)-ROW(SAISIE!$M$5)+1/(SAISIE!$M$5:$M$204&lt;&gt;"")/(COUNTIF($M$4:M196,SAISIE!$M$5:$M$204)=0),1)),"")</f>
        <v/>
      </c>
    </row>
    <row r="198">
      <c r="A198" s="6">
        <f>IF(OR($F$197="",NOT(TRUE)),"","Couverture")</f>
        <v/>
      </c>
      <c r="B198" s="7">
        <f>IF($F$197="","",IFERROR(IFERROR(LOOKUP(2,1/((SAISIE!$F$5:$F$204=$F$197)*(LEFT(SAISIE!$B$5:$B$204,2)="G ")),SAISIE!$C$5:$C$204),LOOKUP(2,1/((SAISIE!$F$5:$F$204=$F$197)*(ISNUMBER(SEARCH("Couverture",SAISIE!$B$5:$B$204)))),SAISIE!$C$5:$C$204)),"-"))</f>
        <v/>
      </c>
      <c r="C198" s="7">
        <f>IF($F$197="","",IFERROR(IFERROR(LOOKUP(2,1/((SAISIE!$F$5:$F$204=$F$197)*(LEFT(SAISIE!$B$5:$B$204,2)="G ")),SAISIE!$D$5:$D$204),LOOKUP(2,1/((SAISIE!$F$5:$F$204=$F$197)*(ISNUMBER(SEARCH("Couverture",SAISIE!$B$5:$B$204)))),SAISIE!$D$5:$D$204)),"-"))</f>
        <v/>
      </c>
      <c r="D198" s="7">
        <f>IF($F$197="","",IFERROR(IFERROR(LOOKUP(2,1/((SAISIE!$F$5:$F$204=$F$197)*(LEFT(SAISIE!$B$5:$B$204,2)="G ")),SAISIE!$E$5:$E$204),LOOKUP(2,1/((SAISIE!$F$5:$F$204=$F$197)*(ISNUMBER(SEARCH("Couverture",SAISIE!$B$5:$B$204)))),SAISIE!$E$5:$E$204)),"-"))</f>
        <v/>
      </c>
      <c r="E198" s="7">
        <f>IF($F$197="","",IF(OR(D198="",D198="-"),"",IF(D198&gt;0,"(soulevement)",IF(D198&lt;0,"(compression)","-"))))</f>
        <v/>
      </c>
      <c r="I198" s="6">
        <f>IF(OR($M$197="",NOT(TRUE)),"","Couverture")</f>
        <v/>
      </c>
      <c r="J198" s="7">
        <f>IF($M$197="","",IFERROR(IFERROR(LOOKUP(2,1/((SAISIE!$M$5:$M$204=$M$197)*(LEFT(SAISIE!$J$5:$J$204,2)="G ")),SAISIE!$K$5:$K$204),LOOKUP(2,1/((SAISIE!$M$5:$M$204=$M$197)*(ISNUMBER(SEARCH("Couverture",SAISIE!$J$5:$J$204)))),SAISIE!$K$5:$K$204)),"-"))</f>
        <v/>
      </c>
      <c r="K198" s="7">
        <f>IF($M$197="","",IFERROR(IFERROR(LOOKUP(2,1/((SAISIE!$M$5:$M$204=$M$197)*(LEFT(SAISIE!$J$5:$J$204,2)="G ")),SAISIE!$L$5:$L$204),LOOKUP(2,1/((SAISIE!$M$5:$M$204=$M$197)*(ISNUMBER(SEARCH("Couverture",SAISIE!$J$5:$J$204)))),SAISIE!$L$5:$L$204)),"-"))</f>
        <v/>
      </c>
      <c r="L198" s="7">
        <f>IF($M$197="","",IF(OR(K198="",K198="-"),"",IF(K198&gt;0,"(soulevement)",IF(K198&lt;0,"(compression)","-"))))</f>
        <v/>
      </c>
    </row>
    <row r="199">
      <c r="A199" s="6">
        <f>IF(OR($F$197="",NOT(COUNTIFS(SAISIE!$B$5:$B$204,"*Vent G/D*",SAISIE!$F$5:$F$204,$F$197)&gt;0)),"","Vent G/D")</f>
        <v/>
      </c>
      <c r="B199" s="7">
        <f>IF(OR($F$197="",NOT(COUNTIFS(SAISIE!$B$5:$B$204,"*Vent G/D*",SAISIE!$F$5:$F$204,$F$197)&gt;0)),"",IFERROR(IF(MINIFS(SAISIE!$E$5:$E$204,SAISIE!$B$5:$B$204,"*Vent G/D*",SAISIE!$F$5:$F$204,$F$197)&gt;=0,MAXIFS(SAISIE!$C$5:$C$204,SAISIE!$B$5:$B$204,"*Vent G/D*",SAISIE!$F$5:$F$204,$F$197),INDEX(SAISIE!$C$5:$C$204,MATCH(MINIFS(SAISIE!$E$5:$E$204,SAISIE!$B$5:$B$204,"*Vent G/D*",SAISIE!$F$5:$F$204,$F$197),SAISIE!$E$5:$E$204,0))),"-"))</f>
        <v/>
      </c>
      <c r="C199" s="7">
        <f>IF(OR($F$197="",NOT(COUNTIFS(SAISIE!$B$5:$B$204,"*Vent G/D*",SAISIE!$F$5:$F$204,$F$197)&gt;0)),"",IFERROR(IF(MINIFS(SAISIE!$E$5:$E$204,SAISIE!$B$5:$B$204,"*Vent G/D*",SAISIE!$F$5:$F$204,$F$197)&gt;=0,INDEX(SAISIE!$D$5:$D$204,MATCH(MAXIFS(SAISIE!$C$5:$C$204,SAISIE!$B$5:$B$204,"*Vent G/D*",SAISIE!$F$5:$F$204,$F$197),SAISIE!$C$5:$C$204,0)),INDEX(SAISIE!$D$5:$D$204,MATCH(MINIFS(SAISIE!$E$5:$E$204,SAISIE!$B$5:$B$204,"*Vent G/D*",SAISIE!$F$5:$F$204,$F$197),SAISIE!$E$5:$E$204,0))),"-"))</f>
        <v/>
      </c>
      <c r="D199" s="7">
        <f>IF(OR($F$197="",NOT(COUNTIFS(SAISIE!$B$5:$B$204,"*Vent G/D*",SAISIE!$F$5:$F$204,$F$197)&gt;0)),"",IFERROR(IF(MINIFS(SAISIE!$E$5:$E$204,SAISIE!$B$5:$B$204,"*Vent G/D*",SAISIE!$F$5:$F$204,$F$197)&gt;=0,0,MINIFS(SAISIE!$E$5:$E$204,SAISIE!$B$5:$B$204,"*Vent G/D*",SAISIE!$F$5:$F$204,$F$197)),"-"))</f>
        <v/>
      </c>
      <c r="E199" s="7">
        <f>IF($F$197="","",IF(OR(D199="",D199="-"),"",IF(D199&gt;0,"(soulevement)",IF(D199&lt;0,"(compression)","-"))))</f>
        <v/>
      </c>
      <c r="I199" s="6">
        <f>IF(OR($M$197="",NOT(COUNTIFS(SAISIE!$J$5:$J$204,"*Vent G/D*",SAISIE!$M$5:$M$204,$M$197)&gt;0)),"","Vent G/D")</f>
        <v/>
      </c>
      <c r="J199" s="7">
        <f>IF(OR($M$197="",NOT(COUNTIFS(SAISIE!$J$5:$J$204,"*Vent G/D*",SAISIE!$M$5:$M$204,$M$197)&gt;0)),"",IFERROR(IF(MINIFS(SAISIE!$L$5:$L$204,SAISIE!$J$5:$J$204,"*Vent G/D*",SAISIE!$M$5:$M$204,$M$197)&gt;=0,MAXIFS(SAISIE!$K$5:$K$204,SAISIE!$J$5:$J$204,"*Vent G/D*",SAISIE!$M$5:$M$204,$M$197),INDEX(SAISIE!$K$5:$K$204,MATCH(MINIFS(SAISIE!$L$5:$L$204,SAISIE!$J$5:$J$204,"*Vent G/D*",SAISIE!$M$5:$M$204,$M$197),SAISIE!$L$5:$L$204,0))),"-"))</f>
        <v/>
      </c>
      <c r="K199" s="7">
        <f>IF(OR($M$197="",NOT(COUNTIFS(SAISIE!$J$5:$J$204,"*Vent G/D*",SAISIE!$M$5:$M$204,$M$197)&gt;0)),"",IFERROR(IF(MINIFS(SAISIE!$L$5:$L$204,SAISIE!$J$5:$J$204,"*Vent G/D*",SAISIE!$M$5:$M$204,$M$197)&gt;=0,0,MINIFS(SAISIE!$L$5:$L$204,SAISIE!$J$5:$J$204,"*Vent G/D*",SAISIE!$M$5:$M$204,$M$197)),"-"))</f>
        <v/>
      </c>
      <c r="L199" s="7">
        <f>IF($M$197="","",IF(OR(K199="",K199="-"),"",IF(K199&gt;0,"(soulevement)",IF(K199&lt;0,"(compression)","-"))))</f>
        <v/>
      </c>
    </row>
    <row r="200">
      <c r="A200" s="6">
        <f>IF(OR($F$197="",NOT(MAXIFS(SAISIE!$E$5:$E$204,SAISIE!$B$5:$B$204,"*Vent G/D*",SAISIE!$F$5:$F$204,$F$197)&gt;0)),"","Vent G/D")</f>
        <v/>
      </c>
      <c r="B200" s="7">
        <f>IF(OR($F$197="",NOT(MAXIFS(SAISIE!$E$5:$E$204,SAISIE!$B$5:$B$204,"*Vent G/D*",SAISIE!$F$5:$F$204,$F$197)&gt;0)),"",IFERROR(INDEX(SAISIE!$C$5:$C$204,MATCH(MAXIFS(SAISIE!$E$5:$E$204,SAISIE!$B$5:$B$204,"*Vent G/D*",SAISIE!$F$5:$F$204,$F$197),SAISIE!$E$5:$E$204,0)),"-"))</f>
        <v/>
      </c>
      <c r="C200" s="7">
        <f>IF(OR($F$197="",NOT(MAXIFS(SAISIE!$E$5:$E$204,SAISIE!$B$5:$B$204,"*Vent G/D*",SAISIE!$F$5:$F$204,$F$197)&gt;0)),"",IFERROR(INDEX(SAISIE!$D$5:$D$204,MATCH(MAXIFS(SAISIE!$E$5:$E$204,SAISIE!$B$5:$B$204,"*Vent G/D*",SAISIE!$F$5:$F$204,$F$197),SAISIE!$E$5:$E$204,0)),"-"))</f>
        <v/>
      </c>
      <c r="D200" s="7">
        <f>IF(OR($F$197="",NOT(MAXIFS(SAISIE!$E$5:$E$204,SAISIE!$B$5:$B$204,"*Vent G/D*",SAISIE!$F$5:$F$204,$F$197)&gt;0)),"",IFERROR(MAXIFS(SAISIE!$E$5:$E$204,SAISIE!$B$5:$B$204,"*Vent G/D*",SAISIE!$F$5:$F$204,$F$197),"-"))</f>
        <v/>
      </c>
      <c r="E200" s="7">
        <f>IF($F$197="","",IF(OR(D200="",D200="-"),"",IF(D200&gt;0,"(soulevement)",IF(D200&lt;0,"(compression)","-"))))</f>
        <v/>
      </c>
      <c r="I200" s="6">
        <f>IF(OR($M$197="",NOT(MAXIFS(SAISIE!$L$5:$L$204,SAISIE!$J$5:$J$204,"*Vent G/D*",SAISIE!$M$5:$M$204,$M$197)&gt;0)),"","Vent G/D")</f>
        <v/>
      </c>
      <c r="J200" s="7">
        <f>IF(OR($M$197="",NOT(MAXIFS(SAISIE!$L$5:$L$204,SAISIE!$J$5:$J$204,"*Vent G/D*",SAISIE!$M$5:$M$204,$M$197)&gt;0)),"",IFERROR(INDEX(SAISIE!$K$5:$K$204,MATCH(MAXIFS(SAISIE!$L$5:$L$204,SAISIE!$J$5:$J$204,"*Vent G/D*",SAISIE!$M$5:$M$204,$M$197),SAISIE!$L$5:$L$204,0)),"-"))</f>
        <v/>
      </c>
      <c r="K200" s="7">
        <f>IF(OR($M$197="",NOT(MAXIFS(SAISIE!$L$5:$L$204,SAISIE!$J$5:$J$204,"*Vent G/D*",SAISIE!$M$5:$M$204,$M$197)&gt;0)),"",IFERROR(MAXIFS(SAISIE!$L$5:$L$204,SAISIE!$J$5:$J$204,"*Vent G/D*",SAISIE!$M$5:$M$204,$M$197),"-"))</f>
        <v/>
      </c>
      <c r="L200" s="7">
        <f>IF($M$197="","",IF(OR(K200="",K200="-"),"",IF(K200&gt;0,"(soulevement)",IF(K200&lt;0,"(compression)","-"))))</f>
        <v/>
      </c>
    </row>
    <row r="201">
      <c r="A201" s="6">
        <f>IF(OR($F$197="",NOT(COUNTIFS(SAISIE!$B$5:$B$204,"*Vent D/G*",SAISIE!$F$5:$F$204,$F$197)&gt;0)),"","Vent D/G")</f>
        <v/>
      </c>
      <c r="B201" s="7">
        <f>IF(OR($F$197="",NOT(COUNTIFS(SAISIE!$B$5:$B$204,"*Vent D/G*",SAISIE!$F$5:$F$204,$F$197)&gt;0)),"",IFERROR(IF(MINIFS(SAISIE!$E$5:$E$204,SAISIE!$B$5:$B$204,"*Vent D/G*",SAISIE!$F$5:$F$204,$F$197)&gt;=0,MAXIFS(SAISIE!$C$5:$C$204,SAISIE!$B$5:$B$204,"*Vent D/G*",SAISIE!$F$5:$F$204,$F$197),INDEX(SAISIE!$C$5:$C$204,MATCH(MINIFS(SAISIE!$E$5:$E$204,SAISIE!$B$5:$B$204,"*Vent D/G*",SAISIE!$F$5:$F$204,$F$197),SAISIE!$E$5:$E$204,0))),"-"))</f>
        <v/>
      </c>
      <c r="C201" s="7">
        <f>IF(OR($F$197="",NOT(COUNTIFS(SAISIE!$B$5:$B$204,"*Vent D/G*",SAISIE!$F$5:$F$204,$F$197)&gt;0)),"",IFERROR(IF(MINIFS(SAISIE!$E$5:$E$204,SAISIE!$B$5:$B$204,"*Vent D/G*",SAISIE!$F$5:$F$204,$F$197)&gt;=0,INDEX(SAISIE!$D$5:$D$204,MATCH(MAXIFS(SAISIE!$C$5:$C$204,SAISIE!$B$5:$B$204,"*Vent D/G*",SAISIE!$F$5:$F$204,$F$197),SAISIE!$C$5:$C$204,0)),INDEX(SAISIE!$D$5:$D$204,MATCH(MINIFS(SAISIE!$E$5:$E$204,SAISIE!$B$5:$B$204,"*Vent D/G*",SAISIE!$F$5:$F$204,$F$197),SAISIE!$E$5:$E$204,0))),"-"))</f>
        <v/>
      </c>
      <c r="D201" s="7">
        <f>IF(OR($F$197="",NOT(COUNTIFS(SAISIE!$B$5:$B$204,"*Vent D/G*",SAISIE!$F$5:$F$204,$F$197)&gt;0)),"",IFERROR(IF(MINIFS(SAISIE!$E$5:$E$204,SAISIE!$B$5:$B$204,"*Vent D/G*",SAISIE!$F$5:$F$204,$F$197)&gt;=0,0,MINIFS(SAISIE!$E$5:$E$204,SAISIE!$B$5:$B$204,"*Vent D/G*",SAISIE!$F$5:$F$204,$F$197)),"-"))</f>
        <v/>
      </c>
      <c r="E201" s="7">
        <f>IF($F$197="","",IF(OR(D201="",D201="-"),"",IF(D201&gt;0,"(soulevement)",IF(D201&lt;0,"(compression)","-"))))</f>
        <v/>
      </c>
      <c r="I201" s="6">
        <f>IF(OR($M$197="",NOT(COUNTIFS(SAISIE!$J$5:$J$204,"*Vent D/G*",SAISIE!$M$5:$M$204,$M$197)&gt;0)),"","Vent D/G")</f>
        <v/>
      </c>
      <c r="J201" s="7">
        <f>IF(OR($M$197="",NOT(COUNTIFS(SAISIE!$J$5:$J$204,"*Vent D/G*",SAISIE!$M$5:$M$204,$M$197)&gt;0)),"",IFERROR(IF(MINIFS(SAISIE!$L$5:$L$204,SAISIE!$J$5:$J$204,"*Vent D/G*",SAISIE!$M$5:$M$204,$M$197)&gt;=0,MAXIFS(SAISIE!$K$5:$K$204,SAISIE!$J$5:$J$204,"*Vent D/G*",SAISIE!$M$5:$M$204,$M$197),INDEX(SAISIE!$K$5:$K$204,MATCH(MINIFS(SAISIE!$L$5:$L$204,SAISIE!$J$5:$J$204,"*Vent D/G*",SAISIE!$M$5:$M$204,$M$197),SAISIE!$L$5:$L$204,0))),"-"))</f>
        <v/>
      </c>
      <c r="K201" s="7">
        <f>IF(OR($M$197="",NOT(COUNTIFS(SAISIE!$J$5:$J$204,"*Vent D/G*",SAISIE!$M$5:$M$204,$M$197)&gt;0)),"",IFERROR(IF(MINIFS(SAISIE!$L$5:$L$204,SAISIE!$J$5:$J$204,"*Vent D/G*",SAISIE!$M$5:$M$204,$M$197)&gt;=0,0,MINIFS(SAISIE!$L$5:$L$204,SAISIE!$J$5:$J$204,"*Vent D/G*",SAISIE!$M$5:$M$204,$M$197)),"-"))</f>
        <v/>
      </c>
      <c r="L201" s="7">
        <f>IF($M$197="","",IF(OR(K201="",K201="-"),"",IF(K201&gt;0,"(soulevement)",IF(K201&lt;0,"(compression)","-"))))</f>
        <v/>
      </c>
    </row>
    <row r="202">
      <c r="A202" s="6">
        <f>IF(OR($F$197="",NOT(MAXIFS(SAISIE!$E$5:$E$204,SAISIE!$B$5:$B$204,"*Vent D/G*",SAISIE!$F$5:$F$204,$F$197)&gt;0)),"","Vent D/G")</f>
        <v/>
      </c>
      <c r="B202" s="7">
        <f>IF(OR($F$197="",NOT(MAXIFS(SAISIE!$E$5:$E$204,SAISIE!$B$5:$B$204,"*Vent D/G*",SAISIE!$F$5:$F$204,$F$197)&gt;0)),"",IFERROR(INDEX(SAISIE!$C$5:$C$204,MATCH(MAXIFS(SAISIE!$E$5:$E$204,SAISIE!$B$5:$B$204,"*Vent D/G*",SAISIE!$F$5:$F$204,$F$197),SAISIE!$E$5:$E$204,0)),"-"))</f>
        <v/>
      </c>
      <c r="C202" s="7">
        <f>IF(OR($F$197="",NOT(MAXIFS(SAISIE!$E$5:$E$204,SAISIE!$B$5:$B$204,"*Vent D/G*",SAISIE!$F$5:$F$204,$F$197)&gt;0)),"",IFERROR(INDEX(SAISIE!$D$5:$D$204,MATCH(MAXIFS(SAISIE!$E$5:$E$204,SAISIE!$B$5:$B$204,"*Vent D/G*",SAISIE!$F$5:$F$204,$F$197),SAISIE!$E$5:$E$204,0)),"-"))</f>
        <v/>
      </c>
      <c r="D202" s="7">
        <f>IF(OR($F$197="",NOT(MAXIFS(SAISIE!$E$5:$E$204,SAISIE!$B$5:$B$204,"*Vent D/G*",SAISIE!$F$5:$F$204,$F$197)&gt;0)),"",IFERROR(MAXIFS(SAISIE!$E$5:$E$204,SAISIE!$B$5:$B$204,"*Vent D/G*",SAISIE!$F$5:$F$204,$F$197),"-"))</f>
        <v/>
      </c>
      <c r="E202" s="7">
        <f>IF($F$197="","",IF(OR(D202="",D202="-"),"",IF(D202&gt;0,"(soulevement)",IF(D202&lt;0,"(compression)","-"))))</f>
        <v/>
      </c>
      <c r="I202" s="6">
        <f>IF(OR($M$197="",NOT(MAXIFS(SAISIE!$L$5:$L$204,SAISIE!$J$5:$J$204,"*Vent D/G*",SAISIE!$M$5:$M$204,$M$197)&gt;0)),"","Vent D/G")</f>
        <v/>
      </c>
      <c r="J202" s="7">
        <f>IF(OR($M$197="",NOT(MAXIFS(SAISIE!$L$5:$L$204,SAISIE!$J$5:$J$204,"*Vent D/G*",SAISIE!$M$5:$M$204,$M$197)&gt;0)),"",IFERROR(INDEX(SAISIE!$K$5:$K$204,MATCH(MAXIFS(SAISIE!$L$5:$L$204,SAISIE!$J$5:$J$204,"*Vent D/G*",SAISIE!$M$5:$M$204,$M$197),SAISIE!$L$5:$L$204,0)),"-"))</f>
        <v/>
      </c>
      <c r="K202" s="7">
        <f>IF(OR($M$197="",NOT(MAXIFS(SAISIE!$L$5:$L$204,SAISIE!$J$5:$J$204,"*Vent D/G*",SAISIE!$M$5:$M$204,$M$197)&gt;0)),"",IFERROR(MAXIFS(SAISIE!$L$5:$L$204,SAISIE!$J$5:$J$204,"*Vent D/G*",SAISIE!$M$5:$M$204,$M$197),"-"))</f>
        <v/>
      </c>
      <c r="L202" s="7">
        <f>IF($M$197="","",IF(OR(K202="",K202="-"),"",IF(K202&gt;0,"(soulevement)",IF(K202&lt;0,"(compression)","-"))))</f>
        <v/>
      </c>
    </row>
    <row r="203">
      <c r="A203" s="6">
        <f>IF(OR($F$197="",NOT(COUNTIFS(SAISIE!$B$5:$B$204,"*Vent Av./Arr.*",SAISIE!$F$5:$F$204,$F$197)&gt;0)),"","Vent Av./Arr.")</f>
        <v/>
      </c>
      <c r="B203" s="7">
        <f>IF(OR($F$197="",NOT(COUNTIFS(SAISIE!$B$5:$B$204,"*Vent Av./Arr.*",SAISIE!$F$5:$F$204,$F$197)&gt;0)),"",IFERROR(IF(MINIFS(SAISIE!$E$5:$E$204,SAISIE!$B$5:$B$204,"*Vent Av./Arr.*",SAISIE!$F$5:$F$204,$F$197)&gt;=0,MAXIFS(SAISIE!$C$5:$C$204,SAISIE!$B$5:$B$204,"*Vent Av./Arr.*",SAISIE!$F$5:$F$204,$F$197),INDEX(SAISIE!$C$5:$C$204,MATCH(MINIFS(SAISIE!$E$5:$E$204,SAISIE!$B$5:$B$204,"*Vent Av./Arr.*",SAISIE!$F$5:$F$204,$F$197),SAISIE!$E$5:$E$204,0))),"-"))</f>
        <v/>
      </c>
      <c r="C203" s="7">
        <f>IF(OR($F$197="",NOT(COUNTIFS(SAISIE!$B$5:$B$204,"*Vent Av./Arr.*",SAISIE!$F$5:$F$204,$F$197)&gt;0)),"",IFERROR(IF(MINIFS(SAISIE!$E$5:$E$204,SAISIE!$B$5:$B$204,"*Vent Av./Arr.*",SAISIE!$F$5:$F$204,$F$197)&gt;=0,INDEX(SAISIE!$D$5:$D$204,MATCH(MAXIFS(SAISIE!$C$5:$C$204,SAISIE!$B$5:$B$204,"*Vent Av./Arr.*",SAISIE!$F$5:$F$204,$F$197),SAISIE!$C$5:$C$204,0)),INDEX(SAISIE!$D$5:$D$204,MATCH(MINIFS(SAISIE!$E$5:$E$204,SAISIE!$B$5:$B$204,"*Vent Av./Arr.*",SAISIE!$F$5:$F$204,$F$197),SAISIE!$E$5:$E$204,0))),"-"))</f>
        <v/>
      </c>
      <c r="D203" s="7">
        <f>IF(OR($F$197="",NOT(COUNTIFS(SAISIE!$B$5:$B$204,"*Vent Av./Arr.*",SAISIE!$F$5:$F$204,$F$197)&gt;0)),"",IFERROR(IF(MINIFS(SAISIE!$E$5:$E$204,SAISIE!$B$5:$B$204,"*Vent Av./Arr.*",SAISIE!$F$5:$F$204,$F$197)&gt;=0,0,MINIFS(SAISIE!$E$5:$E$204,SAISIE!$B$5:$B$204,"*Vent Av./Arr.*",SAISIE!$F$5:$F$204,$F$197)),"-"))</f>
        <v/>
      </c>
      <c r="E203" s="7">
        <f>IF($F$197="","",IF(OR(D203="",D203="-"),"",IF(D203&gt;0,"(soulevement)",IF(D203&lt;0,"(compression)","-"))))</f>
        <v/>
      </c>
      <c r="I203" s="6">
        <f>IF(OR($M$197="",NOT(COUNTIFS(SAISIE!$J$5:$J$204,"*Vent Av./Arr.*",SAISIE!$M$5:$M$204,$M$197)&gt;0)),"","Vent Av./Arr.")</f>
        <v/>
      </c>
      <c r="J203" s="7">
        <f>IF(OR($M$197="",NOT(COUNTIFS(SAISIE!$J$5:$J$204,"*Vent Av./Arr.*",SAISIE!$M$5:$M$204,$M$197)&gt;0)),"",IFERROR(IF(MINIFS(SAISIE!$L$5:$L$204,SAISIE!$J$5:$J$204,"*Vent Av./Arr.*",SAISIE!$M$5:$M$204,$M$197)&gt;=0,MAXIFS(SAISIE!$K$5:$K$204,SAISIE!$J$5:$J$204,"*Vent Av./Arr.*",SAISIE!$M$5:$M$204,$M$197),INDEX(SAISIE!$K$5:$K$204,MATCH(MINIFS(SAISIE!$L$5:$L$204,SAISIE!$J$5:$J$204,"*Vent Av./Arr.*",SAISIE!$M$5:$M$204,$M$197),SAISIE!$L$5:$L$204,0))),"-"))</f>
        <v/>
      </c>
      <c r="K203" s="7">
        <f>IF(OR($M$197="",NOT(COUNTIFS(SAISIE!$J$5:$J$204,"*Vent Av./Arr.*",SAISIE!$M$5:$M$204,$M$197)&gt;0)),"",IFERROR(IF(MINIFS(SAISIE!$L$5:$L$204,SAISIE!$J$5:$J$204,"*Vent Av./Arr.*",SAISIE!$M$5:$M$204,$M$197)&gt;=0,0,MINIFS(SAISIE!$L$5:$L$204,SAISIE!$J$5:$J$204,"*Vent Av./Arr.*",SAISIE!$M$5:$M$204,$M$197)),"-"))</f>
        <v/>
      </c>
      <c r="L203" s="7">
        <f>IF($M$197="","",IF(OR(K203="",K203="-"),"",IF(K203&gt;0,"(soulevement)",IF(K203&lt;0,"(compression)","-"))))</f>
        <v/>
      </c>
    </row>
    <row r="204">
      <c r="A204" s="6">
        <f>IF(OR($F$197="",NOT(MAXIFS(SAISIE!$E$5:$E$204,SAISIE!$B$5:$B$204,"*Vent Av./Arr.*",SAISIE!$F$5:$F$204,$F$197)&gt;0)),"","Vent Av./Arr.")</f>
        <v/>
      </c>
      <c r="B204" s="7">
        <f>IF(OR($F$197="",NOT(MAXIFS(SAISIE!$E$5:$E$204,SAISIE!$B$5:$B$204,"*Vent Av./Arr.*",SAISIE!$F$5:$F$204,$F$197)&gt;0)),"",IFERROR(INDEX(SAISIE!$C$5:$C$204,MATCH(MAXIFS(SAISIE!$E$5:$E$204,SAISIE!$B$5:$B$204,"*Vent Av./Arr.*",SAISIE!$F$5:$F$204,$F$197),SAISIE!$E$5:$E$204,0)),"-"))</f>
        <v/>
      </c>
      <c r="C204" s="7">
        <f>IF(OR($F$197="",NOT(MAXIFS(SAISIE!$E$5:$E$204,SAISIE!$B$5:$B$204,"*Vent Av./Arr.*",SAISIE!$F$5:$F$204,$F$197)&gt;0)),"",IFERROR(INDEX(SAISIE!$D$5:$D$204,MATCH(MAXIFS(SAISIE!$E$5:$E$204,SAISIE!$B$5:$B$204,"*Vent Av./Arr.*",SAISIE!$F$5:$F$204,$F$197),SAISIE!$E$5:$E$204,0)),"-"))</f>
        <v/>
      </c>
      <c r="D204" s="7">
        <f>IF(OR($F$197="",NOT(MAXIFS(SAISIE!$E$5:$E$204,SAISIE!$B$5:$B$204,"*Vent Av./Arr.*",SAISIE!$F$5:$F$204,$F$197)&gt;0)),"",IFERROR(MAXIFS(SAISIE!$E$5:$E$204,SAISIE!$B$5:$B$204,"*Vent Av./Arr.*",SAISIE!$F$5:$F$204,$F$197),"-"))</f>
        <v/>
      </c>
      <c r="E204" s="7">
        <f>IF($F$197="","",IF(OR(D204="",D204="-"),"",IF(D204&gt;0,"(soulevement)",IF(D204&lt;0,"(compression)","-"))))</f>
        <v/>
      </c>
      <c r="I204" s="6">
        <f>IF(OR($M$197="",NOT(MAXIFS(SAISIE!$L$5:$L$204,SAISIE!$J$5:$J$204,"*Vent Av./Arr.*",SAISIE!$M$5:$M$204,$M$197)&gt;0)),"","Vent Av./Arr.")</f>
        <v/>
      </c>
      <c r="J204" s="7">
        <f>IF(OR($M$197="",NOT(MAXIFS(SAISIE!$L$5:$L$204,SAISIE!$J$5:$J$204,"*Vent Av./Arr.*",SAISIE!$M$5:$M$204,$M$197)&gt;0)),"",IFERROR(INDEX(SAISIE!$K$5:$K$204,MATCH(MAXIFS(SAISIE!$L$5:$L$204,SAISIE!$J$5:$J$204,"*Vent Av./Arr.*",SAISIE!$M$5:$M$204,$M$197),SAISIE!$L$5:$L$204,0)),"-"))</f>
        <v/>
      </c>
      <c r="K204" s="7">
        <f>IF(OR($M$197="",NOT(MAXIFS(SAISIE!$L$5:$L$204,SAISIE!$J$5:$J$204,"*Vent Av./Arr.*",SAISIE!$M$5:$M$204,$M$197)&gt;0)),"",IFERROR(MAXIFS(SAISIE!$L$5:$L$204,SAISIE!$J$5:$J$204,"*Vent Av./Arr.*",SAISIE!$M$5:$M$204,$M$197),"-"))</f>
        <v/>
      </c>
      <c r="L204" s="7">
        <f>IF($M$197="","",IF(OR(K204="",K204="-"),"",IF(K204&gt;0,"(soulevement)",IF(K204&lt;0,"(compression)","-"))))</f>
        <v/>
      </c>
    </row>
    <row r="205">
      <c r="A205" s="6">
        <f>IF(OR($F$197="",NOT(COUNTIFS(SAISIE!$B$5:$B$204,"*Vent Arr./Av.*",SAISIE!$F$5:$F$204,$F$197)&gt;0)),"","Vent Arr./Av.")</f>
        <v/>
      </c>
      <c r="B205" s="7">
        <f>IF(OR($F$197="",NOT(COUNTIFS(SAISIE!$B$5:$B$204,"*Vent Arr./Av.*",SAISIE!$F$5:$F$204,$F$197)&gt;0)),"",IFERROR(IF(MINIFS(SAISIE!$E$5:$E$204,SAISIE!$B$5:$B$204,"*Vent Arr./Av.*",SAISIE!$F$5:$F$204,$F$197)&gt;=0,MAXIFS(SAISIE!$C$5:$C$204,SAISIE!$B$5:$B$204,"*Vent Arr./Av.*",SAISIE!$F$5:$F$204,$F$197),INDEX(SAISIE!$C$5:$C$204,MATCH(MINIFS(SAISIE!$E$5:$E$204,SAISIE!$B$5:$B$204,"*Vent Arr./Av.*",SAISIE!$F$5:$F$204,$F$197),SAISIE!$E$5:$E$204,0))),"-"))</f>
        <v/>
      </c>
      <c r="C205" s="7">
        <f>IF(OR($F$197="",NOT(COUNTIFS(SAISIE!$B$5:$B$204,"*Vent Arr./Av.*",SAISIE!$F$5:$F$204,$F$197)&gt;0)),"",IFERROR(IF(MINIFS(SAISIE!$E$5:$E$204,SAISIE!$B$5:$B$204,"*Vent Arr./Av.*",SAISIE!$F$5:$F$204,$F$197)&gt;=0,INDEX(SAISIE!$D$5:$D$204,MATCH(MAXIFS(SAISIE!$C$5:$C$204,SAISIE!$B$5:$B$204,"*Vent Arr./Av.*",SAISIE!$F$5:$F$204,$F$197),SAISIE!$C$5:$C$204,0)),INDEX(SAISIE!$D$5:$D$204,MATCH(MINIFS(SAISIE!$E$5:$E$204,SAISIE!$B$5:$B$204,"*Vent Arr./Av.*",SAISIE!$F$5:$F$204,$F$197),SAISIE!$E$5:$E$204,0))),"-"))</f>
        <v/>
      </c>
      <c r="D205" s="7">
        <f>IF(OR($F$197="",NOT(COUNTIFS(SAISIE!$B$5:$B$204,"*Vent Arr./Av.*",SAISIE!$F$5:$F$204,$F$197)&gt;0)),"",IFERROR(IF(MINIFS(SAISIE!$E$5:$E$204,SAISIE!$B$5:$B$204,"*Vent Arr./Av.*",SAISIE!$F$5:$F$204,$F$197)&gt;=0,0,MINIFS(SAISIE!$E$5:$E$204,SAISIE!$B$5:$B$204,"*Vent Arr./Av.*",SAISIE!$F$5:$F$204,$F$197)),"-"))</f>
        <v/>
      </c>
      <c r="E205" s="7">
        <f>IF($F$197="","",IF(OR(D205="",D205="-"),"",IF(D205&gt;0,"(soulevement)",IF(D205&lt;0,"(compression)","-"))))</f>
        <v/>
      </c>
      <c r="I205" s="6">
        <f>IF(OR($M$197="",NOT(COUNTIFS(SAISIE!$J$5:$J$204,"*Vent Arr./Av.*",SAISIE!$M$5:$M$204,$M$197)&gt;0)),"","Vent Arr./Av.")</f>
        <v/>
      </c>
      <c r="J205" s="7">
        <f>IF(OR($M$197="",NOT(COUNTIFS(SAISIE!$J$5:$J$204,"*Vent Arr./Av.*",SAISIE!$M$5:$M$204,$M$197)&gt;0)),"",IFERROR(IF(MINIFS(SAISIE!$L$5:$L$204,SAISIE!$J$5:$J$204,"*Vent Arr./Av.*",SAISIE!$M$5:$M$204,$M$197)&gt;=0,MAXIFS(SAISIE!$K$5:$K$204,SAISIE!$J$5:$J$204,"*Vent Arr./Av.*",SAISIE!$M$5:$M$204,$M$197),INDEX(SAISIE!$K$5:$K$204,MATCH(MINIFS(SAISIE!$L$5:$L$204,SAISIE!$J$5:$J$204,"*Vent Arr./Av.*",SAISIE!$M$5:$M$204,$M$197),SAISIE!$L$5:$L$204,0))),"-"))</f>
        <v/>
      </c>
      <c r="K205" s="7">
        <f>IF(OR($M$197="",NOT(COUNTIFS(SAISIE!$J$5:$J$204,"*Vent Arr./Av.*",SAISIE!$M$5:$M$204,$M$197)&gt;0)),"",IFERROR(IF(MINIFS(SAISIE!$L$5:$L$204,SAISIE!$J$5:$J$204,"*Vent Arr./Av.*",SAISIE!$M$5:$M$204,$M$197)&gt;=0,0,MINIFS(SAISIE!$L$5:$L$204,SAISIE!$J$5:$J$204,"*Vent Arr./Av.*",SAISIE!$M$5:$M$204,$M$197)),"-"))</f>
        <v/>
      </c>
      <c r="L205" s="7">
        <f>IF($M$197="","",IF(OR(K205="",K205="-"),"",IF(K205&gt;0,"(soulevement)",IF(K205&lt;0,"(compression)","-"))))</f>
        <v/>
      </c>
    </row>
    <row r="206">
      <c r="A206" s="6">
        <f>IF(OR($F$197="",NOT(MAXIFS(SAISIE!$E$5:$E$204,SAISIE!$B$5:$B$204,"*Vent Arr./Av.*",SAISIE!$F$5:$F$204,$F$197)&gt;0)),"","Vent Arr./Av.")</f>
        <v/>
      </c>
      <c r="B206" s="7">
        <f>IF(OR($F$197="",NOT(MAXIFS(SAISIE!$E$5:$E$204,SAISIE!$B$5:$B$204,"*Vent Arr./Av.*",SAISIE!$F$5:$F$204,$F$197)&gt;0)),"",IFERROR(INDEX(SAISIE!$C$5:$C$204,MATCH(MAXIFS(SAISIE!$E$5:$E$204,SAISIE!$B$5:$B$204,"*Vent Arr./Av.*",SAISIE!$F$5:$F$204,$F$197),SAISIE!$E$5:$E$204,0)),"-"))</f>
        <v/>
      </c>
      <c r="C206" s="7">
        <f>IF(OR($F$197="",NOT(MAXIFS(SAISIE!$E$5:$E$204,SAISIE!$B$5:$B$204,"*Vent Arr./Av.*",SAISIE!$F$5:$F$204,$F$197)&gt;0)),"",IFERROR(INDEX(SAISIE!$D$5:$D$204,MATCH(MAXIFS(SAISIE!$E$5:$E$204,SAISIE!$B$5:$B$204,"*Vent Arr./Av.*",SAISIE!$F$5:$F$204,$F$197),SAISIE!$E$5:$E$204,0)),"-"))</f>
        <v/>
      </c>
      <c r="D206" s="7">
        <f>IF(OR($F$197="",NOT(MAXIFS(SAISIE!$E$5:$E$204,SAISIE!$B$5:$B$204,"*Vent Arr./Av.*",SAISIE!$F$5:$F$204,$F$197)&gt;0)),"",IFERROR(MAXIFS(SAISIE!$E$5:$E$204,SAISIE!$B$5:$B$204,"*Vent Arr./Av.*",SAISIE!$F$5:$F$204,$F$197),"-"))</f>
        <v/>
      </c>
      <c r="E206" s="7">
        <f>IF($F$197="","",IF(OR(D206="",D206="-"),"",IF(D206&gt;0,"(soulevement)",IF(D206&lt;0,"(compression)","-"))))</f>
        <v/>
      </c>
      <c r="I206" s="6">
        <f>IF(OR($M$197="",NOT(MAXIFS(SAISIE!$L$5:$L$204,SAISIE!$J$5:$J$204,"*Vent Arr./Av.*",SAISIE!$M$5:$M$204,$M$197)&gt;0)),"","Vent Arr./Av.")</f>
        <v/>
      </c>
      <c r="J206" s="7">
        <f>IF(OR($M$197="",NOT(MAXIFS(SAISIE!$L$5:$L$204,SAISIE!$J$5:$J$204,"*Vent Arr./Av.*",SAISIE!$M$5:$M$204,$M$197)&gt;0)),"",IFERROR(INDEX(SAISIE!$K$5:$K$204,MATCH(MAXIFS(SAISIE!$L$5:$L$204,SAISIE!$J$5:$J$204,"*Vent Arr./Av.*",SAISIE!$M$5:$M$204,$M$197),SAISIE!$L$5:$L$204,0)),"-"))</f>
        <v/>
      </c>
      <c r="K206" s="7">
        <f>IF(OR($M$197="",NOT(MAXIFS(SAISIE!$L$5:$L$204,SAISIE!$J$5:$J$204,"*Vent Arr./Av.*",SAISIE!$M$5:$M$204,$M$197)&gt;0)),"",IFERROR(MAXIFS(SAISIE!$L$5:$L$204,SAISIE!$J$5:$J$204,"*Vent Arr./Av.*",SAISIE!$M$5:$M$204,$M$197),"-"))</f>
        <v/>
      </c>
      <c r="L206" s="7">
        <f>IF($M$197="","",IF(OR(K206="",K206="-"),"",IF(K206&gt;0,"(soulevement)",IF(K206&lt;0,"(compression)","-"))))</f>
        <v/>
      </c>
    </row>
    <row r="207">
      <c r="A207" s="6">
        <f>IF(OR($F$197="",NOT(TRUE)),"","Neige normale")</f>
        <v/>
      </c>
      <c r="B207" s="7">
        <f>IF($F$197="","",IFERROR(INDEX(SAISIE!$C$5:$C$204,MATCH(MINIFS(SAISIE!$E$5:$E$204,SAISIE!$B$5:$B$204,"*Neige*",SAISIE!$B$5:$B$204,"&lt;&gt;*accidentel*",SAISIE!$F$5:$F$204,$F$197),SAISIE!$E$5:$E$204,0)),"-"))</f>
        <v/>
      </c>
      <c r="C207" s="7">
        <f>IF($F$197="","",IFERROR(INDEX(SAISIE!$D$5:$D$204,MATCH(MINIFS(SAISIE!$E$5:$E$204,SAISIE!$B$5:$B$204,"*Neige*",SAISIE!$B$5:$B$204,"&lt;&gt;*accidentel*",SAISIE!$F$5:$F$204,$F$197),SAISIE!$E$5:$E$204,0)),"-"))</f>
        <v/>
      </c>
      <c r="D207" s="7">
        <f>IF($F$197="","",IFERROR(INDEX(SAISIE!$E$5:$E$204,MATCH(MINIFS(SAISIE!$E$5:$E$204,SAISIE!$B$5:$B$204,"*Neige*",SAISIE!$B$5:$B$204,"&lt;&gt;*accidentel*",SAISIE!$F$5:$F$204,$F$197),SAISIE!$E$5:$E$204,0)),"-"))</f>
        <v/>
      </c>
      <c r="E207" s="7">
        <f>IF($F$197="","",IF(OR(D207="",D207="-"),"",IF(D207&gt;0,"(soulevement)",IF(D207&lt;0,"(compression)","-"))))</f>
        <v/>
      </c>
      <c r="I207" s="6">
        <f>IF(OR($M$197="",NOT(TRUE)),"","Neige normale")</f>
        <v/>
      </c>
      <c r="J207" s="7">
        <f>IF($M$197="","",IFERROR(INDEX(SAISIE!$K$5:$K$204,MATCH(MINIFS(SAISIE!$L$5:$L$204,SAISIE!$J$5:$J$204,"*Neige*",SAISIE!$J$5:$J$204,"&lt;&gt;*accidentel*",SAISIE!$M$5:$M$204,$M$197),SAISIE!$L$5:$L$204,0)),"-"))</f>
        <v/>
      </c>
      <c r="K207" s="7">
        <f>IF($M$197="","",IFERROR(INDEX(SAISIE!$L$5:$L$204,MATCH(MINIFS(SAISIE!$L$5:$L$204,SAISIE!$J$5:$J$204,"*Neige*",SAISIE!$J$5:$J$204,"&lt;&gt;*accidentel*",SAISIE!$M$5:$M$204,$M$197),SAISIE!$L$5:$L$204,0)),"-"))</f>
        <v/>
      </c>
      <c r="L207" s="7">
        <f>IF($M$197="","",IF(OR(K207="",K207="-"),"",IF(K207&gt;0,"(soulevement)",IF(K207&lt;0,"(compression)","-"))))</f>
        <v/>
      </c>
    </row>
    <row r="208">
      <c r="A208" s="6">
        <f>IF(OR($F$197="",NOT(TRUE)),"","Neige accidentelle")</f>
        <v/>
      </c>
      <c r="B208" s="7">
        <f>IF($F$197="","",IFERROR(LOOKUP(2,1/((SAISIE!$F$5:$F$204=$F$197)*(ISNUMBER(SEARCH("accidentel",SAISIE!$B$5:$B$204)))),SAISIE!$C$5:$C$204),"-"))</f>
        <v/>
      </c>
      <c r="C208" s="7">
        <f>IF($F$197="","",IFERROR(LOOKUP(2,1/((SAISIE!$F$5:$F$204=$F$197)*(ISNUMBER(SEARCH("accidentel",SAISIE!$B$5:$B$204)))),SAISIE!$D$5:$D$204),"-"))</f>
        <v/>
      </c>
      <c r="D208" s="7">
        <f>IF($F$197="","",IFERROR(LOOKUP(2,1/((SAISIE!$F$5:$F$204=$F$197)*(ISNUMBER(SEARCH("accidentel",SAISIE!$B$5:$B$204)))),SAISIE!$E$5:$E$204),"-"))</f>
        <v/>
      </c>
      <c r="E208" s="7">
        <f>IF($F$197="","",IF(OR(D208="",D208="-"),"",IF(D208&gt;0,"(soulevement)",IF(D208&lt;0,"(compression)","-"))))</f>
        <v/>
      </c>
      <c r="I208" s="6">
        <f>IF(OR($M$197="",NOT(TRUE)),"","Neige accidentelle")</f>
        <v/>
      </c>
      <c r="J208" s="7">
        <f>IF($M$197="","",IFERROR(LOOKUP(2,1/((SAISIE!$M$5:$M$204=$M$197)*(ISNUMBER(SEARCH("accidentel",SAISIE!$J$5:$J$204)))),SAISIE!$K$5:$K$204),"-"))</f>
        <v/>
      </c>
      <c r="K208" s="7">
        <f>IF($M$197="","",IFERROR(LOOKUP(2,1/((SAISIE!$M$5:$M$204=$M$197)*(ISNUMBER(SEARCH("accidentel",SAISIE!$J$5:$J$204)))),SAISIE!$L$5:$L$204),"-"))</f>
        <v/>
      </c>
      <c r="L208" s="7">
        <f>IF($M$197="","",IF(OR(K208="",K208="-"),"",IF(K208&gt;0,"(soulevement)",IF(K208&lt;0,"(compression)","-"))))</f>
        <v/>
      </c>
    </row>
    <row r="209">
      <c r="A209" s="5">
        <f>IF($F$209="","","Noeud "&amp;$F$209)</f>
        <v/>
      </c>
      <c r="B209" s="5" t="n"/>
      <c r="C209" s="5" t="n"/>
      <c r="D209" s="5" t="n"/>
      <c r="E209" s="5" t="n"/>
      <c r="F209">
        <f>IFERROR(INDEX(SAISIE!$F$5:$F$204,AGGREGATE(15,6,ROW(SAISIE!$F$5:$F$204)-ROW(SAISIE!$F$5)+1/(SAISIE!$F$5:$F$204&lt;&gt;"")/(COUNTIF($F$4:F208,SAISIE!$F$5:$F$204)=0),1)),"")</f>
        <v/>
      </c>
      <c r="I209" s="5">
        <f>IF($M$209="","","Noeud "&amp;$M$209)</f>
        <v/>
      </c>
      <c r="J209" s="5" t="n"/>
      <c r="K209" s="5" t="n"/>
      <c r="L209" s="5" t="n"/>
      <c r="M209">
        <f>IFERROR(INDEX(SAISIE!$M$5:$M$204,AGGREGATE(15,6,ROW(SAISIE!$M$5:$M$204)-ROW(SAISIE!$M$5)+1/(SAISIE!$M$5:$M$204&lt;&gt;"")/(COUNTIF($M$4:M208,SAISIE!$M$5:$M$204)=0),1)),"")</f>
        <v/>
      </c>
    </row>
    <row r="210">
      <c r="A210" s="6">
        <f>IF(OR($F$209="",NOT(TRUE)),"","Couverture")</f>
        <v/>
      </c>
      <c r="B210" s="7">
        <f>IF($F$209="","",IFERROR(IFERROR(LOOKUP(2,1/((SAISIE!$F$5:$F$204=$F$209)*(LEFT(SAISIE!$B$5:$B$204,2)="G ")),SAISIE!$C$5:$C$204),LOOKUP(2,1/((SAISIE!$F$5:$F$204=$F$209)*(ISNUMBER(SEARCH("Couverture",SAISIE!$B$5:$B$204)))),SAISIE!$C$5:$C$204)),"-"))</f>
        <v/>
      </c>
      <c r="C210" s="7">
        <f>IF($F$209="","",IFERROR(IFERROR(LOOKUP(2,1/((SAISIE!$F$5:$F$204=$F$209)*(LEFT(SAISIE!$B$5:$B$204,2)="G ")),SAISIE!$D$5:$D$204),LOOKUP(2,1/((SAISIE!$F$5:$F$204=$F$209)*(ISNUMBER(SEARCH("Couverture",SAISIE!$B$5:$B$204)))),SAISIE!$D$5:$D$204)),"-"))</f>
        <v/>
      </c>
      <c r="D210" s="7">
        <f>IF($F$209="","",IFERROR(IFERROR(LOOKUP(2,1/((SAISIE!$F$5:$F$204=$F$209)*(LEFT(SAISIE!$B$5:$B$204,2)="G ")),SAISIE!$E$5:$E$204),LOOKUP(2,1/((SAISIE!$F$5:$F$204=$F$209)*(ISNUMBER(SEARCH("Couverture",SAISIE!$B$5:$B$204)))),SAISIE!$E$5:$E$204)),"-"))</f>
        <v/>
      </c>
      <c r="E210" s="7">
        <f>IF($F$209="","",IF(OR(D210="",D210="-"),"",IF(D210&gt;0,"(soulevement)",IF(D210&lt;0,"(compression)","-"))))</f>
        <v/>
      </c>
      <c r="I210" s="6">
        <f>IF(OR($M$209="",NOT(TRUE)),"","Couverture")</f>
        <v/>
      </c>
      <c r="J210" s="7">
        <f>IF($M$209="","",IFERROR(IFERROR(LOOKUP(2,1/((SAISIE!$M$5:$M$204=$M$209)*(LEFT(SAISIE!$J$5:$J$204,2)="G ")),SAISIE!$K$5:$K$204),LOOKUP(2,1/((SAISIE!$M$5:$M$204=$M$209)*(ISNUMBER(SEARCH("Couverture",SAISIE!$J$5:$J$204)))),SAISIE!$K$5:$K$204)),"-"))</f>
        <v/>
      </c>
      <c r="K210" s="7">
        <f>IF($M$209="","",IFERROR(IFERROR(LOOKUP(2,1/((SAISIE!$M$5:$M$204=$M$209)*(LEFT(SAISIE!$J$5:$J$204,2)="G ")),SAISIE!$L$5:$L$204),LOOKUP(2,1/((SAISIE!$M$5:$M$204=$M$209)*(ISNUMBER(SEARCH("Couverture",SAISIE!$J$5:$J$204)))),SAISIE!$L$5:$L$204)),"-"))</f>
        <v/>
      </c>
      <c r="L210" s="7">
        <f>IF($M$209="","",IF(OR(K210="",K210="-"),"",IF(K210&gt;0,"(soulevement)",IF(K210&lt;0,"(compression)","-"))))</f>
        <v/>
      </c>
    </row>
    <row r="211">
      <c r="A211" s="6">
        <f>IF(OR($F$209="",NOT(COUNTIFS(SAISIE!$B$5:$B$204,"*Vent G/D*",SAISIE!$F$5:$F$204,$F$209)&gt;0)),"","Vent G/D")</f>
        <v/>
      </c>
      <c r="B211" s="7">
        <f>IF(OR($F$209="",NOT(COUNTIFS(SAISIE!$B$5:$B$204,"*Vent G/D*",SAISIE!$F$5:$F$204,$F$209)&gt;0)),"",IFERROR(IF(MINIFS(SAISIE!$E$5:$E$204,SAISIE!$B$5:$B$204,"*Vent G/D*",SAISIE!$F$5:$F$204,$F$209)&gt;=0,MAXIFS(SAISIE!$C$5:$C$204,SAISIE!$B$5:$B$204,"*Vent G/D*",SAISIE!$F$5:$F$204,$F$209),INDEX(SAISIE!$C$5:$C$204,MATCH(MINIFS(SAISIE!$E$5:$E$204,SAISIE!$B$5:$B$204,"*Vent G/D*",SAISIE!$F$5:$F$204,$F$209),SAISIE!$E$5:$E$204,0))),"-"))</f>
        <v/>
      </c>
      <c r="C211" s="7">
        <f>IF(OR($F$209="",NOT(COUNTIFS(SAISIE!$B$5:$B$204,"*Vent G/D*",SAISIE!$F$5:$F$204,$F$209)&gt;0)),"",IFERROR(IF(MINIFS(SAISIE!$E$5:$E$204,SAISIE!$B$5:$B$204,"*Vent G/D*",SAISIE!$F$5:$F$204,$F$209)&gt;=0,INDEX(SAISIE!$D$5:$D$204,MATCH(MAXIFS(SAISIE!$C$5:$C$204,SAISIE!$B$5:$B$204,"*Vent G/D*",SAISIE!$F$5:$F$204,$F$209),SAISIE!$C$5:$C$204,0)),INDEX(SAISIE!$D$5:$D$204,MATCH(MINIFS(SAISIE!$E$5:$E$204,SAISIE!$B$5:$B$204,"*Vent G/D*",SAISIE!$F$5:$F$204,$F$209),SAISIE!$E$5:$E$204,0))),"-"))</f>
        <v/>
      </c>
      <c r="D211" s="7">
        <f>IF(OR($F$209="",NOT(COUNTIFS(SAISIE!$B$5:$B$204,"*Vent G/D*",SAISIE!$F$5:$F$204,$F$209)&gt;0)),"",IFERROR(IF(MINIFS(SAISIE!$E$5:$E$204,SAISIE!$B$5:$B$204,"*Vent G/D*",SAISIE!$F$5:$F$204,$F$209)&gt;=0,0,MINIFS(SAISIE!$E$5:$E$204,SAISIE!$B$5:$B$204,"*Vent G/D*",SAISIE!$F$5:$F$204,$F$209)),"-"))</f>
        <v/>
      </c>
      <c r="E211" s="7">
        <f>IF($F$209="","",IF(OR(D211="",D211="-"),"",IF(D211&gt;0,"(soulevement)",IF(D211&lt;0,"(compression)","-"))))</f>
        <v/>
      </c>
      <c r="I211" s="6">
        <f>IF(OR($M$209="",NOT(COUNTIFS(SAISIE!$J$5:$J$204,"*Vent G/D*",SAISIE!$M$5:$M$204,$M$209)&gt;0)),"","Vent G/D")</f>
        <v/>
      </c>
      <c r="J211" s="7">
        <f>IF(OR($M$209="",NOT(COUNTIFS(SAISIE!$J$5:$J$204,"*Vent G/D*",SAISIE!$M$5:$M$204,$M$209)&gt;0)),"",IFERROR(IF(MINIFS(SAISIE!$L$5:$L$204,SAISIE!$J$5:$J$204,"*Vent G/D*",SAISIE!$M$5:$M$204,$M$209)&gt;=0,MAXIFS(SAISIE!$K$5:$K$204,SAISIE!$J$5:$J$204,"*Vent G/D*",SAISIE!$M$5:$M$204,$M$209),INDEX(SAISIE!$K$5:$K$204,MATCH(MINIFS(SAISIE!$L$5:$L$204,SAISIE!$J$5:$J$204,"*Vent G/D*",SAISIE!$M$5:$M$204,$M$209),SAISIE!$L$5:$L$204,0))),"-"))</f>
        <v/>
      </c>
      <c r="K211" s="7">
        <f>IF(OR($M$209="",NOT(COUNTIFS(SAISIE!$J$5:$J$204,"*Vent G/D*",SAISIE!$M$5:$M$204,$M$209)&gt;0)),"",IFERROR(IF(MINIFS(SAISIE!$L$5:$L$204,SAISIE!$J$5:$J$204,"*Vent G/D*",SAISIE!$M$5:$M$204,$M$209)&gt;=0,0,MINIFS(SAISIE!$L$5:$L$204,SAISIE!$J$5:$J$204,"*Vent G/D*",SAISIE!$M$5:$M$204,$M$209)),"-"))</f>
        <v/>
      </c>
      <c r="L211" s="7">
        <f>IF($M$209="","",IF(OR(K211="",K211="-"),"",IF(K211&gt;0,"(soulevement)",IF(K211&lt;0,"(compression)","-"))))</f>
        <v/>
      </c>
    </row>
    <row r="212">
      <c r="A212" s="6">
        <f>IF(OR($F$209="",NOT(MAXIFS(SAISIE!$E$5:$E$204,SAISIE!$B$5:$B$204,"*Vent G/D*",SAISIE!$F$5:$F$204,$F$209)&gt;0)),"","Vent G/D")</f>
        <v/>
      </c>
      <c r="B212" s="7">
        <f>IF(OR($F$209="",NOT(MAXIFS(SAISIE!$E$5:$E$204,SAISIE!$B$5:$B$204,"*Vent G/D*",SAISIE!$F$5:$F$204,$F$209)&gt;0)),"",IFERROR(INDEX(SAISIE!$C$5:$C$204,MATCH(MAXIFS(SAISIE!$E$5:$E$204,SAISIE!$B$5:$B$204,"*Vent G/D*",SAISIE!$F$5:$F$204,$F$209),SAISIE!$E$5:$E$204,0)),"-"))</f>
        <v/>
      </c>
      <c r="C212" s="7">
        <f>IF(OR($F$209="",NOT(MAXIFS(SAISIE!$E$5:$E$204,SAISIE!$B$5:$B$204,"*Vent G/D*",SAISIE!$F$5:$F$204,$F$209)&gt;0)),"",IFERROR(INDEX(SAISIE!$D$5:$D$204,MATCH(MAXIFS(SAISIE!$E$5:$E$204,SAISIE!$B$5:$B$204,"*Vent G/D*",SAISIE!$F$5:$F$204,$F$209),SAISIE!$E$5:$E$204,0)),"-"))</f>
        <v/>
      </c>
      <c r="D212" s="7">
        <f>IF(OR($F$209="",NOT(MAXIFS(SAISIE!$E$5:$E$204,SAISIE!$B$5:$B$204,"*Vent G/D*",SAISIE!$F$5:$F$204,$F$209)&gt;0)),"",IFERROR(MAXIFS(SAISIE!$E$5:$E$204,SAISIE!$B$5:$B$204,"*Vent G/D*",SAISIE!$F$5:$F$204,$F$209),"-"))</f>
        <v/>
      </c>
      <c r="E212" s="7">
        <f>IF($F$209="","",IF(OR(D212="",D212="-"),"",IF(D212&gt;0,"(soulevement)",IF(D212&lt;0,"(compression)","-"))))</f>
        <v/>
      </c>
      <c r="I212" s="6">
        <f>IF(OR($M$209="",NOT(MAXIFS(SAISIE!$L$5:$L$204,SAISIE!$J$5:$J$204,"*Vent G/D*",SAISIE!$M$5:$M$204,$M$209)&gt;0)),"","Vent G/D")</f>
        <v/>
      </c>
      <c r="J212" s="7">
        <f>IF(OR($M$209="",NOT(MAXIFS(SAISIE!$L$5:$L$204,SAISIE!$J$5:$J$204,"*Vent G/D*",SAISIE!$M$5:$M$204,$M$209)&gt;0)),"",IFERROR(INDEX(SAISIE!$K$5:$K$204,MATCH(MAXIFS(SAISIE!$L$5:$L$204,SAISIE!$J$5:$J$204,"*Vent G/D*",SAISIE!$M$5:$M$204,$M$209),SAISIE!$L$5:$L$204,0)),"-"))</f>
        <v/>
      </c>
      <c r="K212" s="7">
        <f>IF(OR($M$209="",NOT(MAXIFS(SAISIE!$L$5:$L$204,SAISIE!$J$5:$J$204,"*Vent G/D*",SAISIE!$M$5:$M$204,$M$209)&gt;0)),"",IFERROR(MAXIFS(SAISIE!$L$5:$L$204,SAISIE!$J$5:$J$204,"*Vent G/D*",SAISIE!$M$5:$M$204,$M$209),"-"))</f>
        <v/>
      </c>
      <c r="L212" s="7">
        <f>IF($M$209="","",IF(OR(K212="",K212="-"),"",IF(K212&gt;0,"(soulevement)",IF(K212&lt;0,"(compression)","-"))))</f>
        <v/>
      </c>
    </row>
    <row r="213">
      <c r="A213" s="6">
        <f>IF(OR($F$209="",NOT(COUNTIFS(SAISIE!$B$5:$B$204,"*Vent D/G*",SAISIE!$F$5:$F$204,$F$209)&gt;0)),"","Vent D/G")</f>
        <v/>
      </c>
      <c r="B213" s="7">
        <f>IF(OR($F$209="",NOT(COUNTIFS(SAISIE!$B$5:$B$204,"*Vent D/G*",SAISIE!$F$5:$F$204,$F$209)&gt;0)),"",IFERROR(IF(MINIFS(SAISIE!$E$5:$E$204,SAISIE!$B$5:$B$204,"*Vent D/G*",SAISIE!$F$5:$F$204,$F$209)&gt;=0,MAXIFS(SAISIE!$C$5:$C$204,SAISIE!$B$5:$B$204,"*Vent D/G*",SAISIE!$F$5:$F$204,$F$209),INDEX(SAISIE!$C$5:$C$204,MATCH(MINIFS(SAISIE!$E$5:$E$204,SAISIE!$B$5:$B$204,"*Vent D/G*",SAISIE!$F$5:$F$204,$F$209),SAISIE!$E$5:$E$204,0))),"-"))</f>
        <v/>
      </c>
      <c r="C213" s="7">
        <f>IF(OR($F$209="",NOT(COUNTIFS(SAISIE!$B$5:$B$204,"*Vent D/G*",SAISIE!$F$5:$F$204,$F$209)&gt;0)),"",IFERROR(IF(MINIFS(SAISIE!$E$5:$E$204,SAISIE!$B$5:$B$204,"*Vent D/G*",SAISIE!$F$5:$F$204,$F$209)&gt;=0,INDEX(SAISIE!$D$5:$D$204,MATCH(MAXIFS(SAISIE!$C$5:$C$204,SAISIE!$B$5:$B$204,"*Vent D/G*",SAISIE!$F$5:$F$204,$F$209),SAISIE!$C$5:$C$204,0)),INDEX(SAISIE!$D$5:$D$204,MATCH(MINIFS(SAISIE!$E$5:$E$204,SAISIE!$B$5:$B$204,"*Vent D/G*",SAISIE!$F$5:$F$204,$F$209),SAISIE!$E$5:$E$204,0))),"-"))</f>
        <v/>
      </c>
      <c r="D213" s="7">
        <f>IF(OR($F$209="",NOT(COUNTIFS(SAISIE!$B$5:$B$204,"*Vent D/G*",SAISIE!$F$5:$F$204,$F$209)&gt;0)),"",IFERROR(IF(MINIFS(SAISIE!$E$5:$E$204,SAISIE!$B$5:$B$204,"*Vent D/G*",SAISIE!$F$5:$F$204,$F$209)&gt;=0,0,MINIFS(SAISIE!$E$5:$E$204,SAISIE!$B$5:$B$204,"*Vent D/G*",SAISIE!$F$5:$F$204,$F$209)),"-"))</f>
        <v/>
      </c>
      <c r="E213" s="7">
        <f>IF($F$209="","",IF(OR(D213="",D213="-"),"",IF(D213&gt;0,"(soulevement)",IF(D213&lt;0,"(compression)","-"))))</f>
        <v/>
      </c>
      <c r="I213" s="6">
        <f>IF(OR($M$209="",NOT(COUNTIFS(SAISIE!$J$5:$J$204,"*Vent D/G*",SAISIE!$M$5:$M$204,$M$209)&gt;0)),"","Vent D/G")</f>
        <v/>
      </c>
      <c r="J213" s="7">
        <f>IF(OR($M$209="",NOT(COUNTIFS(SAISIE!$J$5:$J$204,"*Vent D/G*",SAISIE!$M$5:$M$204,$M$209)&gt;0)),"",IFERROR(IF(MINIFS(SAISIE!$L$5:$L$204,SAISIE!$J$5:$J$204,"*Vent D/G*",SAISIE!$M$5:$M$204,$M$209)&gt;=0,MAXIFS(SAISIE!$K$5:$K$204,SAISIE!$J$5:$J$204,"*Vent D/G*",SAISIE!$M$5:$M$204,$M$209),INDEX(SAISIE!$K$5:$K$204,MATCH(MINIFS(SAISIE!$L$5:$L$204,SAISIE!$J$5:$J$204,"*Vent D/G*",SAISIE!$M$5:$M$204,$M$209),SAISIE!$L$5:$L$204,0))),"-"))</f>
        <v/>
      </c>
      <c r="K213" s="7">
        <f>IF(OR($M$209="",NOT(COUNTIFS(SAISIE!$J$5:$J$204,"*Vent D/G*",SAISIE!$M$5:$M$204,$M$209)&gt;0)),"",IFERROR(IF(MINIFS(SAISIE!$L$5:$L$204,SAISIE!$J$5:$J$204,"*Vent D/G*",SAISIE!$M$5:$M$204,$M$209)&gt;=0,0,MINIFS(SAISIE!$L$5:$L$204,SAISIE!$J$5:$J$204,"*Vent D/G*",SAISIE!$M$5:$M$204,$M$209)),"-"))</f>
        <v/>
      </c>
      <c r="L213" s="7">
        <f>IF($M$209="","",IF(OR(K213="",K213="-"),"",IF(K213&gt;0,"(soulevement)",IF(K213&lt;0,"(compression)","-"))))</f>
        <v/>
      </c>
    </row>
    <row r="214">
      <c r="A214" s="6">
        <f>IF(OR($F$209="",NOT(MAXIFS(SAISIE!$E$5:$E$204,SAISIE!$B$5:$B$204,"*Vent D/G*",SAISIE!$F$5:$F$204,$F$209)&gt;0)),"","Vent D/G")</f>
        <v/>
      </c>
      <c r="B214" s="7">
        <f>IF(OR($F$209="",NOT(MAXIFS(SAISIE!$E$5:$E$204,SAISIE!$B$5:$B$204,"*Vent D/G*",SAISIE!$F$5:$F$204,$F$209)&gt;0)),"",IFERROR(INDEX(SAISIE!$C$5:$C$204,MATCH(MAXIFS(SAISIE!$E$5:$E$204,SAISIE!$B$5:$B$204,"*Vent D/G*",SAISIE!$F$5:$F$204,$F$209),SAISIE!$E$5:$E$204,0)),"-"))</f>
        <v/>
      </c>
      <c r="C214" s="7">
        <f>IF(OR($F$209="",NOT(MAXIFS(SAISIE!$E$5:$E$204,SAISIE!$B$5:$B$204,"*Vent D/G*",SAISIE!$F$5:$F$204,$F$209)&gt;0)),"",IFERROR(INDEX(SAISIE!$D$5:$D$204,MATCH(MAXIFS(SAISIE!$E$5:$E$204,SAISIE!$B$5:$B$204,"*Vent D/G*",SAISIE!$F$5:$F$204,$F$209),SAISIE!$E$5:$E$204,0)),"-"))</f>
        <v/>
      </c>
      <c r="D214" s="7">
        <f>IF(OR($F$209="",NOT(MAXIFS(SAISIE!$E$5:$E$204,SAISIE!$B$5:$B$204,"*Vent D/G*",SAISIE!$F$5:$F$204,$F$209)&gt;0)),"",IFERROR(MAXIFS(SAISIE!$E$5:$E$204,SAISIE!$B$5:$B$204,"*Vent D/G*",SAISIE!$F$5:$F$204,$F$209),"-"))</f>
        <v/>
      </c>
      <c r="E214" s="7">
        <f>IF($F$209="","",IF(OR(D214="",D214="-"),"",IF(D214&gt;0,"(soulevement)",IF(D214&lt;0,"(compression)","-"))))</f>
        <v/>
      </c>
      <c r="I214" s="6">
        <f>IF(OR($M$209="",NOT(MAXIFS(SAISIE!$L$5:$L$204,SAISIE!$J$5:$J$204,"*Vent D/G*",SAISIE!$M$5:$M$204,$M$209)&gt;0)),"","Vent D/G")</f>
        <v/>
      </c>
      <c r="J214" s="7">
        <f>IF(OR($M$209="",NOT(MAXIFS(SAISIE!$L$5:$L$204,SAISIE!$J$5:$J$204,"*Vent D/G*",SAISIE!$M$5:$M$204,$M$209)&gt;0)),"",IFERROR(INDEX(SAISIE!$K$5:$K$204,MATCH(MAXIFS(SAISIE!$L$5:$L$204,SAISIE!$J$5:$J$204,"*Vent D/G*",SAISIE!$M$5:$M$204,$M$209),SAISIE!$L$5:$L$204,0)),"-"))</f>
        <v/>
      </c>
      <c r="K214" s="7">
        <f>IF(OR($M$209="",NOT(MAXIFS(SAISIE!$L$5:$L$204,SAISIE!$J$5:$J$204,"*Vent D/G*",SAISIE!$M$5:$M$204,$M$209)&gt;0)),"",IFERROR(MAXIFS(SAISIE!$L$5:$L$204,SAISIE!$J$5:$J$204,"*Vent D/G*",SAISIE!$M$5:$M$204,$M$209),"-"))</f>
        <v/>
      </c>
      <c r="L214" s="7">
        <f>IF($M$209="","",IF(OR(K214="",K214="-"),"",IF(K214&gt;0,"(soulevement)",IF(K214&lt;0,"(compression)","-"))))</f>
        <v/>
      </c>
    </row>
    <row r="215">
      <c r="A215" s="6">
        <f>IF(OR($F$209="",NOT(COUNTIFS(SAISIE!$B$5:$B$204,"*Vent Av./Arr.*",SAISIE!$F$5:$F$204,$F$209)&gt;0)),"","Vent Av./Arr.")</f>
        <v/>
      </c>
      <c r="B215" s="7">
        <f>IF(OR($F$209="",NOT(COUNTIFS(SAISIE!$B$5:$B$204,"*Vent Av./Arr.*",SAISIE!$F$5:$F$204,$F$209)&gt;0)),"",IFERROR(IF(MINIFS(SAISIE!$E$5:$E$204,SAISIE!$B$5:$B$204,"*Vent Av./Arr.*",SAISIE!$F$5:$F$204,$F$209)&gt;=0,MAXIFS(SAISIE!$C$5:$C$204,SAISIE!$B$5:$B$204,"*Vent Av./Arr.*",SAISIE!$F$5:$F$204,$F$209),INDEX(SAISIE!$C$5:$C$204,MATCH(MINIFS(SAISIE!$E$5:$E$204,SAISIE!$B$5:$B$204,"*Vent Av./Arr.*",SAISIE!$F$5:$F$204,$F$209),SAISIE!$E$5:$E$204,0))),"-"))</f>
        <v/>
      </c>
      <c r="C215" s="7">
        <f>IF(OR($F$209="",NOT(COUNTIFS(SAISIE!$B$5:$B$204,"*Vent Av./Arr.*",SAISIE!$F$5:$F$204,$F$209)&gt;0)),"",IFERROR(IF(MINIFS(SAISIE!$E$5:$E$204,SAISIE!$B$5:$B$204,"*Vent Av./Arr.*",SAISIE!$F$5:$F$204,$F$209)&gt;=0,INDEX(SAISIE!$D$5:$D$204,MATCH(MAXIFS(SAISIE!$C$5:$C$204,SAISIE!$B$5:$B$204,"*Vent Av./Arr.*",SAISIE!$F$5:$F$204,$F$209),SAISIE!$C$5:$C$204,0)),INDEX(SAISIE!$D$5:$D$204,MATCH(MINIFS(SAISIE!$E$5:$E$204,SAISIE!$B$5:$B$204,"*Vent Av./Arr.*",SAISIE!$F$5:$F$204,$F$209),SAISIE!$E$5:$E$204,0))),"-"))</f>
        <v/>
      </c>
      <c r="D215" s="7">
        <f>IF(OR($F$209="",NOT(COUNTIFS(SAISIE!$B$5:$B$204,"*Vent Av./Arr.*",SAISIE!$F$5:$F$204,$F$209)&gt;0)),"",IFERROR(IF(MINIFS(SAISIE!$E$5:$E$204,SAISIE!$B$5:$B$204,"*Vent Av./Arr.*",SAISIE!$F$5:$F$204,$F$209)&gt;=0,0,MINIFS(SAISIE!$E$5:$E$204,SAISIE!$B$5:$B$204,"*Vent Av./Arr.*",SAISIE!$F$5:$F$204,$F$209)),"-"))</f>
        <v/>
      </c>
      <c r="E215" s="7">
        <f>IF($F$209="","",IF(OR(D215="",D215="-"),"",IF(D215&gt;0,"(soulevement)",IF(D215&lt;0,"(compression)","-"))))</f>
        <v/>
      </c>
      <c r="I215" s="6">
        <f>IF(OR($M$209="",NOT(COUNTIFS(SAISIE!$J$5:$J$204,"*Vent Av./Arr.*",SAISIE!$M$5:$M$204,$M$209)&gt;0)),"","Vent Av./Arr.")</f>
        <v/>
      </c>
      <c r="J215" s="7">
        <f>IF(OR($M$209="",NOT(COUNTIFS(SAISIE!$J$5:$J$204,"*Vent Av./Arr.*",SAISIE!$M$5:$M$204,$M$209)&gt;0)),"",IFERROR(IF(MINIFS(SAISIE!$L$5:$L$204,SAISIE!$J$5:$J$204,"*Vent Av./Arr.*",SAISIE!$M$5:$M$204,$M$209)&gt;=0,MAXIFS(SAISIE!$K$5:$K$204,SAISIE!$J$5:$J$204,"*Vent Av./Arr.*",SAISIE!$M$5:$M$204,$M$209),INDEX(SAISIE!$K$5:$K$204,MATCH(MINIFS(SAISIE!$L$5:$L$204,SAISIE!$J$5:$J$204,"*Vent Av./Arr.*",SAISIE!$M$5:$M$204,$M$209),SAISIE!$L$5:$L$204,0))),"-"))</f>
        <v/>
      </c>
      <c r="K215" s="7">
        <f>IF(OR($M$209="",NOT(COUNTIFS(SAISIE!$J$5:$J$204,"*Vent Av./Arr.*",SAISIE!$M$5:$M$204,$M$209)&gt;0)),"",IFERROR(IF(MINIFS(SAISIE!$L$5:$L$204,SAISIE!$J$5:$J$204,"*Vent Av./Arr.*",SAISIE!$M$5:$M$204,$M$209)&gt;=0,0,MINIFS(SAISIE!$L$5:$L$204,SAISIE!$J$5:$J$204,"*Vent Av./Arr.*",SAISIE!$M$5:$M$204,$M$209)),"-"))</f>
        <v/>
      </c>
      <c r="L215" s="7">
        <f>IF($M$209="","",IF(OR(K215="",K215="-"),"",IF(K215&gt;0,"(soulevement)",IF(K215&lt;0,"(compression)","-"))))</f>
        <v/>
      </c>
    </row>
    <row r="216">
      <c r="A216" s="6">
        <f>IF(OR($F$209="",NOT(MAXIFS(SAISIE!$E$5:$E$204,SAISIE!$B$5:$B$204,"*Vent Av./Arr.*",SAISIE!$F$5:$F$204,$F$209)&gt;0)),"","Vent Av./Arr.")</f>
        <v/>
      </c>
      <c r="B216" s="7">
        <f>IF(OR($F$209="",NOT(MAXIFS(SAISIE!$E$5:$E$204,SAISIE!$B$5:$B$204,"*Vent Av./Arr.*",SAISIE!$F$5:$F$204,$F$209)&gt;0)),"",IFERROR(INDEX(SAISIE!$C$5:$C$204,MATCH(MAXIFS(SAISIE!$E$5:$E$204,SAISIE!$B$5:$B$204,"*Vent Av./Arr.*",SAISIE!$F$5:$F$204,$F$209),SAISIE!$E$5:$E$204,0)),"-"))</f>
        <v/>
      </c>
      <c r="C216" s="7">
        <f>IF(OR($F$209="",NOT(MAXIFS(SAISIE!$E$5:$E$204,SAISIE!$B$5:$B$204,"*Vent Av./Arr.*",SAISIE!$F$5:$F$204,$F$209)&gt;0)),"",IFERROR(INDEX(SAISIE!$D$5:$D$204,MATCH(MAXIFS(SAISIE!$E$5:$E$204,SAISIE!$B$5:$B$204,"*Vent Av./Arr.*",SAISIE!$F$5:$F$204,$F$209),SAISIE!$E$5:$E$204,0)),"-"))</f>
        <v/>
      </c>
      <c r="D216" s="7">
        <f>IF(OR($F$209="",NOT(MAXIFS(SAISIE!$E$5:$E$204,SAISIE!$B$5:$B$204,"*Vent Av./Arr.*",SAISIE!$F$5:$F$204,$F$209)&gt;0)),"",IFERROR(MAXIFS(SAISIE!$E$5:$E$204,SAISIE!$B$5:$B$204,"*Vent Av./Arr.*",SAISIE!$F$5:$F$204,$F$209),"-"))</f>
        <v/>
      </c>
      <c r="E216" s="7">
        <f>IF($F$209="","",IF(OR(D216="",D216="-"),"",IF(D216&gt;0,"(soulevement)",IF(D216&lt;0,"(compression)","-"))))</f>
        <v/>
      </c>
      <c r="I216" s="6">
        <f>IF(OR($M$209="",NOT(MAXIFS(SAISIE!$L$5:$L$204,SAISIE!$J$5:$J$204,"*Vent Av./Arr.*",SAISIE!$M$5:$M$204,$M$209)&gt;0)),"","Vent Av./Arr.")</f>
        <v/>
      </c>
      <c r="J216" s="7">
        <f>IF(OR($M$209="",NOT(MAXIFS(SAISIE!$L$5:$L$204,SAISIE!$J$5:$J$204,"*Vent Av./Arr.*",SAISIE!$M$5:$M$204,$M$209)&gt;0)),"",IFERROR(INDEX(SAISIE!$K$5:$K$204,MATCH(MAXIFS(SAISIE!$L$5:$L$204,SAISIE!$J$5:$J$204,"*Vent Av./Arr.*",SAISIE!$M$5:$M$204,$M$209),SAISIE!$L$5:$L$204,0)),"-"))</f>
        <v/>
      </c>
      <c r="K216" s="7">
        <f>IF(OR($M$209="",NOT(MAXIFS(SAISIE!$L$5:$L$204,SAISIE!$J$5:$J$204,"*Vent Av./Arr.*",SAISIE!$M$5:$M$204,$M$209)&gt;0)),"",IFERROR(MAXIFS(SAISIE!$L$5:$L$204,SAISIE!$J$5:$J$204,"*Vent Av./Arr.*",SAISIE!$M$5:$M$204,$M$209),"-"))</f>
        <v/>
      </c>
      <c r="L216" s="7">
        <f>IF($M$209="","",IF(OR(K216="",K216="-"),"",IF(K216&gt;0,"(soulevement)",IF(K216&lt;0,"(compression)","-"))))</f>
        <v/>
      </c>
    </row>
    <row r="217">
      <c r="A217" s="6">
        <f>IF(OR($F$209="",NOT(COUNTIFS(SAISIE!$B$5:$B$204,"*Vent Arr./Av.*",SAISIE!$F$5:$F$204,$F$209)&gt;0)),"","Vent Arr./Av.")</f>
        <v/>
      </c>
      <c r="B217" s="7">
        <f>IF(OR($F$209="",NOT(COUNTIFS(SAISIE!$B$5:$B$204,"*Vent Arr./Av.*",SAISIE!$F$5:$F$204,$F$209)&gt;0)),"",IFERROR(IF(MINIFS(SAISIE!$E$5:$E$204,SAISIE!$B$5:$B$204,"*Vent Arr./Av.*",SAISIE!$F$5:$F$204,$F$209)&gt;=0,MAXIFS(SAISIE!$C$5:$C$204,SAISIE!$B$5:$B$204,"*Vent Arr./Av.*",SAISIE!$F$5:$F$204,$F$209),INDEX(SAISIE!$C$5:$C$204,MATCH(MINIFS(SAISIE!$E$5:$E$204,SAISIE!$B$5:$B$204,"*Vent Arr./Av.*",SAISIE!$F$5:$F$204,$F$209),SAISIE!$E$5:$E$204,0))),"-"))</f>
        <v/>
      </c>
      <c r="C217" s="7">
        <f>IF(OR($F$209="",NOT(COUNTIFS(SAISIE!$B$5:$B$204,"*Vent Arr./Av.*",SAISIE!$F$5:$F$204,$F$209)&gt;0)),"",IFERROR(IF(MINIFS(SAISIE!$E$5:$E$204,SAISIE!$B$5:$B$204,"*Vent Arr./Av.*",SAISIE!$F$5:$F$204,$F$209)&gt;=0,INDEX(SAISIE!$D$5:$D$204,MATCH(MAXIFS(SAISIE!$C$5:$C$204,SAISIE!$B$5:$B$204,"*Vent Arr./Av.*",SAISIE!$F$5:$F$204,$F$209),SAISIE!$C$5:$C$204,0)),INDEX(SAISIE!$D$5:$D$204,MATCH(MINIFS(SAISIE!$E$5:$E$204,SAISIE!$B$5:$B$204,"*Vent Arr./Av.*",SAISIE!$F$5:$F$204,$F$209),SAISIE!$E$5:$E$204,0))),"-"))</f>
        <v/>
      </c>
      <c r="D217" s="7">
        <f>IF(OR($F$209="",NOT(COUNTIFS(SAISIE!$B$5:$B$204,"*Vent Arr./Av.*",SAISIE!$F$5:$F$204,$F$209)&gt;0)),"",IFERROR(IF(MINIFS(SAISIE!$E$5:$E$204,SAISIE!$B$5:$B$204,"*Vent Arr./Av.*",SAISIE!$F$5:$F$204,$F$209)&gt;=0,0,MINIFS(SAISIE!$E$5:$E$204,SAISIE!$B$5:$B$204,"*Vent Arr./Av.*",SAISIE!$F$5:$F$204,$F$209)),"-"))</f>
        <v/>
      </c>
      <c r="E217" s="7">
        <f>IF($F$209="","",IF(OR(D217="",D217="-"),"",IF(D217&gt;0,"(soulevement)",IF(D217&lt;0,"(compression)","-"))))</f>
        <v/>
      </c>
      <c r="I217" s="6">
        <f>IF(OR($M$209="",NOT(COUNTIFS(SAISIE!$J$5:$J$204,"*Vent Arr./Av.*",SAISIE!$M$5:$M$204,$M$209)&gt;0)),"","Vent Arr./Av.")</f>
        <v/>
      </c>
      <c r="J217" s="7">
        <f>IF(OR($M$209="",NOT(COUNTIFS(SAISIE!$J$5:$J$204,"*Vent Arr./Av.*",SAISIE!$M$5:$M$204,$M$209)&gt;0)),"",IFERROR(IF(MINIFS(SAISIE!$L$5:$L$204,SAISIE!$J$5:$J$204,"*Vent Arr./Av.*",SAISIE!$M$5:$M$204,$M$209)&gt;=0,MAXIFS(SAISIE!$K$5:$K$204,SAISIE!$J$5:$J$204,"*Vent Arr./Av.*",SAISIE!$M$5:$M$204,$M$209),INDEX(SAISIE!$K$5:$K$204,MATCH(MINIFS(SAISIE!$L$5:$L$204,SAISIE!$J$5:$J$204,"*Vent Arr./Av.*",SAISIE!$M$5:$M$204,$M$209),SAISIE!$L$5:$L$204,0))),"-"))</f>
        <v/>
      </c>
      <c r="K217" s="7">
        <f>IF(OR($M$209="",NOT(COUNTIFS(SAISIE!$J$5:$J$204,"*Vent Arr./Av.*",SAISIE!$M$5:$M$204,$M$209)&gt;0)),"",IFERROR(IF(MINIFS(SAISIE!$L$5:$L$204,SAISIE!$J$5:$J$204,"*Vent Arr./Av.*",SAISIE!$M$5:$M$204,$M$209)&gt;=0,0,MINIFS(SAISIE!$L$5:$L$204,SAISIE!$J$5:$J$204,"*Vent Arr./Av.*",SAISIE!$M$5:$M$204,$M$209)),"-"))</f>
        <v/>
      </c>
      <c r="L217" s="7">
        <f>IF($M$209="","",IF(OR(K217="",K217="-"),"",IF(K217&gt;0,"(soulevement)",IF(K217&lt;0,"(compression)","-"))))</f>
        <v/>
      </c>
    </row>
    <row r="218">
      <c r="A218" s="6">
        <f>IF(OR($F$209="",NOT(MAXIFS(SAISIE!$E$5:$E$204,SAISIE!$B$5:$B$204,"*Vent Arr./Av.*",SAISIE!$F$5:$F$204,$F$209)&gt;0)),"","Vent Arr./Av.")</f>
        <v/>
      </c>
      <c r="B218" s="7">
        <f>IF(OR($F$209="",NOT(MAXIFS(SAISIE!$E$5:$E$204,SAISIE!$B$5:$B$204,"*Vent Arr./Av.*",SAISIE!$F$5:$F$204,$F$209)&gt;0)),"",IFERROR(INDEX(SAISIE!$C$5:$C$204,MATCH(MAXIFS(SAISIE!$E$5:$E$204,SAISIE!$B$5:$B$204,"*Vent Arr./Av.*",SAISIE!$F$5:$F$204,$F$209),SAISIE!$E$5:$E$204,0)),"-"))</f>
        <v/>
      </c>
      <c r="C218" s="7">
        <f>IF(OR($F$209="",NOT(MAXIFS(SAISIE!$E$5:$E$204,SAISIE!$B$5:$B$204,"*Vent Arr./Av.*",SAISIE!$F$5:$F$204,$F$209)&gt;0)),"",IFERROR(INDEX(SAISIE!$D$5:$D$204,MATCH(MAXIFS(SAISIE!$E$5:$E$204,SAISIE!$B$5:$B$204,"*Vent Arr./Av.*",SAISIE!$F$5:$F$204,$F$209),SAISIE!$E$5:$E$204,0)),"-"))</f>
        <v/>
      </c>
      <c r="D218" s="7">
        <f>IF(OR($F$209="",NOT(MAXIFS(SAISIE!$E$5:$E$204,SAISIE!$B$5:$B$204,"*Vent Arr./Av.*",SAISIE!$F$5:$F$204,$F$209)&gt;0)),"",IFERROR(MAXIFS(SAISIE!$E$5:$E$204,SAISIE!$B$5:$B$204,"*Vent Arr./Av.*",SAISIE!$F$5:$F$204,$F$209),"-"))</f>
        <v/>
      </c>
      <c r="E218" s="7">
        <f>IF($F$209="","",IF(OR(D218="",D218="-"),"",IF(D218&gt;0,"(soulevement)",IF(D218&lt;0,"(compression)","-"))))</f>
        <v/>
      </c>
      <c r="I218" s="6">
        <f>IF(OR($M$209="",NOT(MAXIFS(SAISIE!$L$5:$L$204,SAISIE!$J$5:$J$204,"*Vent Arr./Av.*",SAISIE!$M$5:$M$204,$M$209)&gt;0)),"","Vent Arr./Av.")</f>
        <v/>
      </c>
      <c r="J218" s="7">
        <f>IF(OR($M$209="",NOT(MAXIFS(SAISIE!$L$5:$L$204,SAISIE!$J$5:$J$204,"*Vent Arr./Av.*",SAISIE!$M$5:$M$204,$M$209)&gt;0)),"",IFERROR(INDEX(SAISIE!$K$5:$K$204,MATCH(MAXIFS(SAISIE!$L$5:$L$204,SAISIE!$J$5:$J$204,"*Vent Arr./Av.*",SAISIE!$M$5:$M$204,$M$209),SAISIE!$L$5:$L$204,0)),"-"))</f>
        <v/>
      </c>
      <c r="K218" s="7">
        <f>IF(OR($M$209="",NOT(MAXIFS(SAISIE!$L$5:$L$204,SAISIE!$J$5:$J$204,"*Vent Arr./Av.*",SAISIE!$M$5:$M$204,$M$209)&gt;0)),"",IFERROR(MAXIFS(SAISIE!$L$5:$L$204,SAISIE!$J$5:$J$204,"*Vent Arr./Av.*",SAISIE!$M$5:$M$204,$M$209),"-"))</f>
        <v/>
      </c>
      <c r="L218" s="7">
        <f>IF($M$209="","",IF(OR(K218="",K218="-"),"",IF(K218&gt;0,"(soulevement)",IF(K218&lt;0,"(compression)","-"))))</f>
        <v/>
      </c>
    </row>
    <row r="219">
      <c r="A219" s="6">
        <f>IF(OR($F$209="",NOT(TRUE)),"","Neige normale")</f>
        <v/>
      </c>
      <c r="B219" s="7">
        <f>IF($F$209="","",IFERROR(INDEX(SAISIE!$C$5:$C$204,MATCH(MINIFS(SAISIE!$E$5:$E$204,SAISIE!$B$5:$B$204,"*Neige*",SAISIE!$B$5:$B$204,"&lt;&gt;*accidentel*",SAISIE!$F$5:$F$204,$F$209),SAISIE!$E$5:$E$204,0)),"-"))</f>
        <v/>
      </c>
      <c r="C219" s="7">
        <f>IF($F$209="","",IFERROR(INDEX(SAISIE!$D$5:$D$204,MATCH(MINIFS(SAISIE!$E$5:$E$204,SAISIE!$B$5:$B$204,"*Neige*",SAISIE!$B$5:$B$204,"&lt;&gt;*accidentel*",SAISIE!$F$5:$F$204,$F$209),SAISIE!$E$5:$E$204,0)),"-"))</f>
        <v/>
      </c>
      <c r="D219" s="7">
        <f>IF($F$209="","",IFERROR(INDEX(SAISIE!$E$5:$E$204,MATCH(MINIFS(SAISIE!$E$5:$E$204,SAISIE!$B$5:$B$204,"*Neige*",SAISIE!$B$5:$B$204,"&lt;&gt;*accidentel*",SAISIE!$F$5:$F$204,$F$209),SAISIE!$E$5:$E$204,0)),"-"))</f>
        <v/>
      </c>
      <c r="E219" s="7">
        <f>IF($F$209="","",IF(OR(D219="",D219="-"),"",IF(D219&gt;0,"(soulevement)",IF(D219&lt;0,"(compression)","-"))))</f>
        <v/>
      </c>
      <c r="I219" s="6">
        <f>IF(OR($M$209="",NOT(TRUE)),"","Neige normale")</f>
        <v/>
      </c>
      <c r="J219" s="7">
        <f>IF($M$209="","",IFERROR(INDEX(SAISIE!$K$5:$K$204,MATCH(MINIFS(SAISIE!$L$5:$L$204,SAISIE!$J$5:$J$204,"*Neige*",SAISIE!$J$5:$J$204,"&lt;&gt;*accidentel*",SAISIE!$M$5:$M$204,$M$209),SAISIE!$L$5:$L$204,0)),"-"))</f>
        <v/>
      </c>
      <c r="K219" s="7">
        <f>IF($M$209="","",IFERROR(INDEX(SAISIE!$L$5:$L$204,MATCH(MINIFS(SAISIE!$L$5:$L$204,SAISIE!$J$5:$J$204,"*Neige*",SAISIE!$J$5:$J$204,"&lt;&gt;*accidentel*",SAISIE!$M$5:$M$204,$M$209),SAISIE!$L$5:$L$204,0)),"-"))</f>
        <v/>
      </c>
      <c r="L219" s="7">
        <f>IF($M$209="","",IF(OR(K219="",K219="-"),"",IF(K219&gt;0,"(soulevement)",IF(K219&lt;0,"(compression)","-"))))</f>
        <v/>
      </c>
    </row>
    <row r="220">
      <c r="A220" s="6">
        <f>IF(OR($F$209="",NOT(TRUE)),"","Neige accidentelle")</f>
        <v/>
      </c>
      <c r="B220" s="7">
        <f>IF($F$209="","",IFERROR(LOOKUP(2,1/((SAISIE!$F$5:$F$204=$F$209)*(ISNUMBER(SEARCH("accidentel",SAISIE!$B$5:$B$204)))),SAISIE!$C$5:$C$204),"-"))</f>
        <v/>
      </c>
      <c r="C220" s="7">
        <f>IF($F$209="","",IFERROR(LOOKUP(2,1/((SAISIE!$F$5:$F$204=$F$209)*(ISNUMBER(SEARCH("accidentel",SAISIE!$B$5:$B$204)))),SAISIE!$D$5:$D$204),"-"))</f>
        <v/>
      </c>
      <c r="D220" s="7">
        <f>IF($F$209="","",IFERROR(LOOKUP(2,1/((SAISIE!$F$5:$F$204=$F$209)*(ISNUMBER(SEARCH("accidentel",SAISIE!$B$5:$B$204)))),SAISIE!$E$5:$E$204),"-"))</f>
        <v/>
      </c>
      <c r="E220" s="7">
        <f>IF($F$209="","",IF(OR(D220="",D220="-"),"",IF(D220&gt;0,"(soulevement)",IF(D220&lt;0,"(compression)","-"))))</f>
        <v/>
      </c>
      <c r="I220" s="6">
        <f>IF(OR($M$209="",NOT(TRUE)),"","Neige accidentelle")</f>
        <v/>
      </c>
      <c r="J220" s="7">
        <f>IF($M$209="","",IFERROR(LOOKUP(2,1/((SAISIE!$M$5:$M$204=$M$209)*(ISNUMBER(SEARCH("accidentel",SAISIE!$J$5:$J$204)))),SAISIE!$K$5:$K$204),"-"))</f>
        <v/>
      </c>
      <c r="K220" s="7">
        <f>IF($M$209="","",IFERROR(LOOKUP(2,1/((SAISIE!$M$5:$M$204=$M$209)*(ISNUMBER(SEARCH("accidentel",SAISIE!$J$5:$J$204)))),SAISIE!$L$5:$L$204),"-"))</f>
        <v/>
      </c>
      <c r="L220" s="7">
        <f>IF($M$209="","",IF(OR(K220="",K220="-"),"",IF(K220&gt;0,"(soulevement)",IF(K220&lt;0,"(compression)","-"))))</f>
        <v/>
      </c>
    </row>
    <row r="221">
      <c r="A221" s="5">
        <f>IF($F$221="","","Noeud "&amp;$F$221)</f>
        <v/>
      </c>
      <c r="B221" s="5" t="n"/>
      <c r="C221" s="5" t="n"/>
      <c r="D221" s="5" t="n"/>
      <c r="E221" s="5" t="n"/>
      <c r="F221">
        <f>IFERROR(INDEX(SAISIE!$F$5:$F$204,AGGREGATE(15,6,ROW(SAISIE!$F$5:$F$204)-ROW(SAISIE!$F$5)+1/(SAISIE!$F$5:$F$204&lt;&gt;"")/(COUNTIF($F$4:F220,SAISIE!$F$5:$F$204)=0),1)),"")</f>
        <v/>
      </c>
      <c r="I221" s="5">
        <f>IF($M$221="","","Noeud "&amp;$M$221)</f>
        <v/>
      </c>
      <c r="J221" s="5" t="n"/>
      <c r="K221" s="5" t="n"/>
      <c r="L221" s="5" t="n"/>
      <c r="M221">
        <f>IFERROR(INDEX(SAISIE!$M$5:$M$204,AGGREGATE(15,6,ROW(SAISIE!$M$5:$M$204)-ROW(SAISIE!$M$5)+1/(SAISIE!$M$5:$M$204&lt;&gt;"")/(COUNTIF($M$4:M220,SAISIE!$M$5:$M$204)=0),1)),"")</f>
        <v/>
      </c>
    </row>
    <row r="222">
      <c r="A222" s="6">
        <f>IF(OR($F$221="",NOT(TRUE)),"","Couverture")</f>
        <v/>
      </c>
      <c r="B222" s="7">
        <f>IF($F$221="","",IFERROR(IFERROR(LOOKUP(2,1/((SAISIE!$F$5:$F$204=$F$221)*(LEFT(SAISIE!$B$5:$B$204,2)="G ")),SAISIE!$C$5:$C$204),LOOKUP(2,1/((SAISIE!$F$5:$F$204=$F$221)*(ISNUMBER(SEARCH("Couverture",SAISIE!$B$5:$B$204)))),SAISIE!$C$5:$C$204)),"-"))</f>
        <v/>
      </c>
      <c r="C222" s="7">
        <f>IF($F$221="","",IFERROR(IFERROR(LOOKUP(2,1/((SAISIE!$F$5:$F$204=$F$221)*(LEFT(SAISIE!$B$5:$B$204,2)="G ")),SAISIE!$D$5:$D$204),LOOKUP(2,1/((SAISIE!$F$5:$F$204=$F$221)*(ISNUMBER(SEARCH("Couverture",SAISIE!$B$5:$B$204)))),SAISIE!$D$5:$D$204)),"-"))</f>
        <v/>
      </c>
      <c r="D222" s="7">
        <f>IF($F$221="","",IFERROR(IFERROR(LOOKUP(2,1/((SAISIE!$F$5:$F$204=$F$221)*(LEFT(SAISIE!$B$5:$B$204,2)="G ")),SAISIE!$E$5:$E$204),LOOKUP(2,1/((SAISIE!$F$5:$F$204=$F$221)*(ISNUMBER(SEARCH("Couverture",SAISIE!$B$5:$B$204)))),SAISIE!$E$5:$E$204)),"-"))</f>
        <v/>
      </c>
      <c r="E222" s="7">
        <f>IF($F$221="","",IF(OR(D222="",D222="-"),"",IF(D222&gt;0,"(soulevement)",IF(D222&lt;0,"(compression)","-"))))</f>
        <v/>
      </c>
      <c r="I222" s="6">
        <f>IF(OR($M$221="",NOT(TRUE)),"","Couverture")</f>
        <v/>
      </c>
      <c r="J222" s="7">
        <f>IF($M$221="","",IFERROR(IFERROR(LOOKUP(2,1/((SAISIE!$M$5:$M$204=$M$221)*(LEFT(SAISIE!$J$5:$J$204,2)="G ")),SAISIE!$K$5:$K$204),LOOKUP(2,1/((SAISIE!$M$5:$M$204=$M$221)*(ISNUMBER(SEARCH("Couverture",SAISIE!$J$5:$J$204)))),SAISIE!$K$5:$K$204)),"-"))</f>
        <v/>
      </c>
      <c r="K222" s="7">
        <f>IF($M$221="","",IFERROR(IFERROR(LOOKUP(2,1/((SAISIE!$M$5:$M$204=$M$221)*(LEFT(SAISIE!$J$5:$J$204,2)="G ")),SAISIE!$L$5:$L$204),LOOKUP(2,1/((SAISIE!$M$5:$M$204=$M$221)*(ISNUMBER(SEARCH("Couverture",SAISIE!$J$5:$J$204)))),SAISIE!$L$5:$L$204)),"-"))</f>
        <v/>
      </c>
      <c r="L222" s="7">
        <f>IF($M$221="","",IF(OR(K222="",K222="-"),"",IF(K222&gt;0,"(soulevement)",IF(K222&lt;0,"(compression)","-"))))</f>
        <v/>
      </c>
    </row>
    <row r="223">
      <c r="A223" s="6">
        <f>IF(OR($F$221="",NOT(COUNTIFS(SAISIE!$B$5:$B$204,"*Vent G/D*",SAISIE!$F$5:$F$204,$F$221)&gt;0)),"","Vent G/D")</f>
        <v/>
      </c>
      <c r="B223" s="7">
        <f>IF(OR($F$221="",NOT(COUNTIFS(SAISIE!$B$5:$B$204,"*Vent G/D*",SAISIE!$F$5:$F$204,$F$221)&gt;0)),"",IFERROR(IF(MINIFS(SAISIE!$E$5:$E$204,SAISIE!$B$5:$B$204,"*Vent G/D*",SAISIE!$F$5:$F$204,$F$221)&gt;=0,MAXIFS(SAISIE!$C$5:$C$204,SAISIE!$B$5:$B$204,"*Vent G/D*",SAISIE!$F$5:$F$204,$F$221),INDEX(SAISIE!$C$5:$C$204,MATCH(MINIFS(SAISIE!$E$5:$E$204,SAISIE!$B$5:$B$204,"*Vent G/D*",SAISIE!$F$5:$F$204,$F$221),SAISIE!$E$5:$E$204,0))),"-"))</f>
        <v/>
      </c>
      <c r="C223" s="7">
        <f>IF(OR($F$221="",NOT(COUNTIFS(SAISIE!$B$5:$B$204,"*Vent G/D*",SAISIE!$F$5:$F$204,$F$221)&gt;0)),"",IFERROR(IF(MINIFS(SAISIE!$E$5:$E$204,SAISIE!$B$5:$B$204,"*Vent G/D*",SAISIE!$F$5:$F$204,$F$221)&gt;=0,INDEX(SAISIE!$D$5:$D$204,MATCH(MAXIFS(SAISIE!$C$5:$C$204,SAISIE!$B$5:$B$204,"*Vent G/D*",SAISIE!$F$5:$F$204,$F$221),SAISIE!$C$5:$C$204,0)),INDEX(SAISIE!$D$5:$D$204,MATCH(MINIFS(SAISIE!$E$5:$E$204,SAISIE!$B$5:$B$204,"*Vent G/D*",SAISIE!$F$5:$F$204,$F$221),SAISIE!$E$5:$E$204,0))),"-"))</f>
        <v/>
      </c>
      <c r="D223" s="7">
        <f>IF(OR($F$221="",NOT(COUNTIFS(SAISIE!$B$5:$B$204,"*Vent G/D*",SAISIE!$F$5:$F$204,$F$221)&gt;0)),"",IFERROR(IF(MINIFS(SAISIE!$E$5:$E$204,SAISIE!$B$5:$B$204,"*Vent G/D*",SAISIE!$F$5:$F$204,$F$221)&gt;=0,0,MINIFS(SAISIE!$E$5:$E$204,SAISIE!$B$5:$B$204,"*Vent G/D*",SAISIE!$F$5:$F$204,$F$221)),"-"))</f>
        <v/>
      </c>
      <c r="E223" s="7">
        <f>IF($F$221="","",IF(OR(D223="",D223="-"),"",IF(D223&gt;0,"(soulevement)",IF(D223&lt;0,"(compression)","-"))))</f>
        <v/>
      </c>
      <c r="I223" s="6">
        <f>IF(OR($M$221="",NOT(COUNTIFS(SAISIE!$J$5:$J$204,"*Vent G/D*",SAISIE!$M$5:$M$204,$M$221)&gt;0)),"","Vent G/D")</f>
        <v/>
      </c>
      <c r="J223" s="7">
        <f>IF(OR($M$221="",NOT(COUNTIFS(SAISIE!$J$5:$J$204,"*Vent G/D*",SAISIE!$M$5:$M$204,$M$221)&gt;0)),"",IFERROR(IF(MINIFS(SAISIE!$L$5:$L$204,SAISIE!$J$5:$J$204,"*Vent G/D*",SAISIE!$M$5:$M$204,$M$221)&gt;=0,MAXIFS(SAISIE!$K$5:$K$204,SAISIE!$J$5:$J$204,"*Vent G/D*",SAISIE!$M$5:$M$204,$M$221),INDEX(SAISIE!$K$5:$K$204,MATCH(MINIFS(SAISIE!$L$5:$L$204,SAISIE!$J$5:$J$204,"*Vent G/D*",SAISIE!$M$5:$M$204,$M$221),SAISIE!$L$5:$L$204,0))),"-"))</f>
        <v/>
      </c>
      <c r="K223" s="7">
        <f>IF(OR($M$221="",NOT(COUNTIFS(SAISIE!$J$5:$J$204,"*Vent G/D*",SAISIE!$M$5:$M$204,$M$221)&gt;0)),"",IFERROR(IF(MINIFS(SAISIE!$L$5:$L$204,SAISIE!$J$5:$J$204,"*Vent G/D*",SAISIE!$M$5:$M$204,$M$221)&gt;=0,0,MINIFS(SAISIE!$L$5:$L$204,SAISIE!$J$5:$J$204,"*Vent G/D*",SAISIE!$M$5:$M$204,$M$221)),"-"))</f>
        <v/>
      </c>
      <c r="L223" s="7">
        <f>IF($M$221="","",IF(OR(K223="",K223="-"),"",IF(K223&gt;0,"(soulevement)",IF(K223&lt;0,"(compression)","-"))))</f>
        <v/>
      </c>
    </row>
    <row r="224">
      <c r="A224" s="6">
        <f>IF(OR($F$221="",NOT(MAXIFS(SAISIE!$E$5:$E$204,SAISIE!$B$5:$B$204,"*Vent G/D*",SAISIE!$F$5:$F$204,$F$221)&gt;0)),"","Vent G/D")</f>
        <v/>
      </c>
      <c r="B224" s="7">
        <f>IF(OR($F$221="",NOT(MAXIFS(SAISIE!$E$5:$E$204,SAISIE!$B$5:$B$204,"*Vent G/D*",SAISIE!$F$5:$F$204,$F$221)&gt;0)),"",IFERROR(INDEX(SAISIE!$C$5:$C$204,MATCH(MAXIFS(SAISIE!$E$5:$E$204,SAISIE!$B$5:$B$204,"*Vent G/D*",SAISIE!$F$5:$F$204,$F$221),SAISIE!$E$5:$E$204,0)),"-"))</f>
        <v/>
      </c>
      <c r="C224" s="7">
        <f>IF(OR($F$221="",NOT(MAXIFS(SAISIE!$E$5:$E$204,SAISIE!$B$5:$B$204,"*Vent G/D*",SAISIE!$F$5:$F$204,$F$221)&gt;0)),"",IFERROR(INDEX(SAISIE!$D$5:$D$204,MATCH(MAXIFS(SAISIE!$E$5:$E$204,SAISIE!$B$5:$B$204,"*Vent G/D*",SAISIE!$F$5:$F$204,$F$221),SAISIE!$E$5:$E$204,0)),"-"))</f>
        <v/>
      </c>
      <c r="D224" s="7">
        <f>IF(OR($F$221="",NOT(MAXIFS(SAISIE!$E$5:$E$204,SAISIE!$B$5:$B$204,"*Vent G/D*",SAISIE!$F$5:$F$204,$F$221)&gt;0)),"",IFERROR(MAXIFS(SAISIE!$E$5:$E$204,SAISIE!$B$5:$B$204,"*Vent G/D*",SAISIE!$F$5:$F$204,$F$221),"-"))</f>
        <v/>
      </c>
      <c r="E224" s="7">
        <f>IF($F$221="","",IF(OR(D224="",D224="-"),"",IF(D224&gt;0,"(soulevement)",IF(D224&lt;0,"(compression)","-"))))</f>
        <v/>
      </c>
      <c r="I224" s="6">
        <f>IF(OR($M$221="",NOT(MAXIFS(SAISIE!$L$5:$L$204,SAISIE!$J$5:$J$204,"*Vent G/D*",SAISIE!$M$5:$M$204,$M$221)&gt;0)),"","Vent G/D")</f>
        <v/>
      </c>
      <c r="J224" s="7">
        <f>IF(OR($M$221="",NOT(MAXIFS(SAISIE!$L$5:$L$204,SAISIE!$J$5:$J$204,"*Vent G/D*",SAISIE!$M$5:$M$204,$M$221)&gt;0)),"",IFERROR(INDEX(SAISIE!$K$5:$K$204,MATCH(MAXIFS(SAISIE!$L$5:$L$204,SAISIE!$J$5:$J$204,"*Vent G/D*",SAISIE!$M$5:$M$204,$M$221),SAISIE!$L$5:$L$204,0)),"-"))</f>
        <v/>
      </c>
      <c r="K224" s="7">
        <f>IF(OR($M$221="",NOT(MAXIFS(SAISIE!$L$5:$L$204,SAISIE!$J$5:$J$204,"*Vent G/D*",SAISIE!$M$5:$M$204,$M$221)&gt;0)),"",IFERROR(MAXIFS(SAISIE!$L$5:$L$204,SAISIE!$J$5:$J$204,"*Vent G/D*",SAISIE!$M$5:$M$204,$M$221),"-"))</f>
        <v/>
      </c>
      <c r="L224" s="7">
        <f>IF($M$221="","",IF(OR(K224="",K224="-"),"",IF(K224&gt;0,"(soulevement)",IF(K224&lt;0,"(compression)","-"))))</f>
        <v/>
      </c>
    </row>
    <row r="225">
      <c r="A225" s="6">
        <f>IF(OR($F$221="",NOT(COUNTIFS(SAISIE!$B$5:$B$204,"*Vent D/G*",SAISIE!$F$5:$F$204,$F$221)&gt;0)),"","Vent D/G")</f>
        <v/>
      </c>
      <c r="B225" s="7">
        <f>IF(OR($F$221="",NOT(COUNTIFS(SAISIE!$B$5:$B$204,"*Vent D/G*",SAISIE!$F$5:$F$204,$F$221)&gt;0)),"",IFERROR(IF(MINIFS(SAISIE!$E$5:$E$204,SAISIE!$B$5:$B$204,"*Vent D/G*",SAISIE!$F$5:$F$204,$F$221)&gt;=0,MAXIFS(SAISIE!$C$5:$C$204,SAISIE!$B$5:$B$204,"*Vent D/G*",SAISIE!$F$5:$F$204,$F$221),INDEX(SAISIE!$C$5:$C$204,MATCH(MINIFS(SAISIE!$E$5:$E$204,SAISIE!$B$5:$B$204,"*Vent D/G*",SAISIE!$F$5:$F$204,$F$221),SAISIE!$E$5:$E$204,0))),"-"))</f>
        <v/>
      </c>
      <c r="C225" s="7">
        <f>IF(OR($F$221="",NOT(COUNTIFS(SAISIE!$B$5:$B$204,"*Vent D/G*",SAISIE!$F$5:$F$204,$F$221)&gt;0)),"",IFERROR(IF(MINIFS(SAISIE!$E$5:$E$204,SAISIE!$B$5:$B$204,"*Vent D/G*",SAISIE!$F$5:$F$204,$F$221)&gt;=0,INDEX(SAISIE!$D$5:$D$204,MATCH(MAXIFS(SAISIE!$C$5:$C$204,SAISIE!$B$5:$B$204,"*Vent D/G*",SAISIE!$F$5:$F$204,$F$221),SAISIE!$C$5:$C$204,0)),INDEX(SAISIE!$D$5:$D$204,MATCH(MINIFS(SAISIE!$E$5:$E$204,SAISIE!$B$5:$B$204,"*Vent D/G*",SAISIE!$F$5:$F$204,$F$221),SAISIE!$E$5:$E$204,0))),"-"))</f>
        <v/>
      </c>
      <c r="D225" s="7">
        <f>IF(OR($F$221="",NOT(COUNTIFS(SAISIE!$B$5:$B$204,"*Vent D/G*",SAISIE!$F$5:$F$204,$F$221)&gt;0)),"",IFERROR(IF(MINIFS(SAISIE!$E$5:$E$204,SAISIE!$B$5:$B$204,"*Vent D/G*",SAISIE!$F$5:$F$204,$F$221)&gt;=0,0,MINIFS(SAISIE!$E$5:$E$204,SAISIE!$B$5:$B$204,"*Vent D/G*",SAISIE!$F$5:$F$204,$F$221)),"-"))</f>
        <v/>
      </c>
      <c r="E225" s="7">
        <f>IF($F$221="","",IF(OR(D225="",D225="-"),"",IF(D225&gt;0,"(soulevement)",IF(D225&lt;0,"(compression)","-"))))</f>
        <v/>
      </c>
      <c r="I225" s="6">
        <f>IF(OR($M$221="",NOT(COUNTIFS(SAISIE!$J$5:$J$204,"*Vent D/G*",SAISIE!$M$5:$M$204,$M$221)&gt;0)),"","Vent D/G")</f>
        <v/>
      </c>
      <c r="J225" s="7">
        <f>IF(OR($M$221="",NOT(COUNTIFS(SAISIE!$J$5:$J$204,"*Vent D/G*",SAISIE!$M$5:$M$204,$M$221)&gt;0)),"",IFERROR(IF(MINIFS(SAISIE!$L$5:$L$204,SAISIE!$J$5:$J$204,"*Vent D/G*",SAISIE!$M$5:$M$204,$M$221)&gt;=0,MAXIFS(SAISIE!$K$5:$K$204,SAISIE!$J$5:$J$204,"*Vent D/G*",SAISIE!$M$5:$M$204,$M$221),INDEX(SAISIE!$K$5:$K$204,MATCH(MINIFS(SAISIE!$L$5:$L$204,SAISIE!$J$5:$J$204,"*Vent D/G*",SAISIE!$M$5:$M$204,$M$221),SAISIE!$L$5:$L$204,0))),"-"))</f>
        <v/>
      </c>
      <c r="K225" s="7">
        <f>IF(OR($M$221="",NOT(COUNTIFS(SAISIE!$J$5:$J$204,"*Vent D/G*",SAISIE!$M$5:$M$204,$M$221)&gt;0)),"",IFERROR(IF(MINIFS(SAISIE!$L$5:$L$204,SAISIE!$J$5:$J$204,"*Vent D/G*",SAISIE!$M$5:$M$204,$M$221)&gt;=0,0,MINIFS(SAISIE!$L$5:$L$204,SAISIE!$J$5:$J$204,"*Vent D/G*",SAISIE!$M$5:$M$204,$M$221)),"-"))</f>
        <v/>
      </c>
      <c r="L225" s="7">
        <f>IF($M$221="","",IF(OR(K225="",K225="-"),"",IF(K225&gt;0,"(soulevement)",IF(K225&lt;0,"(compression)","-"))))</f>
        <v/>
      </c>
    </row>
    <row r="226">
      <c r="A226" s="6">
        <f>IF(OR($F$221="",NOT(MAXIFS(SAISIE!$E$5:$E$204,SAISIE!$B$5:$B$204,"*Vent D/G*",SAISIE!$F$5:$F$204,$F$221)&gt;0)),"","Vent D/G")</f>
        <v/>
      </c>
      <c r="B226" s="7">
        <f>IF(OR($F$221="",NOT(MAXIFS(SAISIE!$E$5:$E$204,SAISIE!$B$5:$B$204,"*Vent D/G*",SAISIE!$F$5:$F$204,$F$221)&gt;0)),"",IFERROR(INDEX(SAISIE!$C$5:$C$204,MATCH(MAXIFS(SAISIE!$E$5:$E$204,SAISIE!$B$5:$B$204,"*Vent D/G*",SAISIE!$F$5:$F$204,$F$221),SAISIE!$E$5:$E$204,0)),"-"))</f>
        <v/>
      </c>
      <c r="C226" s="7">
        <f>IF(OR($F$221="",NOT(MAXIFS(SAISIE!$E$5:$E$204,SAISIE!$B$5:$B$204,"*Vent D/G*",SAISIE!$F$5:$F$204,$F$221)&gt;0)),"",IFERROR(INDEX(SAISIE!$D$5:$D$204,MATCH(MAXIFS(SAISIE!$E$5:$E$204,SAISIE!$B$5:$B$204,"*Vent D/G*",SAISIE!$F$5:$F$204,$F$221),SAISIE!$E$5:$E$204,0)),"-"))</f>
        <v/>
      </c>
      <c r="D226" s="7">
        <f>IF(OR($F$221="",NOT(MAXIFS(SAISIE!$E$5:$E$204,SAISIE!$B$5:$B$204,"*Vent D/G*",SAISIE!$F$5:$F$204,$F$221)&gt;0)),"",IFERROR(MAXIFS(SAISIE!$E$5:$E$204,SAISIE!$B$5:$B$204,"*Vent D/G*",SAISIE!$F$5:$F$204,$F$221),"-"))</f>
        <v/>
      </c>
      <c r="E226" s="7">
        <f>IF($F$221="","",IF(OR(D226="",D226="-"),"",IF(D226&gt;0,"(soulevement)",IF(D226&lt;0,"(compression)","-"))))</f>
        <v/>
      </c>
      <c r="I226" s="6">
        <f>IF(OR($M$221="",NOT(MAXIFS(SAISIE!$L$5:$L$204,SAISIE!$J$5:$J$204,"*Vent D/G*",SAISIE!$M$5:$M$204,$M$221)&gt;0)),"","Vent D/G")</f>
        <v/>
      </c>
      <c r="J226" s="7">
        <f>IF(OR($M$221="",NOT(MAXIFS(SAISIE!$L$5:$L$204,SAISIE!$J$5:$J$204,"*Vent D/G*",SAISIE!$M$5:$M$204,$M$221)&gt;0)),"",IFERROR(INDEX(SAISIE!$K$5:$K$204,MATCH(MAXIFS(SAISIE!$L$5:$L$204,SAISIE!$J$5:$J$204,"*Vent D/G*",SAISIE!$M$5:$M$204,$M$221),SAISIE!$L$5:$L$204,0)),"-"))</f>
        <v/>
      </c>
      <c r="K226" s="7">
        <f>IF(OR($M$221="",NOT(MAXIFS(SAISIE!$L$5:$L$204,SAISIE!$J$5:$J$204,"*Vent D/G*",SAISIE!$M$5:$M$204,$M$221)&gt;0)),"",IFERROR(MAXIFS(SAISIE!$L$5:$L$204,SAISIE!$J$5:$J$204,"*Vent D/G*",SAISIE!$M$5:$M$204,$M$221),"-"))</f>
        <v/>
      </c>
      <c r="L226" s="7">
        <f>IF($M$221="","",IF(OR(K226="",K226="-"),"",IF(K226&gt;0,"(soulevement)",IF(K226&lt;0,"(compression)","-"))))</f>
        <v/>
      </c>
    </row>
    <row r="227">
      <c r="A227" s="6">
        <f>IF(OR($F$221="",NOT(COUNTIFS(SAISIE!$B$5:$B$204,"*Vent Av./Arr.*",SAISIE!$F$5:$F$204,$F$221)&gt;0)),"","Vent Av./Arr.")</f>
        <v/>
      </c>
      <c r="B227" s="7">
        <f>IF(OR($F$221="",NOT(COUNTIFS(SAISIE!$B$5:$B$204,"*Vent Av./Arr.*",SAISIE!$F$5:$F$204,$F$221)&gt;0)),"",IFERROR(IF(MINIFS(SAISIE!$E$5:$E$204,SAISIE!$B$5:$B$204,"*Vent Av./Arr.*",SAISIE!$F$5:$F$204,$F$221)&gt;=0,MAXIFS(SAISIE!$C$5:$C$204,SAISIE!$B$5:$B$204,"*Vent Av./Arr.*",SAISIE!$F$5:$F$204,$F$221),INDEX(SAISIE!$C$5:$C$204,MATCH(MINIFS(SAISIE!$E$5:$E$204,SAISIE!$B$5:$B$204,"*Vent Av./Arr.*",SAISIE!$F$5:$F$204,$F$221),SAISIE!$E$5:$E$204,0))),"-"))</f>
        <v/>
      </c>
      <c r="C227" s="7">
        <f>IF(OR($F$221="",NOT(COUNTIFS(SAISIE!$B$5:$B$204,"*Vent Av./Arr.*",SAISIE!$F$5:$F$204,$F$221)&gt;0)),"",IFERROR(IF(MINIFS(SAISIE!$E$5:$E$204,SAISIE!$B$5:$B$204,"*Vent Av./Arr.*",SAISIE!$F$5:$F$204,$F$221)&gt;=0,INDEX(SAISIE!$D$5:$D$204,MATCH(MAXIFS(SAISIE!$C$5:$C$204,SAISIE!$B$5:$B$204,"*Vent Av./Arr.*",SAISIE!$F$5:$F$204,$F$221),SAISIE!$C$5:$C$204,0)),INDEX(SAISIE!$D$5:$D$204,MATCH(MINIFS(SAISIE!$E$5:$E$204,SAISIE!$B$5:$B$204,"*Vent Av./Arr.*",SAISIE!$F$5:$F$204,$F$221),SAISIE!$E$5:$E$204,0))),"-"))</f>
        <v/>
      </c>
      <c r="D227" s="7">
        <f>IF(OR($F$221="",NOT(COUNTIFS(SAISIE!$B$5:$B$204,"*Vent Av./Arr.*",SAISIE!$F$5:$F$204,$F$221)&gt;0)),"",IFERROR(IF(MINIFS(SAISIE!$E$5:$E$204,SAISIE!$B$5:$B$204,"*Vent Av./Arr.*",SAISIE!$F$5:$F$204,$F$221)&gt;=0,0,MINIFS(SAISIE!$E$5:$E$204,SAISIE!$B$5:$B$204,"*Vent Av./Arr.*",SAISIE!$F$5:$F$204,$F$221)),"-"))</f>
        <v/>
      </c>
      <c r="E227" s="7">
        <f>IF($F$221="","",IF(OR(D227="",D227="-"),"",IF(D227&gt;0,"(soulevement)",IF(D227&lt;0,"(compression)","-"))))</f>
        <v/>
      </c>
      <c r="I227" s="6">
        <f>IF(OR($M$221="",NOT(COUNTIFS(SAISIE!$J$5:$J$204,"*Vent Av./Arr.*",SAISIE!$M$5:$M$204,$M$221)&gt;0)),"","Vent Av./Arr.")</f>
        <v/>
      </c>
      <c r="J227" s="7">
        <f>IF(OR($M$221="",NOT(COUNTIFS(SAISIE!$J$5:$J$204,"*Vent Av./Arr.*",SAISIE!$M$5:$M$204,$M$221)&gt;0)),"",IFERROR(IF(MINIFS(SAISIE!$L$5:$L$204,SAISIE!$J$5:$J$204,"*Vent Av./Arr.*",SAISIE!$M$5:$M$204,$M$221)&gt;=0,MAXIFS(SAISIE!$K$5:$K$204,SAISIE!$J$5:$J$204,"*Vent Av./Arr.*",SAISIE!$M$5:$M$204,$M$221),INDEX(SAISIE!$K$5:$K$204,MATCH(MINIFS(SAISIE!$L$5:$L$204,SAISIE!$J$5:$J$204,"*Vent Av./Arr.*",SAISIE!$M$5:$M$204,$M$221),SAISIE!$L$5:$L$204,0))),"-"))</f>
        <v/>
      </c>
      <c r="K227" s="7">
        <f>IF(OR($M$221="",NOT(COUNTIFS(SAISIE!$J$5:$J$204,"*Vent Av./Arr.*",SAISIE!$M$5:$M$204,$M$221)&gt;0)),"",IFERROR(IF(MINIFS(SAISIE!$L$5:$L$204,SAISIE!$J$5:$J$204,"*Vent Av./Arr.*",SAISIE!$M$5:$M$204,$M$221)&gt;=0,0,MINIFS(SAISIE!$L$5:$L$204,SAISIE!$J$5:$J$204,"*Vent Av./Arr.*",SAISIE!$M$5:$M$204,$M$221)),"-"))</f>
        <v/>
      </c>
      <c r="L227" s="7">
        <f>IF($M$221="","",IF(OR(K227="",K227="-"),"",IF(K227&gt;0,"(soulevement)",IF(K227&lt;0,"(compression)","-"))))</f>
        <v/>
      </c>
    </row>
    <row r="228">
      <c r="A228" s="6">
        <f>IF(OR($F$221="",NOT(MAXIFS(SAISIE!$E$5:$E$204,SAISIE!$B$5:$B$204,"*Vent Av./Arr.*",SAISIE!$F$5:$F$204,$F$221)&gt;0)),"","Vent Av./Arr.")</f>
        <v/>
      </c>
      <c r="B228" s="7">
        <f>IF(OR($F$221="",NOT(MAXIFS(SAISIE!$E$5:$E$204,SAISIE!$B$5:$B$204,"*Vent Av./Arr.*",SAISIE!$F$5:$F$204,$F$221)&gt;0)),"",IFERROR(INDEX(SAISIE!$C$5:$C$204,MATCH(MAXIFS(SAISIE!$E$5:$E$204,SAISIE!$B$5:$B$204,"*Vent Av./Arr.*",SAISIE!$F$5:$F$204,$F$221),SAISIE!$E$5:$E$204,0)),"-"))</f>
        <v/>
      </c>
      <c r="C228" s="7">
        <f>IF(OR($F$221="",NOT(MAXIFS(SAISIE!$E$5:$E$204,SAISIE!$B$5:$B$204,"*Vent Av./Arr.*",SAISIE!$F$5:$F$204,$F$221)&gt;0)),"",IFERROR(INDEX(SAISIE!$D$5:$D$204,MATCH(MAXIFS(SAISIE!$E$5:$E$204,SAISIE!$B$5:$B$204,"*Vent Av./Arr.*",SAISIE!$F$5:$F$204,$F$221),SAISIE!$E$5:$E$204,0)),"-"))</f>
        <v/>
      </c>
      <c r="D228" s="7">
        <f>IF(OR($F$221="",NOT(MAXIFS(SAISIE!$E$5:$E$204,SAISIE!$B$5:$B$204,"*Vent Av./Arr.*",SAISIE!$F$5:$F$204,$F$221)&gt;0)),"",IFERROR(MAXIFS(SAISIE!$E$5:$E$204,SAISIE!$B$5:$B$204,"*Vent Av./Arr.*",SAISIE!$F$5:$F$204,$F$221),"-"))</f>
        <v/>
      </c>
      <c r="E228" s="7">
        <f>IF($F$221="","",IF(OR(D228="",D228="-"),"",IF(D228&gt;0,"(soulevement)",IF(D228&lt;0,"(compression)","-"))))</f>
        <v/>
      </c>
      <c r="I228" s="6">
        <f>IF(OR($M$221="",NOT(MAXIFS(SAISIE!$L$5:$L$204,SAISIE!$J$5:$J$204,"*Vent Av./Arr.*",SAISIE!$M$5:$M$204,$M$221)&gt;0)),"","Vent Av./Arr.")</f>
        <v/>
      </c>
      <c r="J228" s="7">
        <f>IF(OR($M$221="",NOT(MAXIFS(SAISIE!$L$5:$L$204,SAISIE!$J$5:$J$204,"*Vent Av./Arr.*",SAISIE!$M$5:$M$204,$M$221)&gt;0)),"",IFERROR(INDEX(SAISIE!$K$5:$K$204,MATCH(MAXIFS(SAISIE!$L$5:$L$204,SAISIE!$J$5:$J$204,"*Vent Av./Arr.*",SAISIE!$M$5:$M$204,$M$221),SAISIE!$L$5:$L$204,0)),"-"))</f>
        <v/>
      </c>
      <c r="K228" s="7">
        <f>IF(OR($M$221="",NOT(MAXIFS(SAISIE!$L$5:$L$204,SAISIE!$J$5:$J$204,"*Vent Av./Arr.*",SAISIE!$M$5:$M$204,$M$221)&gt;0)),"",IFERROR(MAXIFS(SAISIE!$L$5:$L$204,SAISIE!$J$5:$J$204,"*Vent Av./Arr.*",SAISIE!$M$5:$M$204,$M$221),"-"))</f>
        <v/>
      </c>
      <c r="L228" s="7">
        <f>IF($M$221="","",IF(OR(K228="",K228="-"),"",IF(K228&gt;0,"(soulevement)",IF(K228&lt;0,"(compression)","-"))))</f>
        <v/>
      </c>
    </row>
    <row r="229">
      <c r="A229" s="6">
        <f>IF(OR($F$221="",NOT(COUNTIFS(SAISIE!$B$5:$B$204,"*Vent Arr./Av.*",SAISIE!$F$5:$F$204,$F$221)&gt;0)),"","Vent Arr./Av.")</f>
        <v/>
      </c>
      <c r="B229" s="7">
        <f>IF(OR($F$221="",NOT(COUNTIFS(SAISIE!$B$5:$B$204,"*Vent Arr./Av.*",SAISIE!$F$5:$F$204,$F$221)&gt;0)),"",IFERROR(IF(MINIFS(SAISIE!$E$5:$E$204,SAISIE!$B$5:$B$204,"*Vent Arr./Av.*",SAISIE!$F$5:$F$204,$F$221)&gt;=0,MAXIFS(SAISIE!$C$5:$C$204,SAISIE!$B$5:$B$204,"*Vent Arr./Av.*",SAISIE!$F$5:$F$204,$F$221),INDEX(SAISIE!$C$5:$C$204,MATCH(MINIFS(SAISIE!$E$5:$E$204,SAISIE!$B$5:$B$204,"*Vent Arr./Av.*",SAISIE!$F$5:$F$204,$F$221),SAISIE!$E$5:$E$204,0))),"-"))</f>
        <v/>
      </c>
      <c r="C229" s="7">
        <f>IF(OR($F$221="",NOT(COUNTIFS(SAISIE!$B$5:$B$204,"*Vent Arr./Av.*",SAISIE!$F$5:$F$204,$F$221)&gt;0)),"",IFERROR(IF(MINIFS(SAISIE!$E$5:$E$204,SAISIE!$B$5:$B$204,"*Vent Arr./Av.*",SAISIE!$F$5:$F$204,$F$221)&gt;=0,INDEX(SAISIE!$D$5:$D$204,MATCH(MAXIFS(SAISIE!$C$5:$C$204,SAISIE!$B$5:$B$204,"*Vent Arr./Av.*",SAISIE!$F$5:$F$204,$F$221),SAISIE!$C$5:$C$204,0)),INDEX(SAISIE!$D$5:$D$204,MATCH(MINIFS(SAISIE!$E$5:$E$204,SAISIE!$B$5:$B$204,"*Vent Arr./Av.*",SAISIE!$F$5:$F$204,$F$221),SAISIE!$E$5:$E$204,0))),"-"))</f>
        <v/>
      </c>
      <c r="D229" s="7">
        <f>IF(OR($F$221="",NOT(COUNTIFS(SAISIE!$B$5:$B$204,"*Vent Arr./Av.*",SAISIE!$F$5:$F$204,$F$221)&gt;0)),"",IFERROR(IF(MINIFS(SAISIE!$E$5:$E$204,SAISIE!$B$5:$B$204,"*Vent Arr./Av.*",SAISIE!$F$5:$F$204,$F$221)&gt;=0,0,MINIFS(SAISIE!$E$5:$E$204,SAISIE!$B$5:$B$204,"*Vent Arr./Av.*",SAISIE!$F$5:$F$204,$F$221)),"-"))</f>
        <v/>
      </c>
      <c r="E229" s="7">
        <f>IF($F$221="","",IF(OR(D229="",D229="-"),"",IF(D229&gt;0,"(soulevement)",IF(D229&lt;0,"(compression)","-"))))</f>
        <v/>
      </c>
      <c r="I229" s="6">
        <f>IF(OR($M$221="",NOT(COUNTIFS(SAISIE!$J$5:$J$204,"*Vent Arr./Av.*",SAISIE!$M$5:$M$204,$M$221)&gt;0)),"","Vent Arr./Av.")</f>
        <v/>
      </c>
      <c r="J229" s="7">
        <f>IF(OR($M$221="",NOT(COUNTIFS(SAISIE!$J$5:$J$204,"*Vent Arr./Av.*",SAISIE!$M$5:$M$204,$M$221)&gt;0)),"",IFERROR(IF(MINIFS(SAISIE!$L$5:$L$204,SAISIE!$J$5:$J$204,"*Vent Arr./Av.*",SAISIE!$M$5:$M$204,$M$221)&gt;=0,MAXIFS(SAISIE!$K$5:$K$204,SAISIE!$J$5:$J$204,"*Vent Arr./Av.*",SAISIE!$M$5:$M$204,$M$221),INDEX(SAISIE!$K$5:$K$204,MATCH(MINIFS(SAISIE!$L$5:$L$204,SAISIE!$J$5:$J$204,"*Vent Arr./Av.*",SAISIE!$M$5:$M$204,$M$221),SAISIE!$L$5:$L$204,0))),"-"))</f>
        <v/>
      </c>
      <c r="K229" s="7">
        <f>IF(OR($M$221="",NOT(COUNTIFS(SAISIE!$J$5:$J$204,"*Vent Arr./Av.*",SAISIE!$M$5:$M$204,$M$221)&gt;0)),"",IFERROR(IF(MINIFS(SAISIE!$L$5:$L$204,SAISIE!$J$5:$J$204,"*Vent Arr./Av.*",SAISIE!$M$5:$M$204,$M$221)&gt;=0,0,MINIFS(SAISIE!$L$5:$L$204,SAISIE!$J$5:$J$204,"*Vent Arr./Av.*",SAISIE!$M$5:$M$204,$M$221)),"-"))</f>
        <v/>
      </c>
      <c r="L229" s="7">
        <f>IF($M$221="","",IF(OR(K229="",K229="-"),"",IF(K229&gt;0,"(soulevement)",IF(K229&lt;0,"(compression)","-"))))</f>
        <v/>
      </c>
    </row>
    <row r="230">
      <c r="A230" s="6">
        <f>IF(OR($F$221="",NOT(MAXIFS(SAISIE!$E$5:$E$204,SAISIE!$B$5:$B$204,"*Vent Arr./Av.*",SAISIE!$F$5:$F$204,$F$221)&gt;0)),"","Vent Arr./Av.")</f>
        <v/>
      </c>
      <c r="B230" s="7">
        <f>IF(OR($F$221="",NOT(MAXIFS(SAISIE!$E$5:$E$204,SAISIE!$B$5:$B$204,"*Vent Arr./Av.*",SAISIE!$F$5:$F$204,$F$221)&gt;0)),"",IFERROR(INDEX(SAISIE!$C$5:$C$204,MATCH(MAXIFS(SAISIE!$E$5:$E$204,SAISIE!$B$5:$B$204,"*Vent Arr./Av.*",SAISIE!$F$5:$F$204,$F$221),SAISIE!$E$5:$E$204,0)),"-"))</f>
        <v/>
      </c>
      <c r="C230" s="7">
        <f>IF(OR($F$221="",NOT(MAXIFS(SAISIE!$E$5:$E$204,SAISIE!$B$5:$B$204,"*Vent Arr./Av.*",SAISIE!$F$5:$F$204,$F$221)&gt;0)),"",IFERROR(INDEX(SAISIE!$D$5:$D$204,MATCH(MAXIFS(SAISIE!$E$5:$E$204,SAISIE!$B$5:$B$204,"*Vent Arr./Av.*",SAISIE!$F$5:$F$204,$F$221),SAISIE!$E$5:$E$204,0)),"-"))</f>
        <v/>
      </c>
      <c r="D230" s="7">
        <f>IF(OR($F$221="",NOT(MAXIFS(SAISIE!$E$5:$E$204,SAISIE!$B$5:$B$204,"*Vent Arr./Av.*",SAISIE!$F$5:$F$204,$F$221)&gt;0)),"",IFERROR(MAXIFS(SAISIE!$E$5:$E$204,SAISIE!$B$5:$B$204,"*Vent Arr./Av.*",SAISIE!$F$5:$F$204,$F$221),"-"))</f>
        <v/>
      </c>
      <c r="E230" s="7">
        <f>IF($F$221="","",IF(OR(D230="",D230="-"),"",IF(D230&gt;0,"(soulevement)",IF(D230&lt;0,"(compression)","-"))))</f>
        <v/>
      </c>
      <c r="I230" s="6">
        <f>IF(OR($M$221="",NOT(MAXIFS(SAISIE!$L$5:$L$204,SAISIE!$J$5:$J$204,"*Vent Arr./Av.*",SAISIE!$M$5:$M$204,$M$221)&gt;0)),"","Vent Arr./Av.")</f>
        <v/>
      </c>
      <c r="J230" s="7">
        <f>IF(OR($M$221="",NOT(MAXIFS(SAISIE!$L$5:$L$204,SAISIE!$J$5:$J$204,"*Vent Arr./Av.*",SAISIE!$M$5:$M$204,$M$221)&gt;0)),"",IFERROR(INDEX(SAISIE!$K$5:$K$204,MATCH(MAXIFS(SAISIE!$L$5:$L$204,SAISIE!$J$5:$J$204,"*Vent Arr./Av.*",SAISIE!$M$5:$M$204,$M$221),SAISIE!$L$5:$L$204,0)),"-"))</f>
        <v/>
      </c>
      <c r="K230" s="7">
        <f>IF(OR($M$221="",NOT(MAXIFS(SAISIE!$L$5:$L$204,SAISIE!$J$5:$J$204,"*Vent Arr./Av.*",SAISIE!$M$5:$M$204,$M$221)&gt;0)),"",IFERROR(MAXIFS(SAISIE!$L$5:$L$204,SAISIE!$J$5:$J$204,"*Vent Arr./Av.*",SAISIE!$M$5:$M$204,$M$221),"-"))</f>
        <v/>
      </c>
      <c r="L230" s="7">
        <f>IF($M$221="","",IF(OR(K230="",K230="-"),"",IF(K230&gt;0,"(soulevement)",IF(K230&lt;0,"(compression)","-"))))</f>
        <v/>
      </c>
    </row>
    <row r="231">
      <c r="A231" s="6">
        <f>IF(OR($F$221="",NOT(TRUE)),"","Neige normale")</f>
        <v/>
      </c>
      <c r="B231" s="7">
        <f>IF($F$221="","",IFERROR(INDEX(SAISIE!$C$5:$C$204,MATCH(MINIFS(SAISIE!$E$5:$E$204,SAISIE!$B$5:$B$204,"*Neige*",SAISIE!$B$5:$B$204,"&lt;&gt;*accidentel*",SAISIE!$F$5:$F$204,$F$221),SAISIE!$E$5:$E$204,0)),"-"))</f>
        <v/>
      </c>
      <c r="C231" s="7">
        <f>IF($F$221="","",IFERROR(INDEX(SAISIE!$D$5:$D$204,MATCH(MINIFS(SAISIE!$E$5:$E$204,SAISIE!$B$5:$B$204,"*Neige*",SAISIE!$B$5:$B$204,"&lt;&gt;*accidentel*",SAISIE!$F$5:$F$204,$F$221),SAISIE!$E$5:$E$204,0)),"-"))</f>
        <v/>
      </c>
      <c r="D231" s="7">
        <f>IF($F$221="","",IFERROR(INDEX(SAISIE!$E$5:$E$204,MATCH(MINIFS(SAISIE!$E$5:$E$204,SAISIE!$B$5:$B$204,"*Neige*",SAISIE!$B$5:$B$204,"&lt;&gt;*accidentel*",SAISIE!$F$5:$F$204,$F$221),SAISIE!$E$5:$E$204,0)),"-"))</f>
        <v/>
      </c>
      <c r="E231" s="7">
        <f>IF($F$221="","",IF(OR(D231="",D231="-"),"",IF(D231&gt;0,"(soulevement)",IF(D231&lt;0,"(compression)","-"))))</f>
        <v/>
      </c>
      <c r="I231" s="6">
        <f>IF(OR($M$221="",NOT(TRUE)),"","Neige normale")</f>
        <v/>
      </c>
      <c r="J231" s="7">
        <f>IF($M$221="","",IFERROR(INDEX(SAISIE!$K$5:$K$204,MATCH(MINIFS(SAISIE!$L$5:$L$204,SAISIE!$J$5:$J$204,"*Neige*",SAISIE!$J$5:$J$204,"&lt;&gt;*accidentel*",SAISIE!$M$5:$M$204,$M$221),SAISIE!$L$5:$L$204,0)),"-"))</f>
        <v/>
      </c>
      <c r="K231" s="7">
        <f>IF($M$221="","",IFERROR(INDEX(SAISIE!$L$5:$L$204,MATCH(MINIFS(SAISIE!$L$5:$L$204,SAISIE!$J$5:$J$204,"*Neige*",SAISIE!$J$5:$J$204,"&lt;&gt;*accidentel*",SAISIE!$M$5:$M$204,$M$221),SAISIE!$L$5:$L$204,0)),"-"))</f>
        <v/>
      </c>
      <c r="L231" s="7">
        <f>IF($M$221="","",IF(OR(K231="",K231="-"),"",IF(K231&gt;0,"(soulevement)",IF(K231&lt;0,"(compression)","-"))))</f>
        <v/>
      </c>
    </row>
    <row r="232">
      <c r="A232" s="6">
        <f>IF(OR($F$221="",NOT(TRUE)),"","Neige accidentelle")</f>
        <v/>
      </c>
      <c r="B232" s="7">
        <f>IF($F$221="","",IFERROR(LOOKUP(2,1/((SAISIE!$F$5:$F$204=$F$221)*(ISNUMBER(SEARCH("accidentel",SAISIE!$B$5:$B$204)))),SAISIE!$C$5:$C$204),"-"))</f>
        <v/>
      </c>
      <c r="C232" s="7">
        <f>IF($F$221="","",IFERROR(LOOKUP(2,1/((SAISIE!$F$5:$F$204=$F$221)*(ISNUMBER(SEARCH("accidentel",SAISIE!$B$5:$B$204)))),SAISIE!$D$5:$D$204),"-"))</f>
        <v/>
      </c>
      <c r="D232" s="7">
        <f>IF($F$221="","",IFERROR(LOOKUP(2,1/((SAISIE!$F$5:$F$204=$F$221)*(ISNUMBER(SEARCH("accidentel",SAISIE!$B$5:$B$204)))),SAISIE!$E$5:$E$204),"-"))</f>
        <v/>
      </c>
      <c r="E232" s="7">
        <f>IF($F$221="","",IF(OR(D232="",D232="-"),"",IF(D232&gt;0,"(soulevement)",IF(D232&lt;0,"(compression)","-"))))</f>
        <v/>
      </c>
      <c r="I232" s="6">
        <f>IF(OR($M$221="",NOT(TRUE)),"","Neige accidentelle")</f>
        <v/>
      </c>
      <c r="J232" s="7">
        <f>IF($M$221="","",IFERROR(LOOKUP(2,1/((SAISIE!$M$5:$M$204=$M$221)*(ISNUMBER(SEARCH("accidentel",SAISIE!$J$5:$J$204)))),SAISIE!$K$5:$K$204),"-"))</f>
        <v/>
      </c>
      <c r="K232" s="7">
        <f>IF($M$221="","",IFERROR(LOOKUP(2,1/((SAISIE!$M$5:$M$204=$M$221)*(ISNUMBER(SEARCH("accidentel",SAISIE!$J$5:$J$204)))),SAISIE!$L$5:$L$204),"-"))</f>
        <v/>
      </c>
      <c r="L232" s="7">
        <f>IF($M$221="","",IF(OR(K232="",K232="-"),"",IF(K232&gt;0,"(soulevement)",IF(K232&lt;0,"(compression)","-"))))</f>
        <v/>
      </c>
    </row>
    <row r="233">
      <c r="A233" s="5">
        <f>IF($F$233="","","Noeud "&amp;$F$233)</f>
        <v/>
      </c>
      <c r="B233" s="5" t="n"/>
      <c r="C233" s="5" t="n"/>
      <c r="D233" s="5" t="n"/>
      <c r="E233" s="5" t="n"/>
      <c r="F233">
        <f>IFERROR(INDEX(SAISIE!$F$5:$F$204,AGGREGATE(15,6,ROW(SAISIE!$F$5:$F$204)-ROW(SAISIE!$F$5)+1/(SAISIE!$F$5:$F$204&lt;&gt;"")/(COUNTIF($F$4:F232,SAISIE!$F$5:$F$204)=0),1)),"")</f>
        <v/>
      </c>
      <c r="I233" s="5">
        <f>IF($M$233="","","Noeud "&amp;$M$233)</f>
        <v/>
      </c>
      <c r="J233" s="5" t="n"/>
      <c r="K233" s="5" t="n"/>
      <c r="L233" s="5" t="n"/>
      <c r="M233">
        <f>IFERROR(INDEX(SAISIE!$M$5:$M$204,AGGREGATE(15,6,ROW(SAISIE!$M$5:$M$204)-ROW(SAISIE!$M$5)+1/(SAISIE!$M$5:$M$204&lt;&gt;"")/(COUNTIF($M$4:M232,SAISIE!$M$5:$M$204)=0),1)),"")</f>
        <v/>
      </c>
    </row>
    <row r="234">
      <c r="A234" s="6">
        <f>IF(OR($F$233="",NOT(TRUE)),"","Couverture")</f>
        <v/>
      </c>
      <c r="B234" s="7">
        <f>IF($F$233="","",IFERROR(IFERROR(LOOKUP(2,1/((SAISIE!$F$5:$F$204=$F$233)*(LEFT(SAISIE!$B$5:$B$204,2)="G ")),SAISIE!$C$5:$C$204),LOOKUP(2,1/((SAISIE!$F$5:$F$204=$F$233)*(ISNUMBER(SEARCH("Couverture",SAISIE!$B$5:$B$204)))),SAISIE!$C$5:$C$204)),"-"))</f>
        <v/>
      </c>
      <c r="C234" s="7">
        <f>IF($F$233="","",IFERROR(IFERROR(LOOKUP(2,1/((SAISIE!$F$5:$F$204=$F$233)*(LEFT(SAISIE!$B$5:$B$204,2)="G ")),SAISIE!$D$5:$D$204),LOOKUP(2,1/((SAISIE!$F$5:$F$204=$F$233)*(ISNUMBER(SEARCH("Couverture",SAISIE!$B$5:$B$204)))),SAISIE!$D$5:$D$204)),"-"))</f>
        <v/>
      </c>
      <c r="D234" s="7">
        <f>IF($F$233="","",IFERROR(IFERROR(LOOKUP(2,1/((SAISIE!$F$5:$F$204=$F$233)*(LEFT(SAISIE!$B$5:$B$204,2)="G ")),SAISIE!$E$5:$E$204),LOOKUP(2,1/((SAISIE!$F$5:$F$204=$F$233)*(ISNUMBER(SEARCH("Couverture",SAISIE!$B$5:$B$204)))),SAISIE!$E$5:$E$204)),"-"))</f>
        <v/>
      </c>
      <c r="E234" s="7">
        <f>IF($F$233="","",IF(OR(D234="",D234="-"),"",IF(D234&gt;0,"(soulevement)",IF(D234&lt;0,"(compression)","-"))))</f>
        <v/>
      </c>
      <c r="I234" s="6">
        <f>IF(OR($M$233="",NOT(TRUE)),"","Couverture")</f>
        <v/>
      </c>
      <c r="J234" s="7">
        <f>IF($M$233="","",IFERROR(IFERROR(LOOKUP(2,1/((SAISIE!$M$5:$M$204=$M$233)*(LEFT(SAISIE!$J$5:$J$204,2)="G ")),SAISIE!$K$5:$K$204),LOOKUP(2,1/((SAISIE!$M$5:$M$204=$M$233)*(ISNUMBER(SEARCH("Couverture",SAISIE!$J$5:$J$204)))),SAISIE!$K$5:$K$204)),"-"))</f>
        <v/>
      </c>
      <c r="K234" s="7">
        <f>IF($M$233="","",IFERROR(IFERROR(LOOKUP(2,1/((SAISIE!$M$5:$M$204=$M$233)*(LEFT(SAISIE!$J$5:$J$204,2)="G ")),SAISIE!$L$5:$L$204),LOOKUP(2,1/((SAISIE!$M$5:$M$204=$M$233)*(ISNUMBER(SEARCH("Couverture",SAISIE!$J$5:$J$204)))),SAISIE!$L$5:$L$204)),"-"))</f>
        <v/>
      </c>
      <c r="L234" s="7">
        <f>IF($M$233="","",IF(OR(K234="",K234="-"),"",IF(K234&gt;0,"(soulevement)",IF(K234&lt;0,"(compression)","-"))))</f>
        <v/>
      </c>
    </row>
    <row r="235">
      <c r="A235" s="6">
        <f>IF(OR($F$233="",NOT(COUNTIFS(SAISIE!$B$5:$B$204,"*Vent G/D*",SAISIE!$F$5:$F$204,$F$233)&gt;0)),"","Vent G/D")</f>
        <v/>
      </c>
      <c r="B235" s="7">
        <f>IF(OR($F$233="",NOT(COUNTIFS(SAISIE!$B$5:$B$204,"*Vent G/D*",SAISIE!$F$5:$F$204,$F$233)&gt;0)),"",IFERROR(IF(MINIFS(SAISIE!$E$5:$E$204,SAISIE!$B$5:$B$204,"*Vent G/D*",SAISIE!$F$5:$F$204,$F$233)&gt;=0,MAXIFS(SAISIE!$C$5:$C$204,SAISIE!$B$5:$B$204,"*Vent G/D*",SAISIE!$F$5:$F$204,$F$233),INDEX(SAISIE!$C$5:$C$204,MATCH(MINIFS(SAISIE!$E$5:$E$204,SAISIE!$B$5:$B$204,"*Vent G/D*",SAISIE!$F$5:$F$204,$F$233),SAISIE!$E$5:$E$204,0))),"-"))</f>
        <v/>
      </c>
      <c r="C235" s="7">
        <f>IF(OR($F$233="",NOT(COUNTIFS(SAISIE!$B$5:$B$204,"*Vent G/D*",SAISIE!$F$5:$F$204,$F$233)&gt;0)),"",IFERROR(IF(MINIFS(SAISIE!$E$5:$E$204,SAISIE!$B$5:$B$204,"*Vent G/D*",SAISIE!$F$5:$F$204,$F$233)&gt;=0,INDEX(SAISIE!$D$5:$D$204,MATCH(MAXIFS(SAISIE!$C$5:$C$204,SAISIE!$B$5:$B$204,"*Vent G/D*",SAISIE!$F$5:$F$204,$F$233),SAISIE!$C$5:$C$204,0)),INDEX(SAISIE!$D$5:$D$204,MATCH(MINIFS(SAISIE!$E$5:$E$204,SAISIE!$B$5:$B$204,"*Vent G/D*",SAISIE!$F$5:$F$204,$F$233),SAISIE!$E$5:$E$204,0))),"-"))</f>
        <v/>
      </c>
      <c r="D235" s="7">
        <f>IF(OR($F$233="",NOT(COUNTIFS(SAISIE!$B$5:$B$204,"*Vent G/D*",SAISIE!$F$5:$F$204,$F$233)&gt;0)),"",IFERROR(IF(MINIFS(SAISIE!$E$5:$E$204,SAISIE!$B$5:$B$204,"*Vent G/D*",SAISIE!$F$5:$F$204,$F$233)&gt;=0,0,MINIFS(SAISIE!$E$5:$E$204,SAISIE!$B$5:$B$204,"*Vent G/D*",SAISIE!$F$5:$F$204,$F$233)),"-"))</f>
        <v/>
      </c>
      <c r="E235" s="7">
        <f>IF($F$233="","",IF(OR(D235="",D235="-"),"",IF(D235&gt;0,"(soulevement)",IF(D235&lt;0,"(compression)","-"))))</f>
        <v/>
      </c>
      <c r="I235" s="6">
        <f>IF(OR($M$233="",NOT(COUNTIFS(SAISIE!$J$5:$J$204,"*Vent G/D*",SAISIE!$M$5:$M$204,$M$233)&gt;0)),"","Vent G/D")</f>
        <v/>
      </c>
      <c r="J235" s="7">
        <f>IF(OR($M$233="",NOT(COUNTIFS(SAISIE!$J$5:$J$204,"*Vent G/D*",SAISIE!$M$5:$M$204,$M$233)&gt;0)),"",IFERROR(IF(MINIFS(SAISIE!$L$5:$L$204,SAISIE!$J$5:$J$204,"*Vent G/D*",SAISIE!$M$5:$M$204,$M$233)&gt;=0,MAXIFS(SAISIE!$K$5:$K$204,SAISIE!$J$5:$J$204,"*Vent G/D*",SAISIE!$M$5:$M$204,$M$233),INDEX(SAISIE!$K$5:$K$204,MATCH(MINIFS(SAISIE!$L$5:$L$204,SAISIE!$J$5:$J$204,"*Vent G/D*",SAISIE!$M$5:$M$204,$M$233),SAISIE!$L$5:$L$204,0))),"-"))</f>
        <v/>
      </c>
      <c r="K235" s="7">
        <f>IF(OR($M$233="",NOT(COUNTIFS(SAISIE!$J$5:$J$204,"*Vent G/D*",SAISIE!$M$5:$M$204,$M$233)&gt;0)),"",IFERROR(IF(MINIFS(SAISIE!$L$5:$L$204,SAISIE!$J$5:$J$204,"*Vent G/D*",SAISIE!$M$5:$M$204,$M$233)&gt;=0,0,MINIFS(SAISIE!$L$5:$L$204,SAISIE!$J$5:$J$204,"*Vent G/D*",SAISIE!$M$5:$M$204,$M$233)),"-"))</f>
        <v/>
      </c>
      <c r="L235" s="7">
        <f>IF($M$233="","",IF(OR(K235="",K235="-"),"",IF(K235&gt;0,"(soulevement)",IF(K235&lt;0,"(compression)","-"))))</f>
        <v/>
      </c>
    </row>
    <row r="236">
      <c r="A236" s="6">
        <f>IF(OR($F$233="",NOT(MAXIFS(SAISIE!$E$5:$E$204,SAISIE!$B$5:$B$204,"*Vent G/D*",SAISIE!$F$5:$F$204,$F$233)&gt;0)),"","Vent G/D")</f>
        <v/>
      </c>
      <c r="B236" s="7">
        <f>IF(OR($F$233="",NOT(MAXIFS(SAISIE!$E$5:$E$204,SAISIE!$B$5:$B$204,"*Vent G/D*",SAISIE!$F$5:$F$204,$F$233)&gt;0)),"",IFERROR(INDEX(SAISIE!$C$5:$C$204,MATCH(MAXIFS(SAISIE!$E$5:$E$204,SAISIE!$B$5:$B$204,"*Vent G/D*",SAISIE!$F$5:$F$204,$F$233),SAISIE!$E$5:$E$204,0)),"-"))</f>
        <v/>
      </c>
      <c r="C236" s="7">
        <f>IF(OR($F$233="",NOT(MAXIFS(SAISIE!$E$5:$E$204,SAISIE!$B$5:$B$204,"*Vent G/D*",SAISIE!$F$5:$F$204,$F$233)&gt;0)),"",IFERROR(INDEX(SAISIE!$D$5:$D$204,MATCH(MAXIFS(SAISIE!$E$5:$E$204,SAISIE!$B$5:$B$204,"*Vent G/D*",SAISIE!$F$5:$F$204,$F$233),SAISIE!$E$5:$E$204,0)),"-"))</f>
        <v/>
      </c>
      <c r="D236" s="7">
        <f>IF(OR($F$233="",NOT(MAXIFS(SAISIE!$E$5:$E$204,SAISIE!$B$5:$B$204,"*Vent G/D*",SAISIE!$F$5:$F$204,$F$233)&gt;0)),"",IFERROR(MAXIFS(SAISIE!$E$5:$E$204,SAISIE!$B$5:$B$204,"*Vent G/D*",SAISIE!$F$5:$F$204,$F$233),"-"))</f>
        <v/>
      </c>
      <c r="E236" s="7">
        <f>IF($F$233="","",IF(OR(D236="",D236="-"),"",IF(D236&gt;0,"(soulevement)",IF(D236&lt;0,"(compression)","-"))))</f>
        <v/>
      </c>
      <c r="I236" s="6">
        <f>IF(OR($M$233="",NOT(MAXIFS(SAISIE!$L$5:$L$204,SAISIE!$J$5:$J$204,"*Vent G/D*",SAISIE!$M$5:$M$204,$M$233)&gt;0)),"","Vent G/D")</f>
        <v/>
      </c>
      <c r="J236" s="7">
        <f>IF(OR($M$233="",NOT(MAXIFS(SAISIE!$L$5:$L$204,SAISIE!$J$5:$J$204,"*Vent G/D*",SAISIE!$M$5:$M$204,$M$233)&gt;0)),"",IFERROR(INDEX(SAISIE!$K$5:$K$204,MATCH(MAXIFS(SAISIE!$L$5:$L$204,SAISIE!$J$5:$J$204,"*Vent G/D*",SAISIE!$M$5:$M$204,$M$233),SAISIE!$L$5:$L$204,0)),"-"))</f>
        <v/>
      </c>
      <c r="K236" s="7">
        <f>IF(OR($M$233="",NOT(MAXIFS(SAISIE!$L$5:$L$204,SAISIE!$J$5:$J$204,"*Vent G/D*",SAISIE!$M$5:$M$204,$M$233)&gt;0)),"",IFERROR(MAXIFS(SAISIE!$L$5:$L$204,SAISIE!$J$5:$J$204,"*Vent G/D*",SAISIE!$M$5:$M$204,$M$233),"-"))</f>
        <v/>
      </c>
      <c r="L236" s="7">
        <f>IF($M$233="","",IF(OR(K236="",K236="-"),"",IF(K236&gt;0,"(soulevement)",IF(K236&lt;0,"(compression)","-"))))</f>
        <v/>
      </c>
    </row>
    <row r="237">
      <c r="A237" s="6">
        <f>IF(OR($F$233="",NOT(COUNTIFS(SAISIE!$B$5:$B$204,"*Vent D/G*",SAISIE!$F$5:$F$204,$F$233)&gt;0)),"","Vent D/G")</f>
        <v/>
      </c>
      <c r="B237" s="7">
        <f>IF(OR($F$233="",NOT(COUNTIFS(SAISIE!$B$5:$B$204,"*Vent D/G*",SAISIE!$F$5:$F$204,$F$233)&gt;0)),"",IFERROR(IF(MINIFS(SAISIE!$E$5:$E$204,SAISIE!$B$5:$B$204,"*Vent D/G*",SAISIE!$F$5:$F$204,$F$233)&gt;=0,MAXIFS(SAISIE!$C$5:$C$204,SAISIE!$B$5:$B$204,"*Vent D/G*",SAISIE!$F$5:$F$204,$F$233),INDEX(SAISIE!$C$5:$C$204,MATCH(MINIFS(SAISIE!$E$5:$E$204,SAISIE!$B$5:$B$204,"*Vent D/G*",SAISIE!$F$5:$F$204,$F$233),SAISIE!$E$5:$E$204,0))),"-"))</f>
        <v/>
      </c>
      <c r="C237" s="7">
        <f>IF(OR($F$233="",NOT(COUNTIFS(SAISIE!$B$5:$B$204,"*Vent D/G*",SAISIE!$F$5:$F$204,$F$233)&gt;0)),"",IFERROR(IF(MINIFS(SAISIE!$E$5:$E$204,SAISIE!$B$5:$B$204,"*Vent D/G*",SAISIE!$F$5:$F$204,$F$233)&gt;=0,INDEX(SAISIE!$D$5:$D$204,MATCH(MAXIFS(SAISIE!$C$5:$C$204,SAISIE!$B$5:$B$204,"*Vent D/G*",SAISIE!$F$5:$F$204,$F$233),SAISIE!$C$5:$C$204,0)),INDEX(SAISIE!$D$5:$D$204,MATCH(MINIFS(SAISIE!$E$5:$E$204,SAISIE!$B$5:$B$204,"*Vent D/G*",SAISIE!$F$5:$F$204,$F$233),SAISIE!$E$5:$E$204,0))),"-"))</f>
        <v/>
      </c>
      <c r="D237" s="7">
        <f>IF(OR($F$233="",NOT(COUNTIFS(SAISIE!$B$5:$B$204,"*Vent D/G*",SAISIE!$F$5:$F$204,$F$233)&gt;0)),"",IFERROR(IF(MINIFS(SAISIE!$E$5:$E$204,SAISIE!$B$5:$B$204,"*Vent D/G*",SAISIE!$F$5:$F$204,$F$233)&gt;=0,0,MINIFS(SAISIE!$E$5:$E$204,SAISIE!$B$5:$B$204,"*Vent D/G*",SAISIE!$F$5:$F$204,$F$233)),"-"))</f>
        <v/>
      </c>
      <c r="E237" s="7">
        <f>IF($F$233="","",IF(OR(D237="",D237="-"),"",IF(D237&gt;0,"(soulevement)",IF(D237&lt;0,"(compression)","-"))))</f>
        <v/>
      </c>
      <c r="I237" s="6">
        <f>IF(OR($M$233="",NOT(COUNTIFS(SAISIE!$J$5:$J$204,"*Vent D/G*",SAISIE!$M$5:$M$204,$M$233)&gt;0)),"","Vent D/G")</f>
        <v/>
      </c>
      <c r="J237" s="7">
        <f>IF(OR($M$233="",NOT(COUNTIFS(SAISIE!$J$5:$J$204,"*Vent D/G*",SAISIE!$M$5:$M$204,$M$233)&gt;0)),"",IFERROR(IF(MINIFS(SAISIE!$L$5:$L$204,SAISIE!$J$5:$J$204,"*Vent D/G*",SAISIE!$M$5:$M$204,$M$233)&gt;=0,MAXIFS(SAISIE!$K$5:$K$204,SAISIE!$J$5:$J$204,"*Vent D/G*",SAISIE!$M$5:$M$204,$M$233),INDEX(SAISIE!$K$5:$K$204,MATCH(MINIFS(SAISIE!$L$5:$L$204,SAISIE!$J$5:$J$204,"*Vent D/G*",SAISIE!$M$5:$M$204,$M$233),SAISIE!$L$5:$L$204,0))),"-"))</f>
        <v/>
      </c>
      <c r="K237" s="7">
        <f>IF(OR($M$233="",NOT(COUNTIFS(SAISIE!$J$5:$J$204,"*Vent D/G*",SAISIE!$M$5:$M$204,$M$233)&gt;0)),"",IFERROR(IF(MINIFS(SAISIE!$L$5:$L$204,SAISIE!$J$5:$J$204,"*Vent D/G*",SAISIE!$M$5:$M$204,$M$233)&gt;=0,0,MINIFS(SAISIE!$L$5:$L$204,SAISIE!$J$5:$J$204,"*Vent D/G*",SAISIE!$M$5:$M$204,$M$233)),"-"))</f>
        <v/>
      </c>
      <c r="L237" s="7">
        <f>IF($M$233="","",IF(OR(K237="",K237="-"),"",IF(K237&gt;0,"(soulevement)",IF(K237&lt;0,"(compression)","-"))))</f>
        <v/>
      </c>
    </row>
    <row r="238">
      <c r="A238" s="6">
        <f>IF(OR($F$233="",NOT(MAXIFS(SAISIE!$E$5:$E$204,SAISIE!$B$5:$B$204,"*Vent D/G*",SAISIE!$F$5:$F$204,$F$233)&gt;0)),"","Vent D/G")</f>
        <v/>
      </c>
      <c r="B238" s="7">
        <f>IF(OR($F$233="",NOT(MAXIFS(SAISIE!$E$5:$E$204,SAISIE!$B$5:$B$204,"*Vent D/G*",SAISIE!$F$5:$F$204,$F$233)&gt;0)),"",IFERROR(INDEX(SAISIE!$C$5:$C$204,MATCH(MAXIFS(SAISIE!$E$5:$E$204,SAISIE!$B$5:$B$204,"*Vent D/G*",SAISIE!$F$5:$F$204,$F$233),SAISIE!$E$5:$E$204,0)),"-"))</f>
        <v/>
      </c>
      <c r="C238" s="7">
        <f>IF(OR($F$233="",NOT(MAXIFS(SAISIE!$E$5:$E$204,SAISIE!$B$5:$B$204,"*Vent D/G*",SAISIE!$F$5:$F$204,$F$233)&gt;0)),"",IFERROR(INDEX(SAISIE!$D$5:$D$204,MATCH(MAXIFS(SAISIE!$E$5:$E$204,SAISIE!$B$5:$B$204,"*Vent D/G*",SAISIE!$F$5:$F$204,$F$233),SAISIE!$E$5:$E$204,0)),"-"))</f>
        <v/>
      </c>
      <c r="D238" s="7">
        <f>IF(OR($F$233="",NOT(MAXIFS(SAISIE!$E$5:$E$204,SAISIE!$B$5:$B$204,"*Vent D/G*",SAISIE!$F$5:$F$204,$F$233)&gt;0)),"",IFERROR(MAXIFS(SAISIE!$E$5:$E$204,SAISIE!$B$5:$B$204,"*Vent D/G*",SAISIE!$F$5:$F$204,$F$233),"-"))</f>
        <v/>
      </c>
      <c r="E238" s="7">
        <f>IF($F$233="","",IF(OR(D238="",D238="-"),"",IF(D238&gt;0,"(soulevement)",IF(D238&lt;0,"(compression)","-"))))</f>
        <v/>
      </c>
      <c r="I238" s="6">
        <f>IF(OR($M$233="",NOT(MAXIFS(SAISIE!$L$5:$L$204,SAISIE!$J$5:$J$204,"*Vent D/G*",SAISIE!$M$5:$M$204,$M$233)&gt;0)),"","Vent D/G")</f>
        <v/>
      </c>
      <c r="J238" s="7">
        <f>IF(OR($M$233="",NOT(MAXIFS(SAISIE!$L$5:$L$204,SAISIE!$J$5:$J$204,"*Vent D/G*",SAISIE!$M$5:$M$204,$M$233)&gt;0)),"",IFERROR(INDEX(SAISIE!$K$5:$K$204,MATCH(MAXIFS(SAISIE!$L$5:$L$204,SAISIE!$J$5:$J$204,"*Vent D/G*",SAISIE!$M$5:$M$204,$M$233),SAISIE!$L$5:$L$204,0)),"-"))</f>
        <v/>
      </c>
      <c r="K238" s="7">
        <f>IF(OR($M$233="",NOT(MAXIFS(SAISIE!$L$5:$L$204,SAISIE!$J$5:$J$204,"*Vent D/G*",SAISIE!$M$5:$M$204,$M$233)&gt;0)),"",IFERROR(MAXIFS(SAISIE!$L$5:$L$204,SAISIE!$J$5:$J$204,"*Vent D/G*",SAISIE!$M$5:$M$204,$M$233),"-"))</f>
        <v/>
      </c>
      <c r="L238" s="7">
        <f>IF($M$233="","",IF(OR(K238="",K238="-"),"",IF(K238&gt;0,"(soulevement)",IF(K238&lt;0,"(compression)","-"))))</f>
        <v/>
      </c>
    </row>
    <row r="239">
      <c r="A239" s="6">
        <f>IF(OR($F$233="",NOT(COUNTIFS(SAISIE!$B$5:$B$204,"*Vent Av./Arr.*",SAISIE!$F$5:$F$204,$F$233)&gt;0)),"","Vent Av./Arr.")</f>
        <v/>
      </c>
      <c r="B239" s="7">
        <f>IF(OR($F$233="",NOT(COUNTIFS(SAISIE!$B$5:$B$204,"*Vent Av./Arr.*",SAISIE!$F$5:$F$204,$F$233)&gt;0)),"",IFERROR(IF(MINIFS(SAISIE!$E$5:$E$204,SAISIE!$B$5:$B$204,"*Vent Av./Arr.*",SAISIE!$F$5:$F$204,$F$233)&gt;=0,MAXIFS(SAISIE!$C$5:$C$204,SAISIE!$B$5:$B$204,"*Vent Av./Arr.*",SAISIE!$F$5:$F$204,$F$233),INDEX(SAISIE!$C$5:$C$204,MATCH(MINIFS(SAISIE!$E$5:$E$204,SAISIE!$B$5:$B$204,"*Vent Av./Arr.*",SAISIE!$F$5:$F$204,$F$233),SAISIE!$E$5:$E$204,0))),"-"))</f>
        <v/>
      </c>
      <c r="C239" s="7">
        <f>IF(OR($F$233="",NOT(COUNTIFS(SAISIE!$B$5:$B$204,"*Vent Av./Arr.*",SAISIE!$F$5:$F$204,$F$233)&gt;0)),"",IFERROR(IF(MINIFS(SAISIE!$E$5:$E$204,SAISIE!$B$5:$B$204,"*Vent Av./Arr.*",SAISIE!$F$5:$F$204,$F$233)&gt;=0,INDEX(SAISIE!$D$5:$D$204,MATCH(MAXIFS(SAISIE!$C$5:$C$204,SAISIE!$B$5:$B$204,"*Vent Av./Arr.*",SAISIE!$F$5:$F$204,$F$233),SAISIE!$C$5:$C$204,0)),INDEX(SAISIE!$D$5:$D$204,MATCH(MINIFS(SAISIE!$E$5:$E$204,SAISIE!$B$5:$B$204,"*Vent Av./Arr.*",SAISIE!$F$5:$F$204,$F$233),SAISIE!$E$5:$E$204,0))),"-"))</f>
        <v/>
      </c>
      <c r="D239" s="7">
        <f>IF(OR($F$233="",NOT(COUNTIFS(SAISIE!$B$5:$B$204,"*Vent Av./Arr.*",SAISIE!$F$5:$F$204,$F$233)&gt;0)),"",IFERROR(IF(MINIFS(SAISIE!$E$5:$E$204,SAISIE!$B$5:$B$204,"*Vent Av./Arr.*",SAISIE!$F$5:$F$204,$F$233)&gt;=0,0,MINIFS(SAISIE!$E$5:$E$204,SAISIE!$B$5:$B$204,"*Vent Av./Arr.*",SAISIE!$F$5:$F$204,$F$233)),"-"))</f>
        <v/>
      </c>
      <c r="E239" s="7">
        <f>IF($F$233="","",IF(OR(D239="",D239="-"),"",IF(D239&gt;0,"(soulevement)",IF(D239&lt;0,"(compression)","-"))))</f>
        <v/>
      </c>
      <c r="I239" s="6">
        <f>IF(OR($M$233="",NOT(COUNTIFS(SAISIE!$J$5:$J$204,"*Vent Av./Arr.*",SAISIE!$M$5:$M$204,$M$233)&gt;0)),"","Vent Av./Arr.")</f>
        <v/>
      </c>
      <c r="J239" s="7">
        <f>IF(OR($M$233="",NOT(COUNTIFS(SAISIE!$J$5:$J$204,"*Vent Av./Arr.*",SAISIE!$M$5:$M$204,$M$233)&gt;0)),"",IFERROR(IF(MINIFS(SAISIE!$L$5:$L$204,SAISIE!$J$5:$J$204,"*Vent Av./Arr.*",SAISIE!$M$5:$M$204,$M$233)&gt;=0,MAXIFS(SAISIE!$K$5:$K$204,SAISIE!$J$5:$J$204,"*Vent Av./Arr.*",SAISIE!$M$5:$M$204,$M$233),INDEX(SAISIE!$K$5:$K$204,MATCH(MINIFS(SAISIE!$L$5:$L$204,SAISIE!$J$5:$J$204,"*Vent Av./Arr.*",SAISIE!$M$5:$M$204,$M$233),SAISIE!$L$5:$L$204,0))),"-"))</f>
        <v/>
      </c>
      <c r="K239" s="7">
        <f>IF(OR($M$233="",NOT(COUNTIFS(SAISIE!$J$5:$J$204,"*Vent Av./Arr.*",SAISIE!$M$5:$M$204,$M$233)&gt;0)),"",IFERROR(IF(MINIFS(SAISIE!$L$5:$L$204,SAISIE!$J$5:$J$204,"*Vent Av./Arr.*",SAISIE!$M$5:$M$204,$M$233)&gt;=0,0,MINIFS(SAISIE!$L$5:$L$204,SAISIE!$J$5:$J$204,"*Vent Av./Arr.*",SAISIE!$M$5:$M$204,$M$233)),"-"))</f>
        <v/>
      </c>
      <c r="L239" s="7">
        <f>IF($M$233="","",IF(OR(K239="",K239="-"),"",IF(K239&gt;0,"(soulevement)",IF(K239&lt;0,"(compression)","-"))))</f>
        <v/>
      </c>
    </row>
    <row r="240">
      <c r="A240" s="6">
        <f>IF(OR($F$233="",NOT(MAXIFS(SAISIE!$E$5:$E$204,SAISIE!$B$5:$B$204,"*Vent Av./Arr.*",SAISIE!$F$5:$F$204,$F$233)&gt;0)),"","Vent Av./Arr.")</f>
        <v/>
      </c>
      <c r="B240" s="7">
        <f>IF(OR($F$233="",NOT(MAXIFS(SAISIE!$E$5:$E$204,SAISIE!$B$5:$B$204,"*Vent Av./Arr.*",SAISIE!$F$5:$F$204,$F$233)&gt;0)),"",IFERROR(INDEX(SAISIE!$C$5:$C$204,MATCH(MAXIFS(SAISIE!$E$5:$E$204,SAISIE!$B$5:$B$204,"*Vent Av./Arr.*",SAISIE!$F$5:$F$204,$F$233),SAISIE!$E$5:$E$204,0)),"-"))</f>
        <v/>
      </c>
      <c r="C240" s="7">
        <f>IF(OR($F$233="",NOT(MAXIFS(SAISIE!$E$5:$E$204,SAISIE!$B$5:$B$204,"*Vent Av./Arr.*",SAISIE!$F$5:$F$204,$F$233)&gt;0)),"",IFERROR(INDEX(SAISIE!$D$5:$D$204,MATCH(MAXIFS(SAISIE!$E$5:$E$204,SAISIE!$B$5:$B$204,"*Vent Av./Arr.*",SAISIE!$F$5:$F$204,$F$233),SAISIE!$E$5:$E$204,0)),"-"))</f>
        <v/>
      </c>
      <c r="D240" s="7">
        <f>IF(OR($F$233="",NOT(MAXIFS(SAISIE!$E$5:$E$204,SAISIE!$B$5:$B$204,"*Vent Av./Arr.*",SAISIE!$F$5:$F$204,$F$233)&gt;0)),"",IFERROR(MAXIFS(SAISIE!$E$5:$E$204,SAISIE!$B$5:$B$204,"*Vent Av./Arr.*",SAISIE!$F$5:$F$204,$F$233),"-"))</f>
        <v/>
      </c>
      <c r="E240" s="7">
        <f>IF($F$233="","",IF(OR(D240="",D240="-"),"",IF(D240&gt;0,"(soulevement)",IF(D240&lt;0,"(compression)","-"))))</f>
        <v/>
      </c>
      <c r="I240" s="6">
        <f>IF(OR($M$233="",NOT(MAXIFS(SAISIE!$L$5:$L$204,SAISIE!$J$5:$J$204,"*Vent Av./Arr.*",SAISIE!$M$5:$M$204,$M$233)&gt;0)),"","Vent Av./Arr.")</f>
        <v/>
      </c>
      <c r="J240" s="7">
        <f>IF(OR($M$233="",NOT(MAXIFS(SAISIE!$L$5:$L$204,SAISIE!$J$5:$J$204,"*Vent Av./Arr.*",SAISIE!$M$5:$M$204,$M$233)&gt;0)),"",IFERROR(INDEX(SAISIE!$K$5:$K$204,MATCH(MAXIFS(SAISIE!$L$5:$L$204,SAISIE!$J$5:$J$204,"*Vent Av./Arr.*",SAISIE!$M$5:$M$204,$M$233),SAISIE!$L$5:$L$204,0)),"-"))</f>
        <v/>
      </c>
      <c r="K240" s="7">
        <f>IF(OR($M$233="",NOT(MAXIFS(SAISIE!$L$5:$L$204,SAISIE!$J$5:$J$204,"*Vent Av./Arr.*",SAISIE!$M$5:$M$204,$M$233)&gt;0)),"",IFERROR(MAXIFS(SAISIE!$L$5:$L$204,SAISIE!$J$5:$J$204,"*Vent Av./Arr.*",SAISIE!$M$5:$M$204,$M$233),"-"))</f>
        <v/>
      </c>
      <c r="L240" s="7">
        <f>IF($M$233="","",IF(OR(K240="",K240="-"),"",IF(K240&gt;0,"(soulevement)",IF(K240&lt;0,"(compression)","-"))))</f>
        <v/>
      </c>
    </row>
    <row r="241">
      <c r="A241" s="6">
        <f>IF(OR($F$233="",NOT(COUNTIFS(SAISIE!$B$5:$B$204,"*Vent Arr./Av.*",SAISIE!$F$5:$F$204,$F$233)&gt;0)),"","Vent Arr./Av.")</f>
        <v/>
      </c>
      <c r="B241" s="7">
        <f>IF(OR($F$233="",NOT(COUNTIFS(SAISIE!$B$5:$B$204,"*Vent Arr./Av.*",SAISIE!$F$5:$F$204,$F$233)&gt;0)),"",IFERROR(IF(MINIFS(SAISIE!$E$5:$E$204,SAISIE!$B$5:$B$204,"*Vent Arr./Av.*",SAISIE!$F$5:$F$204,$F$233)&gt;=0,MAXIFS(SAISIE!$C$5:$C$204,SAISIE!$B$5:$B$204,"*Vent Arr./Av.*",SAISIE!$F$5:$F$204,$F$233),INDEX(SAISIE!$C$5:$C$204,MATCH(MINIFS(SAISIE!$E$5:$E$204,SAISIE!$B$5:$B$204,"*Vent Arr./Av.*",SAISIE!$F$5:$F$204,$F$233),SAISIE!$E$5:$E$204,0))),"-"))</f>
        <v/>
      </c>
      <c r="C241" s="7">
        <f>IF(OR($F$233="",NOT(COUNTIFS(SAISIE!$B$5:$B$204,"*Vent Arr./Av.*",SAISIE!$F$5:$F$204,$F$233)&gt;0)),"",IFERROR(IF(MINIFS(SAISIE!$E$5:$E$204,SAISIE!$B$5:$B$204,"*Vent Arr./Av.*",SAISIE!$F$5:$F$204,$F$233)&gt;=0,INDEX(SAISIE!$D$5:$D$204,MATCH(MAXIFS(SAISIE!$C$5:$C$204,SAISIE!$B$5:$B$204,"*Vent Arr./Av.*",SAISIE!$F$5:$F$204,$F$233),SAISIE!$C$5:$C$204,0)),INDEX(SAISIE!$D$5:$D$204,MATCH(MINIFS(SAISIE!$E$5:$E$204,SAISIE!$B$5:$B$204,"*Vent Arr./Av.*",SAISIE!$F$5:$F$204,$F$233),SAISIE!$E$5:$E$204,0))),"-"))</f>
        <v/>
      </c>
      <c r="D241" s="7">
        <f>IF(OR($F$233="",NOT(COUNTIFS(SAISIE!$B$5:$B$204,"*Vent Arr./Av.*",SAISIE!$F$5:$F$204,$F$233)&gt;0)),"",IFERROR(IF(MINIFS(SAISIE!$E$5:$E$204,SAISIE!$B$5:$B$204,"*Vent Arr./Av.*",SAISIE!$F$5:$F$204,$F$233)&gt;=0,0,MINIFS(SAISIE!$E$5:$E$204,SAISIE!$B$5:$B$204,"*Vent Arr./Av.*",SAISIE!$F$5:$F$204,$F$233)),"-"))</f>
        <v/>
      </c>
      <c r="E241" s="7">
        <f>IF($F$233="","",IF(OR(D241="",D241="-"),"",IF(D241&gt;0,"(soulevement)",IF(D241&lt;0,"(compression)","-"))))</f>
        <v/>
      </c>
      <c r="I241" s="6">
        <f>IF(OR($M$233="",NOT(COUNTIFS(SAISIE!$J$5:$J$204,"*Vent Arr./Av.*",SAISIE!$M$5:$M$204,$M$233)&gt;0)),"","Vent Arr./Av.")</f>
        <v/>
      </c>
      <c r="J241" s="7">
        <f>IF(OR($M$233="",NOT(COUNTIFS(SAISIE!$J$5:$J$204,"*Vent Arr./Av.*",SAISIE!$M$5:$M$204,$M$233)&gt;0)),"",IFERROR(IF(MINIFS(SAISIE!$L$5:$L$204,SAISIE!$J$5:$J$204,"*Vent Arr./Av.*",SAISIE!$M$5:$M$204,$M$233)&gt;=0,MAXIFS(SAISIE!$K$5:$K$204,SAISIE!$J$5:$J$204,"*Vent Arr./Av.*",SAISIE!$M$5:$M$204,$M$233),INDEX(SAISIE!$K$5:$K$204,MATCH(MINIFS(SAISIE!$L$5:$L$204,SAISIE!$J$5:$J$204,"*Vent Arr./Av.*",SAISIE!$M$5:$M$204,$M$233),SAISIE!$L$5:$L$204,0))),"-"))</f>
        <v/>
      </c>
      <c r="K241" s="7">
        <f>IF(OR($M$233="",NOT(COUNTIFS(SAISIE!$J$5:$J$204,"*Vent Arr./Av.*",SAISIE!$M$5:$M$204,$M$233)&gt;0)),"",IFERROR(IF(MINIFS(SAISIE!$L$5:$L$204,SAISIE!$J$5:$J$204,"*Vent Arr./Av.*",SAISIE!$M$5:$M$204,$M$233)&gt;=0,0,MINIFS(SAISIE!$L$5:$L$204,SAISIE!$J$5:$J$204,"*Vent Arr./Av.*",SAISIE!$M$5:$M$204,$M$233)),"-"))</f>
        <v/>
      </c>
      <c r="L241" s="7">
        <f>IF($M$233="","",IF(OR(K241="",K241="-"),"",IF(K241&gt;0,"(soulevement)",IF(K241&lt;0,"(compression)","-"))))</f>
        <v/>
      </c>
    </row>
    <row r="242">
      <c r="A242" s="6">
        <f>IF(OR($F$233="",NOT(MAXIFS(SAISIE!$E$5:$E$204,SAISIE!$B$5:$B$204,"*Vent Arr./Av.*",SAISIE!$F$5:$F$204,$F$233)&gt;0)),"","Vent Arr./Av.")</f>
        <v/>
      </c>
      <c r="B242" s="7">
        <f>IF(OR($F$233="",NOT(MAXIFS(SAISIE!$E$5:$E$204,SAISIE!$B$5:$B$204,"*Vent Arr./Av.*",SAISIE!$F$5:$F$204,$F$233)&gt;0)),"",IFERROR(INDEX(SAISIE!$C$5:$C$204,MATCH(MAXIFS(SAISIE!$E$5:$E$204,SAISIE!$B$5:$B$204,"*Vent Arr./Av.*",SAISIE!$F$5:$F$204,$F$233),SAISIE!$E$5:$E$204,0)),"-"))</f>
        <v/>
      </c>
      <c r="C242" s="7">
        <f>IF(OR($F$233="",NOT(MAXIFS(SAISIE!$E$5:$E$204,SAISIE!$B$5:$B$204,"*Vent Arr./Av.*",SAISIE!$F$5:$F$204,$F$233)&gt;0)),"",IFERROR(INDEX(SAISIE!$D$5:$D$204,MATCH(MAXIFS(SAISIE!$E$5:$E$204,SAISIE!$B$5:$B$204,"*Vent Arr./Av.*",SAISIE!$F$5:$F$204,$F$233),SAISIE!$E$5:$E$204,0)),"-"))</f>
        <v/>
      </c>
      <c r="D242" s="7">
        <f>IF(OR($F$233="",NOT(MAXIFS(SAISIE!$E$5:$E$204,SAISIE!$B$5:$B$204,"*Vent Arr./Av.*",SAISIE!$F$5:$F$204,$F$233)&gt;0)),"",IFERROR(MAXIFS(SAISIE!$E$5:$E$204,SAISIE!$B$5:$B$204,"*Vent Arr./Av.*",SAISIE!$F$5:$F$204,$F$233),"-"))</f>
        <v/>
      </c>
      <c r="E242" s="7">
        <f>IF($F$233="","",IF(OR(D242="",D242="-"),"",IF(D242&gt;0,"(soulevement)",IF(D242&lt;0,"(compression)","-"))))</f>
        <v/>
      </c>
      <c r="I242" s="6">
        <f>IF(OR($M$233="",NOT(MAXIFS(SAISIE!$L$5:$L$204,SAISIE!$J$5:$J$204,"*Vent Arr./Av.*",SAISIE!$M$5:$M$204,$M$233)&gt;0)),"","Vent Arr./Av.")</f>
        <v/>
      </c>
      <c r="J242" s="7">
        <f>IF(OR($M$233="",NOT(MAXIFS(SAISIE!$L$5:$L$204,SAISIE!$J$5:$J$204,"*Vent Arr./Av.*",SAISIE!$M$5:$M$204,$M$233)&gt;0)),"",IFERROR(INDEX(SAISIE!$K$5:$K$204,MATCH(MAXIFS(SAISIE!$L$5:$L$204,SAISIE!$J$5:$J$204,"*Vent Arr./Av.*",SAISIE!$M$5:$M$204,$M$233),SAISIE!$L$5:$L$204,0)),"-"))</f>
        <v/>
      </c>
      <c r="K242" s="7">
        <f>IF(OR($M$233="",NOT(MAXIFS(SAISIE!$L$5:$L$204,SAISIE!$J$5:$J$204,"*Vent Arr./Av.*",SAISIE!$M$5:$M$204,$M$233)&gt;0)),"",IFERROR(MAXIFS(SAISIE!$L$5:$L$204,SAISIE!$J$5:$J$204,"*Vent Arr./Av.*",SAISIE!$M$5:$M$204,$M$233),"-"))</f>
        <v/>
      </c>
      <c r="L242" s="7">
        <f>IF($M$233="","",IF(OR(K242="",K242="-"),"",IF(K242&gt;0,"(soulevement)",IF(K242&lt;0,"(compression)","-"))))</f>
        <v/>
      </c>
    </row>
    <row r="243">
      <c r="A243" s="6">
        <f>IF(OR($F$233="",NOT(TRUE)),"","Neige normale")</f>
        <v/>
      </c>
      <c r="B243" s="7">
        <f>IF($F$233="","",IFERROR(INDEX(SAISIE!$C$5:$C$204,MATCH(MINIFS(SAISIE!$E$5:$E$204,SAISIE!$B$5:$B$204,"*Neige*",SAISIE!$B$5:$B$204,"&lt;&gt;*accidentel*",SAISIE!$F$5:$F$204,$F$233),SAISIE!$E$5:$E$204,0)),"-"))</f>
        <v/>
      </c>
      <c r="C243" s="7">
        <f>IF($F$233="","",IFERROR(INDEX(SAISIE!$D$5:$D$204,MATCH(MINIFS(SAISIE!$E$5:$E$204,SAISIE!$B$5:$B$204,"*Neige*",SAISIE!$B$5:$B$204,"&lt;&gt;*accidentel*",SAISIE!$F$5:$F$204,$F$233),SAISIE!$E$5:$E$204,0)),"-"))</f>
        <v/>
      </c>
      <c r="D243" s="7">
        <f>IF($F$233="","",IFERROR(INDEX(SAISIE!$E$5:$E$204,MATCH(MINIFS(SAISIE!$E$5:$E$204,SAISIE!$B$5:$B$204,"*Neige*",SAISIE!$B$5:$B$204,"&lt;&gt;*accidentel*",SAISIE!$F$5:$F$204,$F$233),SAISIE!$E$5:$E$204,0)),"-"))</f>
        <v/>
      </c>
      <c r="E243" s="7">
        <f>IF($F$233="","",IF(OR(D243="",D243="-"),"",IF(D243&gt;0,"(soulevement)",IF(D243&lt;0,"(compression)","-"))))</f>
        <v/>
      </c>
      <c r="I243" s="6">
        <f>IF(OR($M$233="",NOT(TRUE)),"","Neige normale")</f>
        <v/>
      </c>
      <c r="J243" s="7">
        <f>IF($M$233="","",IFERROR(INDEX(SAISIE!$K$5:$K$204,MATCH(MINIFS(SAISIE!$L$5:$L$204,SAISIE!$J$5:$J$204,"*Neige*",SAISIE!$J$5:$J$204,"&lt;&gt;*accidentel*",SAISIE!$M$5:$M$204,$M$233),SAISIE!$L$5:$L$204,0)),"-"))</f>
        <v/>
      </c>
      <c r="K243" s="7">
        <f>IF($M$233="","",IFERROR(INDEX(SAISIE!$L$5:$L$204,MATCH(MINIFS(SAISIE!$L$5:$L$204,SAISIE!$J$5:$J$204,"*Neige*",SAISIE!$J$5:$J$204,"&lt;&gt;*accidentel*",SAISIE!$M$5:$M$204,$M$233),SAISIE!$L$5:$L$204,0)),"-"))</f>
        <v/>
      </c>
      <c r="L243" s="7">
        <f>IF($M$233="","",IF(OR(K243="",K243="-"),"",IF(K243&gt;0,"(soulevement)",IF(K243&lt;0,"(compression)","-"))))</f>
        <v/>
      </c>
    </row>
    <row r="244">
      <c r="A244" s="6">
        <f>IF(OR($F$233="",NOT(TRUE)),"","Neige accidentelle")</f>
        <v/>
      </c>
      <c r="B244" s="7">
        <f>IF($F$233="","",IFERROR(LOOKUP(2,1/((SAISIE!$F$5:$F$204=$F$233)*(ISNUMBER(SEARCH("accidentel",SAISIE!$B$5:$B$204)))),SAISIE!$C$5:$C$204),"-"))</f>
        <v/>
      </c>
      <c r="C244" s="7">
        <f>IF($F$233="","",IFERROR(LOOKUP(2,1/((SAISIE!$F$5:$F$204=$F$233)*(ISNUMBER(SEARCH("accidentel",SAISIE!$B$5:$B$204)))),SAISIE!$D$5:$D$204),"-"))</f>
        <v/>
      </c>
      <c r="D244" s="7">
        <f>IF($F$233="","",IFERROR(LOOKUP(2,1/((SAISIE!$F$5:$F$204=$F$233)*(ISNUMBER(SEARCH("accidentel",SAISIE!$B$5:$B$204)))),SAISIE!$E$5:$E$204),"-"))</f>
        <v/>
      </c>
      <c r="E244" s="7">
        <f>IF($F$233="","",IF(OR(D244="",D244="-"),"",IF(D244&gt;0,"(soulevement)",IF(D244&lt;0,"(compression)","-"))))</f>
        <v/>
      </c>
      <c r="I244" s="6">
        <f>IF(OR($M$233="",NOT(TRUE)),"","Neige accidentelle")</f>
        <v/>
      </c>
      <c r="J244" s="7">
        <f>IF($M$233="","",IFERROR(LOOKUP(2,1/((SAISIE!$M$5:$M$204=$M$233)*(ISNUMBER(SEARCH("accidentel",SAISIE!$J$5:$J$204)))),SAISIE!$K$5:$K$204),"-"))</f>
        <v/>
      </c>
      <c r="K244" s="7">
        <f>IF($M$233="","",IFERROR(LOOKUP(2,1/((SAISIE!$M$5:$M$204=$M$233)*(ISNUMBER(SEARCH("accidentel",SAISIE!$J$5:$J$204)))),SAISIE!$L$5:$L$204),"-"))</f>
        <v/>
      </c>
      <c r="L244" s="7">
        <f>IF($M$233="","",IF(OR(K244="",K244="-"),"",IF(K244&gt;0,"(soulevement)",IF(K244&lt;0,"(compression)","-"))))</f>
        <v/>
      </c>
    </row>
  </sheetData>
  <mergeCells count="44">
    <mergeCell ref="A77:E77"/>
    <mergeCell ref="I17:L17"/>
    <mergeCell ref="I29:L29"/>
    <mergeCell ref="A197:E197"/>
    <mergeCell ref="I137:L137"/>
    <mergeCell ref="A65:E65"/>
    <mergeCell ref="I149:L149"/>
    <mergeCell ref="A221:E221"/>
    <mergeCell ref="I65:L65"/>
    <mergeCell ref="I173:L173"/>
    <mergeCell ref="A41:E41"/>
    <mergeCell ref="A137:E137"/>
    <mergeCell ref="I77:L77"/>
    <mergeCell ref="A89:E89"/>
    <mergeCell ref="A149:E149"/>
    <mergeCell ref="A233:E233"/>
    <mergeCell ref="I89:L89"/>
    <mergeCell ref="A3:E3"/>
    <mergeCell ref="A1:M1"/>
    <mergeCell ref="A101:E101"/>
    <mergeCell ref="A113:E113"/>
    <mergeCell ref="I101:L101"/>
    <mergeCell ref="I197:L197"/>
    <mergeCell ref="I113:L113"/>
    <mergeCell ref="A185:E185"/>
    <mergeCell ref="A5:E5"/>
    <mergeCell ref="I233:L233"/>
    <mergeCell ref="I125:L125"/>
    <mergeCell ref="I209:L209"/>
    <mergeCell ref="I185:L185"/>
    <mergeCell ref="I41:L41"/>
    <mergeCell ref="A2:M2"/>
    <mergeCell ref="A17:E17"/>
    <mergeCell ref="I221:L221"/>
    <mergeCell ref="A53:E53"/>
    <mergeCell ref="A29:E29"/>
    <mergeCell ref="A125:E125"/>
    <mergeCell ref="A209:E209"/>
    <mergeCell ref="I53:L53"/>
    <mergeCell ref="I3:L3"/>
    <mergeCell ref="A161:E161"/>
    <mergeCell ref="I161:L161"/>
    <mergeCell ref="A173:E173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2026-06-18T15:47:20Z</dcterms:created>
  <dcterms:modified xsi:type="dcterms:W3CDTF">2026-06-18T15:47:20Z</dcterms:modified>
</cp:coreProperties>
</file>