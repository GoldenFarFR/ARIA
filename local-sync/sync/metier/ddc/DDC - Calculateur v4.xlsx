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lvain Rio\Downloads\"/>
    </mc:Choice>
  </mc:AlternateContent>
  <xr:revisionPtr revIDLastSave="0" documentId="13_ncr:1_{18BA7ACE-D27B-470C-BD7F-1D6E18CB17DA}" xr6:coauthVersionLast="47" xr6:coauthVersionMax="47" xr10:uidLastSave="{00000000-0000-0000-0000-000000000000}"/>
  <bookViews>
    <workbookView xWindow="28680" yWindow="-120" windowWidth="57840" windowHeight="16440" xr2:uid="{00000000-000D-0000-FFFF-FFFF00000000}"/>
  </bookViews>
  <sheets>
    <sheet name="MODE EMPLOI" sheetId="1" r:id="rId1"/>
    <sheet name="SAISIE" sheetId="2" r:id="rId2"/>
    <sheet name="SYNTHE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9" i="2" l="1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G7" i="3" l="1"/>
  <c r="H251" i="3"/>
  <c r="G19" i="3"/>
  <c r="A7" i="3"/>
  <c r="A251" i="3"/>
  <c r="A8" i="3" l="1"/>
  <c r="C8" i="3"/>
  <c r="E8" i="3"/>
  <c r="A9" i="3"/>
  <c r="D9" i="3"/>
  <c r="A10" i="3"/>
  <c r="C10" i="3"/>
  <c r="D10" i="3"/>
  <c r="B11" i="3"/>
  <c r="B8" i="3"/>
  <c r="C9" i="3"/>
  <c r="B10" i="3"/>
  <c r="E10" i="3"/>
  <c r="A11" i="3"/>
  <c r="C11" i="3"/>
  <c r="A12" i="3"/>
  <c r="B12" i="3"/>
  <c r="D12" i="3"/>
  <c r="A13" i="3"/>
  <c r="C13" i="3"/>
  <c r="A14" i="3"/>
  <c r="B14" i="3"/>
  <c r="D14" i="3"/>
  <c r="A15" i="3"/>
  <c r="C15" i="3"/>
  <c r="B16" i="3"/>
  <c r="D16" i="3"/>
  <c r="A17" i="3"/>
  <c r="B17" i="3"/>
  <c r="D17" i="3"/>
  <c r="A18" i="3"/>
  <c r="C18" i="3"/>
  <c r="D18" i="3"/>
  <c r="D8" i="3"/>
  <c r="B9" i="3"/>
  <c r="E9" i="3"/>
  <c r="D11" i="3"/>
  <c r="C12" i="3"/>
  <c r="E12" i="3"/>
  <c r="B13" i="3"/>
  <c r="D13" i="3"/>
  <c r="C14" i="3"/>
  <c r="E14" i="3"/>
  <c r="B15" i="3"/>
  <c r="D15" i="3"/>
  <c r="A16" i="3"/>
  <c r="C16" i="3"/>
  <c r="E16" i="3"/>
  <c r="C17" i="3"/>
  <c r="E17" i="3"/>
  <c r="B18" i="3"/>
  <c r="B252" i="3"/>
  <c r="A253" i="3"/>
  <c r="C253" i="3"/>
  <c r="C254" i="3"/>
  <c r="D255" i="3"/>
  <c r="C256" i="3"/>
  <c r="A257" i="3"/>
  <c r="C257" i="3"/>
  <c r="A258" i="3"/>
  <c r="C258" i="3"/>
  <c r="B259" i="3"/>
  <c r="D259" i="3"/>
  <c r="B260" i="3"/>
  <c r="D260" i="3"/>
  <c r="C261" i="3"/>
  <c r="A262" i="3"/>
  <c r="B262" i="3"/>
  <c r="C262" i="3"/>
  <c r="D262" i="3"/>
  <c r="C252" i="3"/>
  <c r="B253" i="3"/>
  <c r="A254" i="3"/>
  <c r="D254" i="3"/>
  <c r="A252" i="3"/>
  <c r="D252" i="3"/>
  <c r="D253" i="3"/>
  <c r="B254" i="3"/>
  <c r="A255" i="3"/>
  <c r="B255" i="3"/>
  <c r="C255" i="3"/>
  <c r="A256" i="3"/>
  <c r="B256" i="3"/>
  <c r="D256" i="3"/>
  <c r="B257" i="3"/>
  <c r="D257" i="3"/>
  <c r="B258" i="3"/>
  <c r="D258" i="3"/>
  <c r="A259" i="3"/>
  <c r="C259" i="3"/>
  <c r="A260" i="3"/>
  <c r="C260" i="3"/>
  <c r="A261" i="3"/>
  <c r="B261" i="3"/>
  <c r="D261" i="3"/>
  <c r="C20" i="3"/>
  <c r="E20" i="3"/>
  <c r="C21" i="3"/>
  <c r="E21" i="3"/>
  <c r="A22" i="3"/>
  <c r="D22" i="3"/>
  <c r="B23" i="3"/>
  <c r="E23" i="3"/>
  <c r="B24" i="3"/>
  <c r="E24" i="3"/>
  <c r="B25" i="3"/>
  <c r="E25" i="3"/>
  <c r="B26" i="3"/>
  <c r="D26" i="3"/>
  <c r="E26" i="3"/>
  <c r="B27" i="3"/>
  <c r="C27" i="3"/>
  <c r="D27" i="3"/>
  <c r="E27" i="3"/>
  <c r="A28" i="3"/>
  <c r="B28" i="3"/>
  <c r="E28" i="3"/>
  <c r="B29" i="3"/>
  <c r="E29" i="3"/>
  <c r="A30" i="3"/>
  <c r="C30" i="3"/>
  <c r="E30" i="3"/>
  <c r="A20" i="3"/>
  <c r="A21" i="3"/>
  <c r="D21" i="3"/>
  <c r="C22" i="3"/>
  <c r="A23" i="3"/>
  <c r="D23" i="3"/>
  <c r="C24" i="3"/>
  <c r="C25" i="3"/>
  <c r="B20" i="3"/>
  <c r="D20" i="3"/>
  <c r="B21" i="3"/>
  <c r="B22" i="3"/>
  <c r="E22" i="3"/>
  <c r="C23" i="3"/>
  <c r="A24" i="3"/>
  <c r="D24" i="3"/>
  <c r="A25" i="3"/>
  <c r="D25" i="3"/>
  <c r="A26" i="3"/>
  <c r="C26" i="3"/>
  <c r="A27" i="3"/>
  <c r="C28" i="3"/>
  <c r="D28" i="3"/>
  <c r="A29" i="3"/>
  <c r="C29" i="3"/>
  <c r="D29" i="3"/>
  <c r="B30" i="3"/>
  <c r="D30" i="3"/>
  <c r="H263" i="3"/>
  <c r="A19" i="3"/>
  <c r="G31" i="3"/>
  <c r="A263" i="3"/>
  <c r="D274" i="3" l="1"/>
  <c r="B274" i="3"/>
  <c r="C273" i="3"/>
  <c r="A273" i="3"/>
  <c r="A272" i="3"/>
  <c r="C271" i="3"/>
  <c r="B271" i="3"/>
  <c r="C270" i="3"/>
  <c r="A268" i="3"/>
  <c r="C267" i="3"/>
  <c r="C266" i="3"/>
  <c r="D265" i="3"/>
  <c r="A265" i="3"/>
  <c r="A264" i="3"/>
  <c r="C274" i="3"/>
  <c r="A274" i="3"/>
  <c r="D273" i="3"/>
  <c r="B273" i="3"/>
  <c r="D272" i="3"/>
  <c r="C272" i="3"/>
  <c r="B272" i="3"/>
  <c r="D271" i="3"/>
  <c r="A271" i="3"/>
  <c r="D270" i="3"/>
  <c r="B270" i="3"/>
  <c r="A270" i="3"/>
  <c r="D269" i="3"/>
  <c r="C269" i="3"/>
  <c r="B269" i="3"/>
  <c r="A269" i="3"/>
  <c r="D268" i="3"/>
  <c r="C268" i="3"/>
  <c r="B268" i="3"/>
  <c r="D267" i="3"/>
  <c r="B267" i="3"/>
  <c r="A267" i="3"/>
  <c r="D266" i="3"/>
  <c r="A266" i="3"/>
  <c r="C265" i="3"/>
  <c r="D264" i="3"/>
  <c r="B264" i="3"/>
  <c r="B266" i="3"/>
  <c r="B265" i="3"/>
  <c r="C264" i="3"/>
  <c r="A31" i="3"/>
  <c r="E42" i="3"/>
  <c r="C42" i="3"/>
  <c r="E41" i="3"/>
  <c r="D41" i="3"/>
  <c r="B41" i="3"/>
  <c r="D40" i="3"/>
  <c r="C40" i="3"/>
  <c r="E39" i="3"/>
  <c r="C39" i="3"/>
  <c r="A39" i="3"/>
  <c r="E38" i="3"/>
  <c r="C38" i="3"/>
  <c r="D33" i="3"/>
  <c r="E32" i="3"/>
  <c r="A32" i="3"/>
  <c r="D42" i="3"/>
  <c r="B42" i="3"/>
  <c r="A42" i="3"/>
  <c r="C41" i="3"/>
  <c r="A41" i="3"/>
  <c r="E40" i="3"/>
  <c r="B40" i="3"/>
  <c r="A40" i="3"/>
  <c r="D39" i="3"/>
  <c r="B39" i="3"/>
  <c r="D38" i="3"/>
  <c r="B38" i="3"/>
  <c r="A38" i="3"/>
  <c r="E37" i="3"/>
  <c r="D37" i="3"/>
  <c r="C37" i="3"/>
  <c r="B37" i="3"/>
  <c r="A37" i="3"/>
  <c r="E36" i="3"/>
  <c r="D36" i="3"/>
  <c r="C36" i="3"/>
  <c r="B36" i="3"/>
  <c r="A36" i="3"/>
  <c r="D35" i="3"/>
  <c r="C35" i="3"/>
  <c r="A35" i="3"/>
  <c r="E34" i="3"/>
  <c r="C34" i="3"/>
  <c r="A34" i="3"/>
  <c r="E33" i="3"/>
  <c r="B33" i="3"/>
  <c r="D32" i="3"/>
  <c r="B32" i="3"/>
  <c r="E35" i="3"/>
  <c r="B35" i="3"/>
  <c r="D34" i="3"/>
  <c r="B34" i="3"/>
  <c r="C33" i="3"/>
  <c r="A33" i="3"/>
  <c r="C32" i="3"/>
  <c r="E13" i="3"/>
  <c r="E15" i="3"/>
  <c r="E18" i="3"/>
  <c r="H275" i="3"/>
  <c r="H287" i="3"/>
  <c r="G43" i="3"/>
  <c r="E11" i="3"/>
  <c r="A275" i="3"/>
  <c r="C277" i="3" l="1"/>
  <c r="B278" i="3"/>
  <c r="D278" i="3"/>
  <c r="B279" i="3"/>
  <c r="D279" i="3"/>
  <c r="D280" i="3"/>
  <c r="D282" i="3"/>
  <c r="C283" i="3"/>
  <c r="B284" i="3"/>
  <c r="A285" i="3"/>
  <c r="A286" i="3"/>
  <c r="C286" i="3"/>
  <c r="A276" i="3"/>
  <c r="D276" i="3"/>
  <c r="B277" i="3"/>
  <c r="D277" i="3"/>
  <c r="C278" i="3"/>
  <c r="A279" i="3"/>
  <c r="A280" i="3"/>
  <c r="C280" i="3"/>
  <c r="A281" i="3"/>
  <c r="C281" i="3"/>
  <c r="A282" i="3"/>
  <c r="C282" i="3"/>
  <c r="A283" i="3"/>
  <c r="A284" i="3"/>
  <c r="C284" i="3"/>
  <c r="B285" i="3"/>
  <c r="D285" i="3"/>
  <c r="D286" i="3"/>
  <c r="B276" i="3"/>
  <c r="C276" i="3"/>
  <c r="A277" i="3"/>
  <c r="A278" i="3"/>
  <c r="C279" i="3"/>
  <c r="B280" i="3"/>
  <c r="B281" i="3"/>
  <c r="D281" i="3"/>
  <c r="B282" i="3"/>
  <c r="B283" i="3"/>
  <c r="D283" i="3"/>
  <c r="D284" i="3"/>
  <c r="C285" i="3"/>
  <c r="B286" i="3"/>
  <c r="H299" i="3"/>
  <c r="B288" i="3"/>
  <c r="C288" i="3"/>
  <c r="D288" i="3"/>
  <c r="A289" i="3"/>
  <c r="B289" i="3"/>
  <c r="C289" i="3"/>
  <c r="D289" i="3"/>
  <c r="A290" i="3"/>
  <c r="B290" i="3"/>
  <c r="C290" i="3"/>
  <c r="D290" i="3"/>
  <c r="A291" i="3"/>
  <c r="B291" i="3"/>
  <c r="C291" i="3"/>
  <c r="D291" i="3"/>
  <c r="B292" i="3"/>
  <c r="D292" i="3"/>
  <c r="A293" i="3"/>
  <c r="B293" i="3"/>
  <c r="D293" i="3"/>
  <c r="A294" i="3"/>
  <c r="B294" i="3"/>
  <c r="C294" i="3"/>
  <c r="D294" i="3"/>
  <c r="A295" i="3"/>
  <c r="B295" i="3"/>
  <c r="C295" i="3"/>
  <c r="D295" i="3"/>
  <c r="A296" i="3"/>
  <c r="B296" i="3"/>
  <c r="C296" i="3"/>
  <c r="D296" i="3"/>
  <c r="A297" i="3"/>
  <c r="B297" i="3"/>
  <c r="C297" i="3"/>
  <c r="D297" i="3"/>
  <c r="A298" i="3"/>
  <c r="B298" i="3"/>
  <c r="C298" i="3"/>
  <c r="D298" i="3"/>
  <c r="A288" i="3"/>
  <c r="A292" i="3"/>
  <c r="C292" i="3"/>
  <c r="C293" i="3"/>
  <c r="A43" i="3"/>
  <c r="A44" i="3"/>
  <c r="D44" i="3"/>
  <c r="B45" i="3"/>
  <c r="E45" i="3"/>
  <c r="C46" i="3"/>
  <c r="E46" i="3"/>
  <c r="B47" i="3"/>
  <c r="C47" i="3"/>
  <c r="B48" i="3"/>
  <c r="A50" i="3"/>
  <c r="D50" i="3"/>
  <c r="C51" i="3"/>
  <c r="B44" i="3"/>
  <c r="C44" i="3"/>
  <c r="A45" i="3"/>
  <c r="D45" i="3"/>
  <c r="A46" i="3"/>
  <c r="D46" i="3"/>
  <c r="D47" i="3"/>
  <c r="A48" i="3"/>
  <c r="D48" i="3"/>
  <c r="B49" i="3"/>
  <c r="D49" i="3"/>
  <c r="B50" i="3"/>
  <c r="E50" i="3"/>
  <c r="A51" i="3"/>
  <c r="D51" i="3"/>
  <c r="A52" i="3"/>
  <c r="C52" i="3"/>
  <c r="E52" i="3"/>
  <c r="B53" i="3"/>
  <c r="E53" i="3"/>
  <c r="C54" i="3"/>
  <c r="D54" i="3"/>
  <c r="E44" i="3"/>
  <c r="C45" i="3"/>
  <c r="B46" i="3"/>
  <c r="A47" i="3"/>
  <c r="E47" i="3"/>
  <c r="C48" i="3"/>
  <c r="E48" i="3"/>
  <c r="A49" i="3"/>
  <c r="C49" i="3"/>
  <c r="E49" i="3"/>
  <c r="C50" i="3"/>
  <c r="B51" i="3"/>
  <c r="E51" i="3"/>
  <c r="B52" i="3"/>
  <c r="D52" i="3"/>
  <c r="A53" i="3"/>
  <c r="C53" i="3"/>
  <c r="D53" i="3"/>
  <c r="A54" i="3"/>
  <c r="B54" i="3"/>
  <c r="E54" i="3"/>
  <c r="G55" i="3"/>
  <c r="A287" i="3"/>
  <c r="A300" i="3" l="1"/>
  <c r="B300" i="3"/>
  <c r="C300" i="3"/>
  <c r="D300" i="3"/>
  <c r="A301" i="3"/>
  <c r="B301" i="3"/>
  <c r="C301" i="3"/>
  <c r="D301" i="3"/>
  <c r="A302" i="3"/>
  <c r="B302" i="3"/>
  <c r="C302" i="3"/>
  <c r="D302" i="3"/>
  <c r="A303" i="3"/>
  <c r="B303" i="3"/>
  <c r="C303" i="3"/>
  <c r="D303" i="3"/>
  <c r="A304" i="3"/>
  <c r="B304" i="3"/>
  <c r="C304" i="3"/>
  <c r="D304" i="3"/>
  <c r="A305" i="3"/>
  <c r="B305" i="3"/>
  <c r="C305" i="3"/>
  <c r="D305" i="3"/>
  <c r="A306" i="3"/>
  <c r="B306" i="3"/>
  <c r="C306" i="3"/>
  <c r="A307" i="3"/>
  <c r="C307" i="3"/>
  <c r="A308" i="3"/>
  <c r="C308" i="3"/>
  <c r="B309" i="3"/>
  <c r="D309" i="3"/>
  <c r="B310" i="3"/>
  <c r="C310" i="3"/>
  <c r="D306" i="3"/>
  <c r="B307" i="3"/>
  <c r="D307" i="3"/>
  <c r="B308" i="3"/>
  <c r="D308" i="3"/>
  <c r="A309" i="3"/>
  <c r="C309" i="3"/>
  <c r="A310" i="3"/>
  <c r="D310" i="3"/>
  <c r="A55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D61" i="3"/>
  <c r="C61" i="3"/>
  <c r="A61" i="3"/>
  <c r="C60" i="3"/>
  <c r="A60" i="3"/>
  <c r="C59" i="3"/>
  <c r="E58" i="3"/>
  <c r="A58" i="3"/>
  <c r="C57" i="3"/>
  <c r="E56" i="3"/>
  <c r="B56" i="3"/>
  <c r="A56" i="3"/>
  <c r="E61" i="3"/>
  <c r="B61" i="3"/>
  <c r="E60" i="3"/>
  <c r="B60" i="3"/>
  <c r="D59" i="3"/>
  <c r="B59" i="3"/>
  <c r="C58" i="3"/>
  <c r="D57" i="3"/>
  <c r="B57" i="3"/>
  <c r="C56" i="3"/>
  <c r="D60" i="3"/>
  <c r="E59" i="3"/>
  <c r="A59" i="3"/>
  <c r="D58" i="3"/>
  <c r="B58" i="3"/>
  <c r="E57" i="3"/>
  <c r="A57" i="3"/>
  <c r="D56" i="3"/>
  <c r="H311" i="3"/>
  <c r="G67" i="3"/>
  <c r="A299" i="3"/>
  <c r="C322" i="3" l="1"/>
  <c r="B322" i="3"/>
  <c r="D321" i="3"/>
  <c r="C321" i="3"/>
  <c r="A321" i="3"/>
  <c r="D320" i="3"/>
  <c r="B320" i="3"/>
  <c r="D319" i="3"/>
  <c r="B319" i="3"/>
  <c r="A319" i="3"/>
  <c r="C318" i="3"/>
  <c r="A318" i="3"/>
  <c r="C317" i="3"/>
  <c r="A317" i="3"/>
  <c r="C316" i="3"/>
  <c r="A316" i="3"/>
  <c r="B315" i="3"/>
  <c r="D314" i="3"/>
  <c r="B314" i="3"/>
  <c r="D313" i="3"/>
  <c r="C313" i="3"/>
  <c r="A313" i="3"/>
  <c r="D322" i="3"/>
  <c r="A322" i="3"/>
  <c r="B321" i="3"/>
  <c r="C320" i="3"/>
  <c r="A320" i="3"/>
  <c r="C319" i="3"/>
  <c r="D318" i="3"/>
  <c r="B318" i="3"/>
  <c r="D317" i="3"/>
  <c r="B317" i="3"/>
  <c r="D316" i="3"/>
  <c r="B316" i="3"/>
  <c r="D315" i="3"/>
  <c r="C315" i="3"/>
  <c r="A315" i="3"/>
  <c r="C314" i="3"/>
  <c r="A314" i="3"/>
  <c r="B313" i="3"/>
  <c r="D312" i="3"/>
  <c r="B312" i="3"/>
  <c r="A312" i="3"/>
  <c r="C312" i="3"/>
  <c r="H323" i="3"/>
  <c r="G79" i="3"/>
  <c r="A68" i="3"/>
  <c r="C68" i="3"/>
  <c r="E68" i="3"/>
  <c r="A69" i="3"/>
  <c r="C69" i="3"/>
  <c r="E69" i="3"/>
  <c r="A70" i="3"/>
  <c r="C70" i="3"/>
  <c r="E70" i="3"/>
  <c r="C71" i="3"/>
  <c r="E71" i="3"/>
  <c r="A72" i="3"/>
  <c r="B72" i="3"/>
  <c r="C72" i="3"/>
  <c r="B73" i="3"/>
  <c r="D73" i="3"/>
  <c r="A74" i="3"/>
  <c r="C74" i="3"/>
  <c r="E74" i="3"/>
  <c r="B75" i="3"/>
  <c r="D75" i="3"/>
  <c r="A76" i="3"/>
  <c r="B76" i="3"/>
  <c r="E76" i="3"/>
  <c r="A77" i="3"/>
  <c r="B77" i="3"/>
  <c r="D77" i="3"/>
  <c r="A78" i="3"/>
  <c r="C78" i="3"/>
  <c r="D78" i="3"/>
  <c r="B68" i="3"/>
  <c r="D68" i="3"/>
  <c r="B69" i="3"/>
  <c r="D69" i="3"/>
  <c r="B70" i="3"/>
  <c r="D70" i="3"/>
  <c r="A71" i="3"/>
  <c r="B71" i="3"/>
  <c r="D71" i="3"/>
  <c r="D72" i="3"/>
  <c r="E73" i="3"/>
  <c r="E72" i="3"/>
  <c r="A73" i="3"/>
  <c r="C73" i="3"/>
  <c r="B74" i="3"/>
  <c r="D74" i="3"/>
  <c r="A75" i="3"/>
  <c r="C75" i="3"/>
  <c r="E75" i="3"/>
  <c r="C76" i="3"/>
  <c r="D76" i="3"/>
  <c r="C77" i="3"/>
  <c r="E77" i="3"/>
  <c r="B78" i="3"/>
  <c r="E78" i="3"/>
  <c r="A67" i="3"/>
  <c r="A311" i="3"/>
  <c r="H335" i="3" l="1"/>
  <c r="B324" i="3"/>
  <c r="D324" i="3"/>
  <c r="C325" i="3"/>
  <c r="D325" i="3"/>
  <c r="A326" i="3"/>
  <c r="D326" i="3"/>
  <c r="B327" i="3"/>
  <c r="D327" i="3"/>
  <c r="B328" i="3"/>
  <c r="C328" i="3"/>
  <c r="D328" i="3"/>
  <c r="B329" i="3"/>
  <c r="B330" i="3"/>
  <c r="D330" i="3"/>
  <c r="B331" i="3"/>
  <c r="D331" i="3"/>
  <c r="D332" i="3"/>
  <c r="A333" i="3"/>
  <c r="C333" i="3"/>
  <c r="B334" i="3"/>
  <c r="D334" i="3"/>
  <c r="C324" i="3"/>
  <c r="A325" i="3"/>
  <c r="B325" i="3"/>
  <c r="B326" i="3"/>
  <c r="C326" i="3"/>
  <c r="A327" i="3"/>
  <c r="C327" i="3"/>
  <c r="A328" i="3"/>
  <c r="A329" i="3"/>
  <c r="C329" i="3"/>
  <c r="D329" i="3"/>
  <c r="A330" i="3"/>
  <c r="C330" i="3"/>
  <c r="A331" i="3"/>
  <c r="C331" i="3"/>
  <c r="A332" i="3"/>
  <c r="B332" i="3"/>
  <c r="C332" i="3"/>
  <c r="B333" i="3"/>
  <c r="D333" i="3"/>
  <c r="A334" i="3"/>
  <c r="C334" i="3"/>
  <c r="A324" i="3"/>
  <c r="G91" i="3"/>
  <c r="A79" i="3"/>
  <c r="D80" i="3"/>
  <c r="B81" i="3"/>
  <c r="D81" i="3"/>
  <c r="A82" i="3"/>
  <c r="C82" i="3"/>
  <c r="D82" i="3"/>
  <c r="A83" i="3"/>
  <c r="C83" i="3"/>
  <c r="A84" i="3"/>
  <c r="D84" i="3"/>
  <c r="A85" i="3"/>
  <c r="D85" i="3"/>
  <c r="E85" i="3"/>
  <c r="A86" i="3"/>
  <c r="B86" i="3"/>
  <c r="D86" i="3"/>
  <c r="A87" i="3"/>
  <c r="C87" i="3"/>
  <c r="A88" i="3"/>
  <c r="B80" i="3"/>
  <c r="E80" i="3"/>
  <c r="C81" i="3"/>
  <c r="E81" i="3"/>
  <c r="E82" i="3"/>
  <c r="E83" i="3"/>
  <c r="C84" i="3"/>
  <c r="A80" i="3"/>
  <c r="C80" i="3"/>
  <c r="A81" i="3"/>
  <c r="B82" i="3"/>
  <c r="B83" i="3"/>
  <c r="D83" i="3"/>
  <c r="B84" i="3"/>
  <c r="E84" i="3"/>
  <c r="B85" i="3"/>
  <c r="C85" i="3"/>
  <c r="C86" i="3"/>
  <c r="E86" i="3"/>
  <c r="B87" i="3"/>
  <c r="D87" i="3"/>
  <c r="E87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323" i="3"/>
  <c r="H347" i="3" l="1"/>
  <c r="A336" i="3"/>
  <c r="A338" i="3"/>
  <c r="C339" i="3"/>
  <c r="C340" i="3"/>
  <c r="D341" i="3"/>
  <c r="B343" i="3"/>
  <c r="C343" i="3"/>
  <c r="A344" i="3"/>
  <c r="C344" i="3"/>
  <c r="D344" i="3"/>
  <c r="A345" i="3"/>
  <c r="B345" i="3"/>
  <c r="D345" i="3"/>
  <c r="B346" i="3"/>
  <c r="C346" i="3"/>
  <c r="B336" i="3"/>
  <c r="D336" i="3"/>
  <c r="B337" i="3"/>
  <c r="D337" i="3"/>
  <c r="B338" i="3"/>
  <c r="D338" i="3"/>
  <c r="B339" i="3"/>
  <c r="D339" i="3"/>
  <c r="B340" i="3"/>
  <c r="D340" i="3"/>
  <c r="A341" i="3"/>
  <c r="C341" i="3"/>
  <c r="A342" i="3"/>
  <c r="C342" i="3"/>
  <c r="D342" i="3"/>
  <c r="A343" i="3"/>
  <c r="D343" i="3"/>
  <c r="B344" i="3"/>
  <c r="C345" i="3"/>
  <c r="A346" i="3"/>
  <c r="D346" i="3"/>
  <c r="C336" i="3"/>
  <c r="A337" i="3"/>
  <c r="C337" i="3"/>
  <c r="C338" i="3"/>
  <c r="A339" i="3"/>
  <c r="A340" i="3"/>
  <c r="B341" i="3"/>
  <c r="B342" i="3"/>
  <c r="G103" i="3"/>
  <c r="A91" i="3"/>
  <c r="D92" i="3"/>
  <c r="A93" i="3"/>
  <c r="E93" i="3"/>
  <c r="D94" i="3"/>
  <c r="A95" i="3"/>
  <c r="D95" i="3"/>
  <c r="B96" i="3"/>
  <c r="E96" i="3"/>
  <c r="A97" i="3"/>
  <c r="C97" i="3"/>
  <c r="E97" i="3"/>
  <c r="A98" i="3"/>
  <c r="C98" i="3"/>
  <c r="E98" i="3"/>
  <c r="B99" i="3"/>
  <c r="D99" i="3"/>
  <c r="B100" i="3"/>
  <c r="D100" i="3"/>
  <c r="A101" i="3"/>
  <c r="C101" i="3"/>
  <c r="E101" i="3"/>
  <c r="B102" i="3"/>
  <c r="E102" i="3"/>
  <c r="B92" i="3"/>
  <c r="E92" i="3"/>
  <c r="C93" i="3"/>
  <c r="B94" i="3"/>
  <c r="E94" i="3"/>
  <c r="C95" i="3"/>
  <c r="D96" i="3"/>
  <c r="A92" i="3"/>
  <c r="C92" i="3"/>
  <c r="B93" i="3"/>
  <c r="D93" i="3"/>
  <c r="A94" i="3"/>
  <c r="C94" i="3"/>
  <c r="B95" i="3"/>
  <c r="E95" i="3"/>
  <c r="A96" i="3"/>
  <c r="C96" i="3"/>
  <c r="B97" i="3"/>
  <c r="D97" i="3"/>
  <c r="B98" i="3"/>
  <c r="D98" i="3"/>
  <c r="A99" i="3"/>
  <c r="C99" i="3"/>
  <c r="E99" i="3"/>
  <c r="A100" i="3"/>
  <c r="C100" i="3"/>
  <c r="E100" i="3"/>
  <c r="B101" i="3"/>
  <c r="D101" i="3"/>
  <c r="A102" i="3"/>
  <c r="C102" i="3"/>
  <c r="D102" i="3"/>
  <c r="A335" i="3"/>
  <c r="B348" i="3" l="1"/>
  <c r="A349" i="3"/>
  <c r="B351" i="3"/>
  <c r="C358" i="3"/>
  <c r="D358" i="3"/>
  <c r="A348" i="3"/>
  <c r="C348" i="3"/>
  <c r="B349" i="3"/>
  <c r="D349" i="3"/>
  <c r="B350" i="3"/>
  <c r="D350" i="3"/>
  <c r="A351" i="3"/>
  <c r="B353" i="3"/>
  <c r="D353" i="3"/>
  <c r="A354" i="3"/>
  <c r="D354" i="3"/>
  <c r="B355" i="3"/>
  <c r="D355" i="3"/>
  <c r="A356" i="3"/>
  <c r="B356" i="3"/>
  <c r="C356" i="3"/>
  <c r="A357" i="3"/>
  <c r="B357" i="3"/>
  <c r="C357" i="3"/>
  <c r="D357" i="3"/>
  <c r="A358" i="3"/>
  <c r="B358" i="3"/>
  <c r="D348" i="3"/>
  <c r="C349" i="3"/>
  <c r="A350" i="3"/>
  <c r="C350" i="3"/>
  <c r="C351" i="3"/>
  <c r="D351" i="3"/>
  <c r="A352" i="3"/>
  <c r="B352" i="3"/>
  <c r="C352" i="3"/>
  <c r="D352" i="3"/>
  <c r="A353" i="3"/>
  <c r="C353" i="3"/>
  <c r="B354" i="3"/>
  <c r="C354" i="3"/>
  <c r="A355" i="3"/>
  <c r="C355" i="3"/>
  <c r="D356" i="3"/>
  <c r="H359" i="3"/>
  <c r="G115" i="3"/>
  <c r="A103" i="3"/>
  <c r="C104" i="3"/>
  <c r="B105" i="3"/>
  <c r="D105" i="3"/>
  <c r="B106" i="3"/>
  <c r="E106" i="3"/>
  <c r="C107" i="3"/>
  <c r="A108" i="3"/>
  <c r="D108" i="3"/>
  <c r="C109" i="3"/>
  <c r="E110" i="3"/>
  <c r="B111" i="3"/>
  <c r="D111" i="3"/>
  <c r="A112" i="3"/>
  <c r="C112" i="3"/>
  <c r="E112" i="3"/>
  <c r="B113" i="3"/>
  <c r="D113" i="3"/>
  <c r="A114" i="3"/>
  <c r="C114" i="3"/>
  <c r="D114" i="3"/>
  <c r="A104" i="3"/>
  <c r="D104" i="3"/>
  <c r="A105" i="3"/>
  <c r="E105" i="3"/>
  <c r="C106" i="3"/>
  <c r="A107" i="3"/>
  <c r="D107" i="3"/>
  <c r="B108" i="3"/>
  <c r="A109" i="3"/>
  <c r="D109" i="3"/>
  <c r="A110" i="3"/>
  <c r="C110" i="3"/>
  <c r="B104" i="3"/>
  <c r="E104" i="3"/>
  <c r="C105" i="3"/>
  <c r="A106" i="3"/>
  <c r="D106" i="3"/>
  <c r="B107" i="3"/>
  <c r="E107" i="3"/>
  <c r="C108" i="3"/>
  <c r="E108" i="3"/>
  <c r="B109" i="3"/>
  <c r="E109" i="3"/>
  <c r="B110" i="3"/>
  <c r="D110" i="3"/>
  <c r="A111" i="3"/>
  <c r="C111" i="3"/>
  <c r="E111" i="3"/>
  <c r="B112" i="3"/>
  <c r="D112" i="3"/>
  <c r="A113" i="3"/>
  <c r="C113" i="3"/>
  <c r="E113" i="3"/>
  <c r="B114" i="3"/>
  <c r="E114" i="3"/>
  <c r="A347" i="3"/>
  <c r="H371" i="3" l="1"/>
  <c r="B360" i="3"/>
  <c r="C360" i="3"/>
  <c r="D360" i="3"/>
  <c r="A361" i="3"/>
  <c r="B361" i="3"/>
  <c r="C361" i="3"/>
  <c r="D361" i="3"/>
  <c r="A362" i="3"/>
  <c r="B362" i="3"/>
  <c r="C362" i="3"/>
  <c r="D362" i="3"/>
  <c r="B363" i="3"/>
  <c r="C364" i="3"/>
  <c r="A365" i="3"/>
  <c r="C365" i="3"/>
  <c r="B366" i="3"/>
  <c r="B367" i="3"/>
  <c r="D367" i="3"/>
  <c r="D368" i="3"/>
  <c r="A360" i="3"/>
  <c r="A363" i="3"/>
  <c r="C363" i="3"/>
  <c r="D363" i="3"/>
  <c r="A364" i="3"/>
  <c r="B364" i="3"/>
  <c r="D364" i="3"/>
  <c r="B365" i="3"/>
  <c r="D365" i="3"/>
  <c r="A366" i="3"/>
  <c r="C366" i="3"/>
  <c r="D366" i="3"/>
  <c r="A367" i="3"/>
  <c r="C367" i="3"/>
  <c r="A368" i="3"/>
  <c r="B368" i="3"/>
  <c r="C368" i="3"/>
  <c r="A369" i="3"/>
  <c r="B369" i="3"/>
  <c r="C369" i="3"/>
  <c r="D369" i="3"/>
  <c r="A370" i="3"/>
  <c r="B370" i="3"/>
  <c r="C370" i="3"/>
  <c r="D370" i="3"/>
  <c r="B116" i="3"/>
  <c r="D116" i="3"/>
  <c r="A117" i="3"/>
  <c r="D117" i="3"/>
  <c r="A118" i="3"/>
  <c r="B118" i="3"/>
  <c r="C118" i="3"/>
  <c r="E118" i="3"/>
  <c r="B119" i="3"/>
  <c r="D119" i="3"/>
  <c r="B120" i="3"/>
  <c r="D120" i="3"/>
  <c r="A121" i="3"/>
  <c r="C121" i="3"/>
  <c r="E121" i="3"/>
  <c r="B122" i="3"/>
  <c r="E122" i="3"/>
  <c r="A123" i="3"/>
  <c r="D123" i="3"/>
  <c r="A124" i="3"/>
  <c r="B124" i="3"/>
  <c r="D124" i="3"/>
  <c r="A125" i="3"/>
  <c r="C125" i="3"/>
  <c r="E125" i="3"/>
  <c r="C126" i="3"/>
  <c r="E126" i="3"/>
  <c r="C116" i="3"/>
  <c r="B117" i="3"/>
  <c r="E117" i="3"/>
  <c r="A119" i="3"/>
  <c r="C119" i="3"/>
  <c r="A120" i="3"/>
  <c r="C120" i="3"/>
  <c r="B121" i="3"/>
  <c r="A122" i="3"/>
  <c r="C122" i="3"/>
  <c r="D122" i="3"/>
  <c r="B123" i="3"/>
  <c r="A116" i="3"/>
  <c r="E116" i="3"/>
  <c r="C117" i="3"/>
  <c r="D118" i="3"/>
  <c r="E119" i="3"/>
  <c r="E120" i="3"/>
  <c r="D121" i="3"/>
  <c r="C123" i="3"/>
  <c r="E123" i="3"/>
  <c r="C124" i="3"/>
  <c r="E124" i="3"/>
  <c r="B125" i="3"/>
  <c r="D125" i="3"/>
  <c r="A126" i="3"/>
  <c r="B126" i="3"/>
  <c r="D126" i="3"/>
  <c r="A115" i="3"/>
  <c r="G127" i="3"/>
  <c r="A359" i="3"/>
  <c r="C372" i="3" l="1"/>
  <c r="D372" i="3"/>
  <c r="A373" i="3"/>
  <c r="D373" i="3"/>
  <c r="B374" i="3"/>
  <c r="D374" i="3"/>
  <c r="A375" i="3"/>
  <c r="C375" i="3"/>
  <c r="A376" i="3"/>
  <c r="B376" i="3"/>
  <c r="A377" i="3"/>
  <c r="C377" i="3"/>
  <c r="D377" i="3"/>
  <c r="A378" i="3"/>
  <c r="B378" i="3"/>
  <c r="D378" i="3"/>
  <c r="B379" i="3"/>
  <c r="A380" i="3"/>
  <c r="C380" i="3"/>
  <c r="A381" i="3"/>
  <c r="C381" i="3"/>
  <c r="A382" i="3"/>
  <c r="C382" i="3"/>
  <c r="A372" i="3"/>
  <c r="B372" i="3"/>
  <c r="B373" i="3"/>
  <c r="C373" i="3"/>
  <c r="A374" i="3"/>
  <c r="C374" i="3"/>
  <c r="B375" i="3"/>
  <c r="D375" i="3"/>
  <c r="C376" i="3"/>
  <c r="D376" i="3"/>
  <c r="B377" i="3"/>
  <c r="C378" i="3"/>
  <c r="A379" i="3"/>
  <c r="C379" i="3"/>
  <c r="D379" i="3"/>
  <c r="B380" i="3"/>
  <c r="D380" i="3"/>
  <c r="B381" i="3"/>
  <c r="D381" i="3"/>
  <c r="B382" i="3"/>
  <c r="D382" i="3"/>
  <c r="H383" i="3"/>
  <c r="G139" i="3"/>
  <c r="C128" i="3"/>
  <c r="C129" i="3"/>
  <c r="C130" i="3"/>
  <c r="A131" i="3"/>
  <c r="D131" i="3"/>
  <c r="A132" i="3"/>
  <c r="D132" i="3"/>
  <c r="A133" i="3"/>
  <c r="C133" i="3"/>
  <c r="A134" i="3"/>
  <c r="B128" i="3"/>
  <c r="D128" i="3"/>
  <c r="B129" i="3"/>
  <c r="D129" i="3"/>
  <c r="A130" i="3"/>
  <c r="B130" i="3"/>
  <c r="E130" i="3"/>
  <c r="C131" i="3"/>
  <c r="E131" i="3"/>
  <c r="C132" i="3"/>
  <c r="E132" i="3"/>
  <c r="B133" i="3"/>
  <c r="D133" i="3"/>
  <c r="E133" i="3"/>
  <c r="B134" i="3"/>
  <c r="C134" i="3"/>
  <c r="D134" i="3"/>
  <c r="E134" i="3"/>
  <c r="A135" i="3"/>
  <c r="B135" i="3"/>
  <c r="C135" i="3"/>
  <c r="D135" i="3"/>
  <c r="E135" i="3"/>
  <c r="B136" i="3"/>
  <c r="D136" i="3"/>
  <c r="B137" i="3"/>
  <c r="D137" i="3"/>
  <c r="B138" i="3"/>
  <c r="E138" i="3"/>
  <c r="A128" i="3"/>
  <c r="E128" i="3"/>
  <c r="A129" i="3"/>
  <c r="E129" i="3"/>
  <c r="D130" i="3"/>
  <c r="B131" i="3"/>
  <c r="B132" i="3"/>
  <c r="A136" i="3"/>
  <c r="C136" i="3"/>
  <c r="E136" i="3"/>
  <c r="A137" i="3"/>
  <c r="C137" i="3"/>
  <c r="E137" i="3"/>
  <c r="A138" i="3"/>
  <c r="C138" i="3"/>
  <c r="D138" i="3"/>
  <c r="A127" i="3"/>
  <c r="A371" i="3"/>
  <c r="H395" i="3" l="1"/>
  <c r="B384" i="3"/>
  <c r="C384" i="3"/>
  <c r="D384" i="3"/>
  <c r="A385" i="3"/>
  <c r="B385" i="3"/>
  <c r="C385" i="3"/>
  <c r="D385" i="3"/>
  <c r="A386" i="3"/>
  <c r="B386" i="3"/>
  <c r="C386" i="3"/>
  <c r="D386" i="3"/>
  <c r="A387" i="3"/>
  <c r="B387" i="3"/>
  <c r="C387" i="3"/>
  <c r="D387" i="3"/>
  <c r="A388" i="3"/>
  <c r="B388" i="3"/>
  <c r="C388" i="3"/>
  <c r="D388" i="3"/>
  <c r="A389" i="3"/>
  <c r="B389" i="3"/>
  <c r="C389" i="3"/>
  <c r="D389" i="3"/>
  <c r="A390" i="3"/>
  <c r="B390" i="3"/>
  <c r="C390" i="3"/>
  <c r="D390" i="3"/>
  <c r="A391" i="3"/>
  <c r="B391" i="3"/>
  <c r="C391" i="3"/>
  <c r="D391" i="3"/>
  <c r="A392" i="3"/>
  <c r="B392" i="3"/>
  <c r="C392" i="3"/>
  <c r="D392" i="3"/>
  <c r="A393" i="3"/>
  <c r="B393" i="3"/>
  <c r="C393" i="3"/>
  <c r="D393" i="3"/>
  <c r="A394" i="3"/>
  <c r="B394" i="3"/>
  <c r="C394" i="3"/>
  <c r="D394" i="3"/>
  <c r="A384" i="3"/>
  <c r="G151" i="3"/>
  <c r="E140" i="3"/>
  <c r="A141" i="3"/>
  <c r="D141" i="3"/>
  <c r="E141" i="3"/>
  <c r="C142" i="3"/>
  <c r="A143" i="3"/>
  <c r="C144" i="3"/>
  <c r="C140" i="3"/>
  <c r="B141" i="3"/>
  <c r="C141" i="3"/>
  <c r="B142" i="3"/>
  <c r="E142" i="3"/>
  <c r="C143" i="3"/>
  <c r="E143" i="3"/>
  <c r="B144" i="3"/>
  <c r="D144" i="3"/>
  <c r="A145" i="3"/>
  <c r="C145" i="3"/>
  <c r="E145" i="3"/>
  <c r="B146" i="3"/>
  <c r="D146" i="3"/>
  <c r="A147" i="3"/>
  <c r="B147" i="3"/>
  <c r="C147" i="3"/>
  <c r="E147" i="3"/>
  <c r="A148" i="3"/>
  <c r="C148" i="3"/>
  <c r="E148" i="3"/>
  <c r="B149" i="3"/>
  <c r="D149" i="3"/>
  <c r="E149" i="3"/>
  <c r="A150" i="3"/>
  <c r="C150" i="3"/>
  <c r="D150" i="3"/>
  <c r="A140" i="3"/>
  <c r="B140" i="3"/>
  <c r="D140" i="3"/>
  <c r="A142" i="3"/>
  <c r="D142" i="3"/>
  <c r="B143" i="3"/>
  <c r="D143" i="3"/>
  <c r="A144" i="3"/>
  <c r="E144" i="3"/>
  <c r="B145" i="3"/>
  <c r="D145" i="3"/>
  <c r="A146" i="3"/>
  <c r="C146" i="3"/>
  <c r="E146" i="3"/>
  <c r="D147" i="3"/>
  <c r="B148" i="3"/>
  <c r="D148" i="3"/>
  <c r="A149" i="3"/>
  <c r="C149" i="3"/>
  <c r="B150" i="3"/>
  <c r="E150" i="3"/>
  <c r="A139" i="3"/>
  <c r="A383" i="3"/>
  <c r="H407" i="3" l="1"/>
  <c r="B396" i="3"/>
  <c r="D396" i="3"/>
  <c r="B397" i="3"/>
  <c r="D397" i="3"/>
  <c r="C402" i="3"/>
  <c r="A396" i="3"/>
  <c r="C396" i="3"/>
  <c r="A397" i="3"/>
  <c r="C397" i="3"/>
  <c r="A398" i="3"/>
  <c r="B398" i="3"/>
  <c r="C398" i="3"/>
  <c r="D398" i="3"/>
  <c r="A399" i="3"/>
  <c r="B399" i="3"/>
  <c r="C399" i="3"/>
  <c r="D399" i="3"/>
  <c r="A400" i="3"/>
  <c r="B400" i="3"/>
  <c r="C400" i="3"/>
  <c r="D400" i="3"/>
  <c r="A401" i="3"/>
  <c r="B401" i="3"/>
  <c r="C401" i="3"/>
  <c r="D401" i="3"/>
  <c r="A402" i="3"/>
  <c r="B402" i="3"/>
  <c r="D402" i="3"/>
  <c r="A403" i="3"/>
  <c r="B403" i="3"/>
  <c r="C403" i="3"/>
  <c r="D403" i="3"/>
  <c r="A404" i="3"/>
  <c r="B404" i="3"/>
  <c r="C404" i="3"/>
  <c r="D404" i="3"/>
  <c r="A405" i="3"/>
  <c r="B405" i="3"/>
  <c r="C405" i="3"/>
  <c r="D405" i="3"/>
  <c r="A406" i="3"/>
  <c r="B406" i="3"/>
  <c r="C406" i="3"/>
  <c r="D406" i="3"/>
  <c r="B152" i="3"/>
  <c r="D152" i="3"/>
  <c r="A153" i="3"/>
  <c r="D153" i="3"/>
  <c r="A154" i="3"/>
  <c r="E154" i="3"/>
  <c r="B155" i="3"/>
  <c r="B156" i="3"/>
  <c r="D156" i="3"/>
  <c r="A157" i="3"/>
  <c r="D157" i="3"/>
  <c r="B158" i="3"/>
  <c r="C158" i="3"/>
  <c r="E158" i="3"/>
  <c r="C159" i="3"/>
  <c r="E159" i="3"/>
  <c r="B160" i="3"/>
  <c r="D160" i="3"/>
  <c r="A161" i="3"/>
  <c r="D161" i="3"/>
  <c r="E161" i="3"/>
  <c r="C162" i="3"/>
  <c r="D162" i="3"/>
  <c r="A152" i="3"/>
  <c r="C152" i="3"/>
  <c r="E152" i="3"/>
  <c r="C153" i="3"/>
  <c r="B154" i="3"/>
  <c r="A155" i="3"/>
  <c r="D155" i="3"/>
  <c r="E155" i="3"/>
  <c r="E156" i="3"/>
  <c r="B157" i="3"/>
  <c r="A158" i="3"/>
  <c r="B153" i="3"/>
  <c r="E153" i="3"/>
  <c r="C154" i="3"/>
  <c r="D154" i="3"/>
  <c r="C155" i="3"/>
  <c r="A156" i="3"/>
  <c r="C156" i="3"/>
  <c r="C157" i="3"/>
  <c r="E157" i="3"/>
  <c r="D158" i="3"/>
  <c r="A159" i="3"/>
  <c r="B159" i="3"/>
  <c r="D159" i="3"/>
  <c r="A160" i="3"/>
  <c r="C160" i="3"/>
  <c r="E160" i="3"/>
  <c r="B161" i="3"/>
  <c r="C161" i="3"/>
  <c r="A162" i="3"/>
  <c r="B162" i="3"/>
  <c r="E162" i="3"/>
  <c r="A151" i="3"/>
  <c r="G163" i="3"/>
  <c r="A395" i="3"/>
  <c r="A408" i="3" l="1"/>
  <c r="B408" i="3"/>
  <c r="C408" i="3"/>
  <c r="D408" i="3"/>
  <c r="A409" i="3"/>
  <c r="B409" i="3"/>
  <c r="C409" i="3"/>
  <c r="D409" i="3"/>
  <c r="A410" i="3"/>
  <c r="B410" i="3"/>
  <c r="C410" i="3"/>
  <c r="D410" i="3"/>
  <c r="A411" i="3"/>
  <c r="B411" i="3"/>
  <c r="C411" i="3"/>
  <c r="D411" i="3"/>
  <c r="A412" i="3"/>
  <c r="B412" i="3"/>
  <c r="C412" i="3"/>
  <c r="D412" i="3"/>
  <c r="A413" i="3"/>
  <c r="B413" i="3"/>
  <c r="C413" i="3"/>
  <c r="D413" i="3"/>
  <c r="A414" i="3"/>
  <c r="B414" i="3"/>
  <c r="C414" i="3"/>
  <c r="D414" i="3"/>
  <c r="A415" i="3"/>
  <c r="B415" i="3"/>
  <c r="C415" i="3"/>
  <c r="D415" i="3"/>
  <c r="A416" i="3"/>
  <c r="B416" i="3"/>
  <c r="C416" i="3"/>
  <c r="D416" i="3"/>
  <c r="A417" i="3"/>
  <c r="B417" i="3"/>
  <c r="C417" i="3"/>
  <c r="D417" i="3"/>
  <c r="A418" i="3"/>
  <c r="B418" i="3"/>
  <c r="C418" i="3"/>
  <c r="D418" i="3"/>
  <c r="H419" i="3"/>
  <c r="G175" i="3"/>
  <c r="C164" i="3"/>
  <c r="E164" i="3"/>
  <c r="C165" i="3"/>
  <c r="A166" i="3"/>
  <c r="D166" i="3"/>
  <c r="B167" i="3"/>
  <c r="E167" i="3"/>
  <c r="B168" i="3"/>
  <c r="E168" i="3"/>
  <c r="B169" i="3"/>
  <c r="E169" i="3"/>
  <c r="B170" i="3"/>
  <c r="D170" i="3"/>
  <c r="A171" i="3"/>
  <c r="C171" i="3"/>
  <c r="E171" i="3"/>
  <c r="A172" i="3"/>
  <c r="C172" i="3"/>
  <c r="E172" i="3"/>
  <c r="C173" i="3"/>
  <c r="D173" i="3"/>
  <c r="A174" i="3"/>
  <c r="C174" i="3"/>
  <c r="E174" i="3"/>
  <c r="B164" i="3"/>
  <c r="D164" i="3"/>
  <c r="B165" i="3"/>
  <c r="D165" i="3"/>
  <c r="B166" i="3"/>
  <c r="E166" i="3"/>
  <c r="D167" i="3"/>
  <c r="A169" i="3"/>
  <c r="C169" i="3"/>
  <c r="D169" i="3"/>
  <c r="A170" i="3"/>
  <c r="C170" i="3"/>
  <c r="E170" i="3"/>
  <c r="B171" i="3"/>
  <c r="D171" i="3"/>
  <c r="B172" i="3"/>
  <c r="D172" i="3"/>
  <c r="A173" i="3"/>
  <c r="B173" i="3"/>
  <c r="E173" i="3"/>
  <c r="B174" i="3"/>
  <c r="D174" i="3"/>
  <c r="A164" i="3"/>
  <c r="A165" i="3"/>
  <c r="E165" i="3"/>
  <c r="C166" i="3"/>
  <c r="A167" i="3"/>
  <c r="C167" i="3"/>
  <c r="A168" i="3"/>
  <c r="C168" i="3"/>
  <c r="D168" i="3"/>
  <c r="A163" i="3"/>
  <c r="A407" i="3"/>
  <c r="H431" i="3" l="1"/>
  <c r="B420" i="3"/>
  <c r="D420" i="3"/>
  <c r="C421" i="3"/>
  <c r="D421" i="3"/>
  <c r="B422" i="3"/>
  <c r="A423" i="3"/>
  <c r="C423" i="3"/>
  <c r="D423" i="3"/>
  <c r="B424" i="3"/>
  <c r="A425" i="3"/>
  <c r="C425" i="3"/>
  <c r="B426" i="3"/>
  <c r="B427" i="3"/>
  <c r="A428" i="3"/>
  <c r="B429" i="3"/>
  <c r="D429" i="3"/>
  <c r="B430" i="3"/>
  <c r="D430" i="3"/>
  <c r="A420" i="3"/>
  <c r="C420" i="3"/>
  <c r="A421" i="3"/>
  <c r="B421" i="3"/>
  <c r="A422" i="3"/>
  <c r="C422" i="3"/>
  <c r="D422" i="3"/>
  <c r="B423" i="3"/>
  <c r="A424" i="3"/>
  <c r="C424" i="3"/>
  <c r="D424" i="3"/>
  <c r="B425" i="3"/>
  <c r="D425" i="3"/>
  <c r="A426" i="3"/>
  <c r="C426" i="3"/>
  <c r="D426" i="3"/>
  <c r="A427" i="3"/>
  <c r="C427" i="3"/>
  <c r="D427" i="3"/>
  <c r="B428" i="3"/>
  <c r="C428" i="3"/>
  <c r="D428" i="3"/>
  <c r="A429" i="3"/>
  <c r="C429" i="3"/>
  <c r="A430" i="3"/>
  <c r="C430" i="3"/>
  <c r="G187" i="3"/>
  <c r="C176" i="3"/>
  <c r="E176" i="3"/>
  <c r="A177" i="3"/>
  <c r="B177" i="3"/>
  <c r="E177" i="3"/>
  <c r="C178" i="3"/>
  <c r="A179" i="3"/>
  <c r="E179" i="3"/>
  <c r="B180" i="3"/>
  <c r="D180" i="3"/>
  <c r="B181" i="3"/>
  <c r="D181" i="3"/>
  <c r="E181" i="3"/>
  <c r="B182" i="3"/>
  <c r="D182" i="3"/>
  <c r="A183" i="3"/>
  <c r="C183" i="3"/>
  <c r="E183" i="3"/>
  <c r="A184" i="3"/>
  <c r="C184" i="3"/>
  <c r="E184" i="3"/>
  <c r="A185" i="3"/>
  <c r="C185" i="3"/>
  <c r="E185" i="3"/>
  <c r="B186" i="3"/>
  <c r="E186" i="3"/>
  <c r="B176" i="3"/>
  <c r="D177" i="3"/>
  <c r="B178" i="3"/>
  <c r="E178" i="3"/>
  <c r="C179" i="3"/>
  <c r="A180" i="3"/>
  <c r="E180" i="3"/>
  <c r="A181" i="3"/>
  <c r="C181" i="3"/>
  <c r="A182" i="3"/>
  <c r="C182" i="3"/>
  <c r="E182" i="3"/>
  <c r="B183" i="3"/>
  <c r="D183" i="3"/>
  <c r="B184" i="3"/>
  <c r="D184" i="3"/>
  <c r="B185" i="3"/>
  <c r="D185" i="3"/>
  <c r="A186" i="3"/>
  <c r="C186" i="3"/>
  <c r="D186" i="3"/>
  <c r="A176" i="3"/>
  <c r="D176" i="3"/>
  <c r="C177" i="3"/>
  <c r="A178" i="3"/>
  <c r="D178" i="3"/>
  <c r="B179" i="3"/>
  <c r="D179" i="3"/>
  <c r="C180" i="3"/>
  <c r="A175" i="3"/>
  <c r="A419" i="3"/>
  <c r="H443" i="3" l="1"/>
  <c r="A432" i="3"/>
  <c r="B432" i="3"/>
  <c r="C432" i="3"/>
  <c r="D432" i="3"/>
  <c r="A433" i="3"/>
  <c r="B433" i="3"/>
  <c r="C433" i="3"/>
  <c r="D433" i="3"/>
  <c r="A434" i="3"/>
  <c r="B434" i="3"/>
  <c r="C434" i="3"/>
  <c r="D434" i="3"/>
  <c r="A435" i="3"/>
  <c r="B435" i="3"/>
  <c r="C435" i="3"/>
  <c r="D435" i="3"/>
  <c r="A436" i="3"/>
  <c r="B436" i="3"/>
  <c r="C436" i="3"/>
  <c r="D436" i="3"/>
  <c r="A437" i="3"/>
  <c r="B437" i="3"/>
  <c r="C437" i="3"/>
  <c r="D437" i="3"/>
  <c r="A438" i="3"/>
  <c r="B438" i="3"/>
  <c r="C438" i="3"/>
  <c r="D438" i="3"/>
  <c r="A439" i="3"/>
  <c r="B439" i="3"/>
  <c r="C439" i="3"/>
  <c r="D439" i="3"/>
  <c r="A440" i="3"/>
  <c r="B440" i="3"/>
  <c r="C440" i="3"/>
  <c r="D440" i="3"/>
  <c r="A441" i="3"/>
  <c r="B441" i="3"/>
  <c r="C441" i="3"/>
  <c r="D441" i="3"/>
  <c r="A442" i="3"/>
  <c r="B442" i="3"/>
  <c r="C442" i="3"/>
  <c r="D442" i="3"/>
  <c r="D188" i="3"/>
  <c r="A189" i="3"/>
  <c r="E189" i="3"/>
  <c r="D190" i="3"/>
  <c r="A191" i="3"/>
  <c r="D191" i="3"/>
  <c r="A192" i="3"/>
  <c r="C192" i="3"/>
  <c r="E194" i="3"/>
  <c r="B195" i="3"/>
  <c r="D196" i="3"/>
  <c r="A197" i="3"/>
  <c r="C197" i="3"/>
  <c r="E197" i="3"/>
  <c r="B198" i="3"/>
  <c r="D198" i="3"/>
  <c r="A188" i="3"/>
  <c r="C188" i="3"/>
  <c r="E188" i="3"/>
  <c r="B189" i="3"/>
  <c r="C189" i="3"/>
  <c r="A190" i="3"/>
  <c r="C190" i="3"/>
  <c r="E190" i="3"/>
  <c r="C191" i="3"/>
  <c r="E191" i="3"/>
  <c r="B192" i="3"/>
  <c r="D192" i="3"/>
  <c r="E192" i="3"/>
  <c r="A193" i="3"/>
  <c r="B193" i="3"/>
  <c r="C193" i="3"/>
  <c r="D193" i="3"/>
  <c r="E193" i="3"/>
  <c r="A194" i="3"/>
  <c r="B194" i="3"/>
  <c r="C194" i="3"/>
  <c r="D194" i="3"/>
  <c r="A195" i="3"/>
  <c r="C195" i="3"/>
  <c r="D195" i="3"/>
  <c r="E195" i="3"/>
  <c r="A196" i="3"/>
  <c r="B196" i="3"/>
  <c r="C196" i="3"/>
  <c r="E196" i="3"/>
  <c r="B197" i="3"/>
  <c r="D197" i="3"/>
  <c r="A198" i="3"/>
  <c r="C198" i="3"/>
  <c r="E198" i="3"/>
  <c r="B188" i="3"/>
  <c r="D189" i="3"/>
  <c r="B190" i="3"/>
  <c r="B191" i="3"/>
  <c r="A187" i="3"/>
  <c r="G199" i="3"/>
  <c r="A431" i="3"/>
  <c r="A444" i="3" l="1"/>
  <c r="B444" i="3"/>
  <c r="C444" i="3"/>
  <c r="D444" i="3"/>
  <c r="A445" i="3"/>
  <c r="B445" i="3"/>
  <c r="C445" i="3"/>
  <c r="D445" i="3"/>
  <c r="A446" i="3"/>
  <c r="B446" i="3"/>
  <c r="C446" i="3"/>
  <c r="D446" i="3"/>
  <c r="A447" i="3"/>
  <c r="B447" i="3"/>
  <c r="C447" i="3"/>
  <c r="D447" i="3"/>
  <c r="A448" i="3"/>
  <c r="B448" i="3"/>
  <c r="C448" i="3"/>
  <c r="D448" i="3"/>
  <c r="A449" i="3"/>
  <c r="B449" i="3"/>
  <c r="C449" i="3"/>
  <c r="D449" i="3"/>
  <c r="A450" i="3"/>
  <c r="B450" i="3"/>
  <c r="C450" i="3"/>
  <c r="D450" i="3"/>
  <c r="A451" i="3"/>
  <c r="B451" i="3"/>
  <c r="C451" i="3"/>
  <c r="D451" i="3"/>
  <c r="A452" i="3"/>
  <c r="B452" i="3"/>
  <c r="C452" i="3"/>
  <c r="D452" i="3"/>
  <c r="A453" i="3"/>
  <c r="B453" i="3"/>
  <c r="C453" i="3"/>
  <c r="D453" i="3"/>
  <c r="A454" i="3"/>
  <c r="B454" i="3"/>
  <c r="C454" i="3"/>
  <c r="D454" i="3"/>
  <c r="H455" i="3"/>
  <c r="G211" i="3"/>
  <c r="D200" i="3"/>
  <c r="C201" i="3"/>
  <c r="E201" i="3"/>
  <c r="E202" i="3"/>
  <c r="D203" i="3"/>
  <c r="A204" i="3"/>
  <c r="C204" i="3"/>
  <c r="E204" i="3"/>
  <c r="C205" i="3"/>
  <c r="E205" i="3"/>
  <c r="B206" i="3"/>
  <c r="B207" i="3"/>
  <c r="D207" i="3"/>
  <c r="A208" i="3"/>
  <c r="C208" i="3"/>
  <c r="E208" i="3"/>
  <c r="C209" i="3"/>
  <c r="E209" i="3"/>
  <c r="A210" i="3"/>
  <c r="C210" i="3"/>
  <c r="E210" i="3"/>
  <c r="A200" i="3"/>
  <c r="C200" i="3"/>
  <c r="B201" i="3"/>
  <c r="B202" i="3"/>
  <c r="C202" i="3"/>
  <c r="A203" i="3"/>
  <c r="B200" i="3"/>
  <c r="E200" i="3"/>
  <c r="A201" i="3"/>
  <c r="D201" i="3"/>
  <c r="A202" i="3"/>
  <c r="D202" i="3"/>
  <c r="B203" i="3"/>
  <c r="C203" i="3"/>
  <c r="E203" i="3"/>
  <c r="B204" i="3"/>
  <c r="D204" i="3"/>
  <c r="A205" i="3"/>
  <c r="B205" i="3"/>
  <c r="D205" i="3"/>
  <c r="A206" i="3"/>
  <c r="C206" i="3"/>
  <c r="D206" i="3"/>
  <c r="E206" i="3"/>
  <c r="A207" i="3"/>
  <c r="C207" i="3"/>
  <c r="E207" i="3"/>
  <c r="B208" i="3"/>
  <c r="D208" i="3"/>
  <c r="A209" i="3"/>
  <c r="B209" i="3"/>
  <c r="D209" i="3"/>
  <c r="B210" i="3"/>
  <c r="D210" i="3"/>
  <c r="A199" i="3"/>
  <c r="A443" i="3"/>
  <c r="H467" i="3" l="1"/>
  <c r="A456" i="3"/>
  <c r="B456" i="3"/>
  <c r="C456" i="3"/>
  <c r="D456" i="3"/>
  <c r="A457" i="3"/>
  <c r="B457" i="3"/>
  <c r="C457" i="3"/>
  <c r="D457" i="3"/>
  <c r="A458" i="3"/>
  <c r="B458" i="3"/>
  <c r="C458" i="3"/>
  <c r="D458" i="3"/>
  <c r="A459" i="3"/>
  <c r="B459" i="3"/>
  <c r="C459" i="3"/>
  <c r="D459" i="3"/>
  <c r="A460" i="3"/>
  <c r="B460" i="3"/>
  <c r="C460" i="3"/>
  <c r="D460" i="3"/>
  <c r="A461" i="3"/>
  <c r="B461" i="3"/>
  <c r="C461" i="3"/>
  <c r="D461" i="3"/>
  <c r="A462" i="3"/>
  <c r="B462" i="3"/>
  <c r="C462" i="3"/>
  <c r="D462" i="3"/>
  <c r="A463" i="3"/>
  <c r="B463" i="3"/>
  <c r="C463" i="3"/>
  <c r="D463" i="3"/>
  <c r="A464" i="3"/>
  <c r="B464" i="3"/>
  <c r="C464" i="3"/>
  <c r="D464" i="3"/>
  <c r="A465" i="3"/>
  <c r="B465" i="3"/>
  <c r="C465" i="3"/>
  <c r="D465" i="3"/>
  <c r="A466" i="3"/>
  <c r="B466" i="3"/>
  <c r="C466" i="3"/>
  <c r="D466" i="3"/>
  <c r="G223" i="3"/>
  <c r="A211" i="3"/>
  <c r="A212" i="3"/>
  <c r="D212" i="3"/>
  <c r="A213" i="3"/>
  <c r="C213" i="3"/>
  <c r="E213" i="3"/>
  <c r="B214" i="3"/>
  <c r="D214" i="3"/>
  <c r="E215" i="3"/>
  <c r="B216" i="3"/>
  <c r="E216" i="3"/>
  <c r="A217" i="3"/>
  <c r="C217" i="3"/>
  <c r="D217" i="3"/>
  <c r="A218" i="3"/>
  <c r="C218" i="3"/>
  <c r="E218" i="3"/>
  <c r="A219" i="3"/>
  <c r="C219" i="3"/>
  <c r="E219" i="3"/>
  <c r="B220" i="3"/>
  <c r="D220" i="3"/>
  <c r="A221" i="3"/>
  <c r="C221" i="3"/>
  <c r="E221" i="3"/>
  <c r="C222" i="3"/>
  <c r="E222" i="3"/>
  <c r="B212" i="3"/>
  <c r="E212" i="3"/>
  <c r="B213" i="3"/>
  <c r="D213" i="3"/>
  <c r="A214" i="3"/>
  <c r="C214" i="3"/>
  <c r="E214" i="3"/>
  <c r="A215" i="3"/>
  <c r="B215" i="3"/>
  <c r="C215" i="3"/>
  <c r="D215" i="3"/>
  <c r="A216" i="3"/>
  <c r="C216" i="3"/>
  <c r="D216" i="3"/>
  <c r="B217" i="3"/>
  <c r="E217" i="3"/>
  <c r="B218" i="3"/>
  <c r="D218" i="3"/>
  <c r="B219" i="3"/>
  <c r="D219" i="3"/>
  <c r="A220" i="3"/>
  <c r="C220" i="3"/>
  <c r="E220" i="3"/>
  <c r="B221" i="3"/>
  <c r="D221" i="3"/>
  <c r="A222" i="3"/>
  <c r="B222" i="3"/>
  <c r="D222" i="3"/>
  <c r="C212" i="3"/>
  <c r="A455" i="3"/>
  <c r="A468" i="3" l="1"/>
  <c r="B468" i="3"/>
  <c r="C468" i="3"/>
  <c r="D468" i="3"/>
  <c r="A469" i="3"/>
  <c r="B469" i="3"/>
  <c r="C469" i="3"/>
  <c r="D469" i="3"/>
  <c r="A470" i="3"/>
  <c r="B470" i="3"/>
  <c r="C470" i="3"/>
  <c r="D470" i="3"/>
  <c r="A471" i="3"/>
  <c r="B471" i="3"/>
  <c r="C471" i="3"/>
  <c r="D471" i="3"/>
  <c r="A472" i="3"/>
  <c r="B472" i="3"/>
  <c r="C472" i="3"/>
  <c r="D472" i="3"/>
  <c r="A473" i="3"/>
  <c r="B473" i="3"/>
  <c r="C473" i="3"/>
  <c r="D473" i="3"/>
  <c r="A474" i="3"/>
  <c r="B474" i="3"/>
  <c r="C474" i="3"/>
  <c r="D474" i="3"/>
  <c r="A475" i="3"/>
  <c r="B475" i="3"/>
  <c r="C475" i="3"/>
  <c r="D475" i="3"/>
  <c r="A476" i="3"/>
  <c r="B476" i="3"/>
  <c r="C476" i="3"/>
  <c r="D476" i="3"/>
  <c r="A477" i="3"/>
  <c r="B477" i="3"/>
  <c r="C477" i="3"/>
  <c r="D477" i="3"/>
  <c r="A478" i="3"/>
  <c r="B478" i="3"/>
  <c r="C478" i="3"/>
  <c r="D478" i="3"/>
  <c r="H479" i="3"/>
  <c r="G235" i="3"/>
  <c r="A223" i="3"/>
  <c r="B224" i="3"/>
  <c r="E224" i="3"/>
  <c r="C225" i="3"/>
  <c r="D225" i="3"/>
  <c r="A226" i="3"/>
  <c r="D226" i="3"/>
  <c r="A227" i="3"/>
  <c r="D227" i="3"/>
  <c r="A228" i="3"/>
  <c r="D228" i="3"/>
  <c r="B229" i="3"/>
  <c r="D229" i="3"/>
  <c r="B230" i="3"/>
  <c r="D230" i="3"/>
  <c r="A231" i="3"/>
  <c r="B231" i="3"/>
  <c r="D231" i="3"/>
  <c r="E231" i="3"/>
  <c r="C232" i="3"/>
  <c r="E232" i="3"/>
  <c r="A233" i="3"/>
  <c r="C233" i="3"/>
  <c r="E233" i="3"/>
  <c r="C234" i="3"/>
  <c r="E234" i="3"/>
  <c r="A224" i="3"/>
  <c r="D224" i="3"/>
  <c r="B225" i="3"/>
  <c r="B226" i="3"/>
  <c r="C227" i="3"/>
  <c r="E227" i="3"/>
  <c r="B228" i="3"/>
  <c r="C228" i="3"/>
  <c r="A229" i="3"/>
  <c r="E229" i="3"/>
  <c r="A230" i="3"/>
  <c r="C230" i="3"/>
  <c r="E230" i="3"/>
  <c r="C231" i="3"/>
  <c r="A232" i="3"/>
  <c r="B232" i="3"/>
  <c r="D232" i="3"/>
  <c r="B233" i="3"/>
  <c r="D233" i="3"/>
  <c r="A234" i="3"/>
  <c r="B234" i="3"/>
  <c r="D234" i="3"/>
  <c r="C224" i="3"/>
  <c r="A225" i="3"/>
  <c r="E225" i="3"/>
  <c r="C226" i="3"/>
  <c r="E226" i="3"/>
  <c r="B227" i="3"/>
  <c r="E228" i="3"/>
  <c r="C229" i="3"/>
  <c r="A467" i="3"/>
  <c r="A480" i="3" l="1"/>
  <c r="B480" i="3"/>
  <c r="C480" i="3"/>
  <c r="D480" i="3"/>
  <c r="A481" i="3"/>
  <c r="B481" i="3"/>
  <c r="C481" i="3"/>
  <c r="D481" i="3"/>
  <c r="A482" i="3"/>
  <c r="B482" i="3"/>
  <c r="C482" i="3"/>
  <c r="D482" i="3"/>
  <c r="A483" i="3"/>
  <c r="B483" i="3"/>
  <c r="C483" i="3"/>
  <c r="D483" i="3"/>
  <c r="A484" i="3"/>
  <c r="B484" i="3"/>
  <c r="C484" i="3"/>
  <c r="D484" i="3"/>
  <c r="A485" i="3"/>
  <c r="B485" i="3"/>
  <c r="C485" i="3"/>
  <c r="D485" i="3"/>
  <c r="A486" i="3"/>
  <c r="B486" i="3"/>
  <c r="C486" i="3"/>
  <c r="D486" i="3"/>
  <c r="A487" i="3"/>
  <c r="B487" i="3"/>
  <c r="C487" i="3"/>
  <c r="D487" i="3"/>
  <c r="A488" i="3"/>
  <c r="B488" i="3"/>
  <c r="C488" i="3"/>
  <c r="D488" i="3"/>
  <c r="A489" i="3"/>
  <c r="B489" i="3"/>
  <c r="C489" i="3"/>
  <c r="D489" i="3"/>
  <c r="A490" i="3"/>
  <c r="B490" i="3"/>
  <c r="C490" i="3"/>
  <c r="D490" i="3"/>
  <c r="A235" i="3"/>
  <c r="B236" i="3"/>
  <c r="E236" i="3"/>
  <c r="C237" i="3"/>
  <c r="A238" i="3"/>
  <c r="D238" i="3"/>
  <c r="C236" i="3"/>
  <c r="B237" i="3"/>
  <c r="E237" i="3"/>
  <c r="B238" i="3"/>
  <c r="E239" i="3"/>
  <c r="A240" i="3"/>
  <c r="C240" i="3"/>
  <c r="E240" i="3"/>
  <c r="B241" i="3"/>
  <c r="D241" i="3"/>
  <c r="A242" i="3"/>
  <c r="C242" i="3"/>
  <c r="A243" i="3"/>
  <c r="C243" i="3"/>
  <c r="E243" i="3"/>
  <c r="C244" i="3"/>
  <c r="E244" i="3"/>
  <c r="B245" i="3"/>
  <c r="C245" i="3"/>
  <c r="E245" i="3"/>
  <c r="C246" i="3"/>
  <c r="D246" i="3"/>
  <c r="A236" i="3"/>
  <c r="D236" i="3"/>
  <c r="A237" i="3"/>
  <c r="D237" i="3"/>
  <c r="C238" i="3"/>
  <c r="E238" i="3"/>
  <c r="A239" i="3"/>
  <c r="B239" i="3"/>
  <c r="C239" i="3"/>
  <c r="D239" i="3"/>
  <c r="B240" i="3"/>
  <c r="D240" i="3"/>
  <c r="A241" i="3"/>
  <c r="C241" i="3"/>
  <c r="E241" i="3"/>
  <c r="B242" i="3"/>
  <c r="D242" i="3"/>
  <c r="E242" i="3"/>
  <c r="B243" i="3"/>
  <c r="D243" i="3"/>
  <c r="A244" i="3"/>
  <c r="B244" i="3"/>
  <c r="D244" i="3"/>
  <c r="A245" i="3"/>
  <c r="D245" i="3"/>
  <c r="A246" i="3"/>
  <c r="B246" i="3"/>
  <c r="E246" i="3"/>
  <c r="A2" i="3" l="1"/>
  <c r="A479" i="3"/>
</calcChain>
</file>

<file path=xl/sharedStrings.xml><?xml version="1.0" encoding="utf-8"?>
<sst xmlns="http://schemas.openxmlformats.org/spreadsheetml/2006/main" count="64" uniqueCount="55">
  <si>
    <t>DDC Calculateur — 2 tableaux (avec / sans FY)</t>
  </si>
  <si>
    <t>CHOISISSEZ le tableau qui correspond a votre export Robot :</t>
  </si>
  <si>
    <t xml:space="preserve">  TABLEAU 1 (lignes 5-204)  : avec FY — stabilite 3D (FX, FY, FZ)</t>
  </si>
  <si>
    <t xml:space="preserve">  TABLEAU 2 (lignes 210-409): sans FY — FX et FZ seulement</t>
  </si>
  <si>
    <t>Collez vos donnees dans UN seul tableau (pas les deux).</t>
  </si>
  <si>
    <t>SYNTHESE : 2 zones miroir — resultats dans la zone correspondante.</t>
  </si>
  <si>
    <t>Note dynamique : FZ &gt; 0 = soulèvement, FZ &lt; 0 = compression.</t>
  </si>
  <si>
    <t>F9 pour forcer le recalcul si besoin. Excel 2019 ou 365 requis.</t>
  </si>
  <si>
    <t>SAISIE — Collez vos cas de charge</t>
  </si>
  <si>
    <t>Utilisez le tableau AVEC FY ou SANS FY selon votre DDC Robot.</t>
  </si>
  <si>
    <t>TABLEAU — AVEC FY</t>
  </si>
  <si>
    <t>Noeud_Cas</t>
  </si>
  <si>
    <t>Nom_cas</t>
  </si>
  <si>
    <t>FX_daN</t>
  </si>
  <si>
    <t>FY_daN</t>
  </si>
  <si>
    <t>FZ_daN</t>
  </si>
  <si>
    <t>Noeud</t>
  </si>
  <si>
    <t>47/1</t>
  </si>
  <si>
    <t>G : Couverture : PA 6 BS 10 PV15</t>
  </si>
  <si>
    <t>47/2</t>
  </si>
  <si>
    <t>Vent G/D dep.(-) Portique 2</t>
  </si>
  <si>
    <t>47/3</t>
  </si>
  <si>
    <t>Vent G/D sur.(+) Portique 2</t>
  </si>
  <si>
    <t>47/4</t>
  </si>
  <si>
    <t>Vent D/G dep.(-) Cpe - Portique 2</t>
  </si>
  <si>
    <t>47/5</t>
  </si>
  <si>
    <t>Vent D/G dep.(-) Cpe + Portique 2</t>
  </si>
  <si>
    <t>47/6</t>
  </si>
  <si>
    <t>Vent D/G sur.(+) Cpe - Portique 2</t>
  </si>
  <si>
    <t>47/7</t>
  </si>
  <si>
    <t>Vent D/G sur.(+) Cpe + Portique 2</t>
  </si>
  <si>
    <t>47/8</t>
  </si>
  <si>
    <t>Vent Av./Arr. dep.(-) Portique 2</t>
  </si>
  <si>
    <t>47/9</t>
  </si>
  <si>
    <t>Vent Av./Arr. sur.(+) Portique 2</t>
  </si>
  <si>
    <t>47/10</t>
  </si>
  <si>
    <t>Vent Arr./Av. dep.(-) Portique 2</t>
  </si>
  <si>
    <t>47/11</t>
  </si>
  <si>
    <t>Vent Arr./Av. sur.(+) Portique 2</t>
  </si>
  <si>
    <t>47/12</t>
  </si>
  <si>
    <t>Neige cas I</t>
  </si>
  <si>
    <t>47/13</t>
  </si>
  <si>
    <t>Neige cas II</t>
  </si>
  <si>
    <t>47/14</t>
  </si>
  <si>
    <t>Neige accidentel</t>
  </si>
  <si>
    <t>↓ Ne pas remplir les deux tableaux — choisir celui qui correspond ↓</t>
  </si>
  <si>
    <t>TABLEAU — SANS FY</t>
  </si>
  <si>
    <t>SYNTHESE — Calcul automatique</t>
  </si>
  <si>
    <t>SYNTHESE — AVEC FY</t>
  </si>
  <si>
    <t>Nom du cas</t>
  </si>
  <si>
    <t>FX [daN]</t>
  </si>
  <si>
    <t>FY [daN]</t>
  </si>
  <si>
    <t>FZ [daN]</t>
  </si>
  <si>
    <t>Note</t>
  </si>
  <si>
    <t>SYNTHESE — SANS 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</si>
</sst>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color rgb="FF1F4E79"/>
      <name val="Arial"/>
    </font>
    <font>
      <b/>
      <sz val="11"/>
      <color rgb="FFFFFFFF"/>
      <name val="Arial"/>
    </font>
    <font>
      <b/>
      <sz val="12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ChargesFY" displayName="CasChargesFY" ref="A4:F204">
  <autoFilter ref="A4:F204" xr:uid="{00000000-0009-0000-0100-000001000000}"/>
  <tableColumns count="6">
    <tableColumn id="1" xr3:uid="{00000000-0010-0000-0000-000001000000}" name="Noeud_Cas"/>
    <tableColumn id="2" xr3:uid="{00000000-0010-0000-0000-000002000000}" name="Nom_cas"/>
    <tableColumn id="3" xr3:uid="{00000000-0010-0000-0000-000003000000}" name="FX_daN"/>
    <tableColumn id="4" xr3:uid="{00000000-0010-0000-0000-000004000000}" name="FY_daN"/>
    <tableColumn id="5" xr3:uid="{00000000-0010-0000-0000-000005000000}" name="FZ_daN"/>
    <tableColumn id="6" xr3:uid="{00000000-0010-0000-0000-000006000000}" name="Noeu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sChargesNoFY" displayName="CasChargesNoFY" ref="A209:E409">
  <autoFilter ref="A209:E409" xr:uid="{00000000-0009-0000-0100-000002000000}"/>
  <tableColumns count="5">
    <tableColumn id="1" xr3:uid="{00000000-0010-0000-0100-000001000000}" name="Noeud_Cas"/>
    <tableColumn id="2" xr3:uid="{00000000-0010-0000-0100-000002000000}" name="Nom_cas"/>
    <tableColumn id="3" xr3:uid="{00000000-0010-0000-0100-000003000000}" name="FX_daN"/>
    <tableColumn id="4" xr3:uid="{00000000-0010-0000-0100-000004000000}" name="FZ_daN"/>
    <tableColumn id="5" xr3:uid="{00000000-0010-0000-0100-000005000000}" name="Noe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baseColWidth="10" defaultColWidth="9.140625" defaultRowHeight="15" x14ac:dyDescent="0.25"/>
  <cols>
    <col min="1" max="1" width="78" customWidth="1"/>
  </cols>
  <sheetData>
    <row r="1" spans="1:1" ht="18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/>
    </row>
    <row r="6" spans="1:1" x14ac:dyDescent="0.25">
      <c r="A6" s="2" t="s">
        <v>2</v>
      </c>
    </row>
    <row r="7" spans="1:1" x14ac:dyDescent="0.25">
      <c r="A7" s="2" t="s">
        <v>3</v>
      </c>
    </row>
    <row r="8" spans="1:1" x14ac:dyDescent="0.25">
      <c r="A8" s="2"/>
    </row>
    <row r="9" spans="1:1" x14ac:dyDescent="0.25">
      <c r="A9" s="2" t="s">
        <v>4</v>
      </c>
    </row>
    <row r="10" spans="1:1" x14ac:dyDescent="0.25">
      <c r="A10" s="2" t="s">
        <v>5</v>
      </c>
    </row>
    <row r="11" spans="1:1" x14ac:dyDescent="0.25">
      <c r="A11" s="2" t="s">
        <v>6</v>
      </c>
    </row>
    <row r="12" spans="1:1" x14ac:dyDescent="0.25">
      <c r="A12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9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4" customWidth="1"/>
    <col min="3" max="5" width="11" customWidth="1"/>
    <col min="6" max="6" width="8" customWidth="1"/>
  </cols>
  <sheetData>
    <row r="1" spans="1:6" ht="18" x14ac:dyDescent="0.25">
      <c r="A1" s="8" t="s">
        <v>8</v>
      </c>
      <c r="B1" s="7"/>
      <c r="C1" s="7"/>
      <c r="D1" s="7"/>
      <c r="E1" s="7"/>
      <c r="F1" s="7"/>
    </row>
    <row r="2" spans="1:6" x14ac:dyDescent="0.25">
      <c r="A2" s="7" t="s">
        <v>9</v>
      </c>
      <c r="B2" s="7"/>
      <c r="C2" s="7"/>
      <c r="D2" s="7"/>
      <c r="E2" s="7"/>
      <c r="F2" s="7"/>
    </row>
    <row r="3" spans="1:6" x14ac:dyDescent="0.25">
      <c r="A3" s="9" t="s">
        <v>10</v>
      </c>
      <c r="B3" s="7"/>
      <c r="C3" s="7"/>
      <c r="D3" s="7"/>
      <c r="E3" s="7"/>
      <c r="F3" s="7"/>
    </row>
    <row r="4" spans="1:6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x14ac:dyDescent="0.25">
      <c r="A5" s="4" t="s">
        <v>17</v>
      </c>
      <c r="B5" s="4" t="s">
        <v>18</v>
      </c>
      <c r="C5" s="4">
        <v>-116</v>
      </c>
      <c r="D5" s="4">
        <v>7</v>
      </c>
      <c r="E5" s="4">
        <v>-1285</v>
      </c>
      <c r="F5">
        <f>IF(A5="","",VALUE(LEFT(A5,FIND("/",A5&amp;"/")-1)))</f>
        <v>47</v>
      </c>
    </row>
    <row r="6" spans="1:6" x14ac:dyDescent="0.25">
      <c r="A6" s="4" t="s">
        <v>19</v>
      </c>
      <c r="B6" s="4" t="s">
        <v>20</v>
      </c>
      <c r="C6" s="4">
        <v>905</v>
      </c>
      <c r="D6" s="4">
        <v>40</v>
      </c>
      <c r="E6" s="4">
        <v>1422</v>
      </c>
      <c r="F6">
        <f>IF(A6="","",VALUE(LEFT(A6,FIND("/",A6&amp;"/")-1)))</f>
        <v>47</v>
      </c>
    </row>
    <row r="7" spans="1:6" x14ac:dyDescent="0.25">
      <c r="A7" s="4" t="s">
        <v>21</v>
      </c>
      <c r="B7" s="4" t="s">
        <v>22</v>
      </c>
      <c r="C7" s="4">
        <v>900</v>
      </c>
      <c r="D7" s="4">
        <v>32</v>
      </c>
      <c r="E7" s="4">
        <v>1444</v>
      </c>
      <c r="F7">
        <f>IF(A7="","",VALUE(LEFT(A7,FIND("/",A7&amp;"/")-1)))</f>
        <v>47</v>
      </c>
    </row>
    <row r="8" spans="1:6" x14ac:dyDescent="0.25">
      <c r="A8" s="4" t="s">
        <v>23</v>
      </c>
      <c r="B8" s="4" t="s">
        <v>24</v>
      </c>
      <c r="C8" s="4">
        <v>-345</v>
      </c>
      <c r="D8" s="4">
        <v>5</v>
      </c>
      <c r="E8" s="4">
        <v>462</v>
      </c>
      <c r="F8">
        <f>IF(A8="","",VALUE(LEFT(A8,FIND("/",A8&amp;"/")-1)))</f>
        <v>47</v>
      </c>
    </row>
    <row r="9" spans="1:6" x14ac:dyDescent="0.25">
      <c r="A9" s="4" t="s">
        <v>25</v>
      </c>
      <c r="B9" s="4" t="s">
        <v>26</v>
      </c>
      <c r="C9" s="4">
        <v>-513</v>
      </c>
      <c r="D9" s="4">
        <v>-11</v>
      </c>
      <c r="E9" s="4">
        <v>-281</v>
      </c>
      <c r="F9">
        <f>IF(A9="","",VALUE(LEFT(A9,FIND("/",A9&amp;"/")-1)))</f>
        <v>47</v>
      </c>
    </row>
    <row r="10" spans="1:6" x14ac:dyDescent="0.25">
      <c r="A10" s="4" t="s">
        <v>27</v>
      </c>
      <c r="B10" s="4" t="s">
        <v>28</v>
      </c>
      <c r="C10" s="4">
        <v>-349</v>
      </c>
      <c r="D10" s="4">
        <v>-2</v>
      </c>
      <c r="E10" s="4">
        <v>485</v>
      </c>
      <c r="F10">
        <f>IF(A10="","",VALUE(LEFT(A10,FIND("/",A10&amp;"/")-1)))</f>
        <v>47</v>
      </c>
    </row>
    <row r="11" spans="1:6" x14ac:dyDescent="0.25">
      <c r="A11" s="4" t="s">
        <v>29</v>
      </c>
      <c r="B11" s="4" t="s">
        <v>30</v>
      </c>
      <c r="C11" s="4">
        <v>-518</v>
      </c>
      <c r="D11" s="4">
        <v>-22</v>
      </c>
      <c r="E11" s="4">
        <v>-258</v>
      </c>
      <c r="F11">
        <f>IF(A11="","",VALUE(LEFT(A11,FIND("/",A11&amp;"/")-1)))</f>
        <v>47</v>
      </c>
    </row>
    <row r="12" spans="1:6" x14ac:dyDescent="0.25">
      <c r="A12" s="4" t="s">
        <v>31</v>
      </c>
      <c r="B12" s="4" t="s">
        <v>32</v>
      </c>
      <c r="C12" s="4">
        <v>-241</v>
      </c>
      <c r="D12" s="4">
        <v>205</v>
      </c>
      <c r="E12" s="4">
        <v>815</v>
      </c>
      <c r="F12">
        <f>IF(A12="","",VALUE(LEFT(A12,FIND("/",A12&amp;"/")-1)))</f>
        <v>47</v>
      </c>
    </row>
    <row r="13" spans="1:6" x14ac:dyDescent="0.25">
      <c r="A13" s="4" t="s">
        <v>33</v>
      </c>
      <c r="B13" s="4" t="s">
        <v>34</v>
      </c>
      <c r="C13" s="4">
        <v>-198</v>
      </c>
      <c r="D13" s="4">
        <v>195</v>
      </c>
      <c r="E13" s="4">
        <v>598</v>
      </c>
      <c r="F13">
        <f>IF(A13="","",VALUE(LEFT(A13,FIND("/",A13&amp;"/")-1)))</f>
        <v>47</v>
      </c>
    </row>
    <row r="14" spans="1:6" x14ac:dyDescent="0.25">
      <c r="A14" s="4" t="s">
        <v>35</v>
      </c>
      <c r="B14" s="4" t="s">
        <v>36</v>
      </c>
      <c r="C14" s="4">
        <v>-105</v>
      </c>
      <c r="D14" s="4">
        <v>0</v>
      </c>
      <c r="E14" s="4">
        <v>400</v>
      </c>
      <c r="F14">
        <f>IF(A14="","",VALUE(LEFT(A14,FIND("/",A14&amp;"/")-1)))</f>
        <v>47</v>
      </c>
    </row>
    <row r="15" spans="1:6" x14ac:dyDescent="0.25">
      <c r="A15" s="4" t="s">
        <v>37</v>
      </c>
      <c r="B15" s="4" t="s">
        <v>38</v>
      </c>
      <c r="C15" s="4">
        <v>-37</v>
      </c>
      <c r="D15" s="4">
        <v>-11</v>
      </c>
      <c r="E15" s="4">
        <v>56</v>
      </c>
      <c r="F15">
        <f>IF(A15="","",VALUE(LEFT(A15,FIND("/",A15&amp;"/")-1)))</f>
        <v>47</v>
      </c>
    </row>
    <row r="16" spans="1:6" x14ac:dyDescent="0.25">
      <c r="A16" s="4" t="s">
        <v>39</v>
      </c>
      <c r="B16" s="4" t="s">
        <v>40</v>
      </c>
      <c r="C16" s="4">
        <v>-113</v>
      </c>
      <c r="D16" s="4">
        <v>0</v>
      </c>
      <c r="E16" s="4">
        <v>-1010</v>
      </c>
      <c r="F16">
        <f>IF(A16="","",VALUE(LEFT(A16,FIND("/",A16&amp;"/")-1)))</f>
        <v>47</v>
      </c>
    </row>
    <row r="17" spans="1:6" x14ac:dyDescent="0.25">
      <c r="A17" s="4" t="s">
        <v>41</v>
      </c>
      <c r="B17" s="4" t="s">
        <v>42</v>
      </c>
      <c r="C17" s="4">
        <v>-56</v>
      </c>
      <c r="D17" s="4">
        <v>0</v>
      </c>
      <c r="E17" s="4">
        <v>-505</v>
      </c>
      <c r="F17">
        <f>IF(A17="","",VALUE(LEFT(A17,FIND("/",A17&amp;"/")-1)))</f>
        <v>47</v>
      </c>
    </row>
    <row r="18" spans="1:6" x14ac:dyDescent="0.25">
      <c r="A18" s="4" t="s">
        <v>43</v>
      </c>
      <c r="B18" s="4" t="s">
        <v>44</v>
      </c>
      <c r="C18" s="4">
        <v>-251</v>
      </c>
      <c r="D18" s="4">
        <v>0</v>
      </c>
      <c r="E18" s="4">
        <v>-2244</v>
      </c>
      <c r="F18">
        <f>IF(A18="","",VALUE(LEFT(A18,FIND("/",A18&amp;"/")-1)))</f>
        <v>47</v>
      </c>
    </row>
    <row r="19" spans="1:6" x14ac:dyDescent="0.25">
      <c r="F19" t="str">
        <f>IF(A19="","",VALUE(LEFT(A19,FIND("/",A19&amp;"/")-1)))</f>
        <v/>
      </c>
    </row>
    <row r="20" spans="1:6" x14ac:dyDescent="0.25">
      <c r="F20" t="str">
        <f>IF(A20="","",VALUE(LEFT(A20,FIND("/",A20&amp;"/")-1)))</f>
        <v/>
      </c>
    </row>
    <row r="21" spans="1:6" x14ac:dyDescent="0.25">
      <c r="F21" t="str">
        <f>IF(A21="","",VALUE(LEFT(A21,FIND("/",A21&amp;"/")-1)))</f>
        <v/>
      </c>
    </row>
    <row r="22" spans="1:6" x14ac:dyDescent="0.25">
      <c r="F22" t="str">
        <f>IF(A22="","",VALUE(LEFT(A22,FIND("/",A22&amp;"/")-1)))</f>
        <v/>
      </c>
    </row>
    <row r="23" spans="1:6" x14ac:dyDescent="0.25">
      <c r="F23" t="str">
        <f>IF(A23="","",VALUE(LEFT(A23,FIND("/",A23&amp;"/")-1)))</f>
        <v/>
      </c>
    </row>
    <row r="24" spans="1:6" x14ac:dyDescent="0.25">
      <c r="F24" t="str">
        <f>IF(A24="","",VALUE(LEFT(A24,FIND("/",A24&amp;"/")-1)))</f>
        <v/>
      </c>
    </row>
    <row r="25" spans="1:6" x14ac:dyDescent="0.25">
      <c r="F25" t="str">
        <f>IF(A25="","",VALUE(LEFT(A25,FIND("/",A25&amp;"/")-1)))</f>
        <v/>
      </c>
    </row>
    <row r="26" spans="1:6" x14ac:dyDescent="0.25">
      <c r="F26" t="str">
        <f>IF(A26="","",VALUE(LEFT(A26,FIND("/",A26&amp;"/")-1)))</f>
        <v/>
      </c>
    </row>
    <row r="27" spans="1:6" x14ac:dyDescent="0.25">
      <c r="F27" t="str">
        <f>IF(A27="","",VALUE(LEFT(A27,FIND("/",A27&amp;"/")-1)))</f>
        <v/>
      </c>
    </row>
    <row r="28" spans="1:6" x14ac:dyDescent="0.25">
      <c r="F28" t="str">
        <f>IF(A28="","",VALUE(LEFT(A28,FIND("/",A28&amp;"/")-1)))</f>
        <v/>
      </c>
    </row>
    <row r="29" spans="1:6" x14ac:dyDescent="0.25">
      <c r="F29" t="str">
        <f>IF(A29="","",VALUE(LEFT(A29,FIND("/",A29&amp;"/")-1)))</f>
        <v/>
      </c>
    </row>
    <row r="30" spans="1:6" x14ac:dyDescent="0.25">
      <c r="F30" t="str">
        <f>IF(A30="","",VALUE(LEFT(A30,FIND("/",A30&amp;"/")-1)))</f>
        <v/>
      </c>
    </row>
    <row r="31" spans="1:6" x14ac:dyDescent="0.25">
      <c r="F31" t="str">
        <f>IF(A31="","",VALUE(LEFT(A31,FIND("/",A31&amp;"/")-1)))</f>
        <v/>
      </c>
    </row>
    <row r="32" spans="1:6" x14ac:dyDescent="0.25">
      <c r="F32" t="str">
        <f>IF(A32="","",VALUE(LEFT(A32,FIND("/",A32&amp;"/")-1)))</f>
        <v/>
      </c>
    </row>
    <row r="33" spans="6:6" x14ac:dyDescent="0.25">
      <c r="F33" t="str">
        <f>IF(A33="","",VALUE(LEFT(A33,FIND("/",A33&amp;"/")-1)))</f>
        <v/>
      </c>
    </row>
    <row r="34" spans="6:6" x14ac:dyDescent="0.25">
      <c r="F34" t="str">
        <f>IF(A34="","",VALUE(LEFT(A34,FIND("/",A34&amp;"/")-1)))</f>
        <v/>
      </c>
    </row>
    <row r="35" spans="6:6" x14ac:dyDescent="0.25">
      <c r="F35" t="str">
        <f>IF(A35="","",VALUE(LEFT(A35,FIND("/",A35&amp;"/")-1)))</f>
        <v/>
      </c>
    </row>
    <row r="36" spans="6:6" x14ac:dyDescent="0.25">
      <c r="F36" t="str">
        <f>IF(A36="","",VALUE(LEFT(A36,FIND("/",A36&amp;"/")-1)))</f>
        <v/>
      </c>
    </row>
    <row r="37" spans="6:6" x14ac:dyDescent="0.25">
      <c r="F37" t="str">
        <f>IF(A37="","",VALUE(LEFT(A37,FIND("/",A37&amp;"/")-1)))</f>
        <v/>
      </c>
    </row>
    <row r="38" spans="6:6" x14ac:dyDescent="0.25">
      <c r="F38" t="str">
        <f>IF(A38="","",VALUE(LEFT(A38,FIND("/",A38&amp;"/")-1)))</f>
        <v/>
      </c>
    </row>
    <row r="39" spans="6:6" x14ac:dyDescent="0.25">
      <c r="F39" t="str">
        <f>IF(A39="","",VALUE(LEFT(A39,FIND("/",A39&amp;"/")-1)))</f>
        <v/>
      </c>
    </row>
    <row r="40" spans="6:6" x14ac:dyDescent="0.25">
      <c r="F40" t="str">
        <f>IF(A40="","",VALUE(LEFT(A40,FIND("/",A40&amp;"/")-1)))</f>
        <v/>
      </c>
    </row>
    <row r="41" spans="6:6" x14ac:dyDescent="0.25">
      <c r="F41" t="str">
        <f>IF(A41="","",VALUE(LEFT(A41,FIND("/",A41&amp;"/")-1)))</f>
        <v/>
      </c>
    </row>
    <row r="42" spans="6:6" x14ac:dyDescent="0.25">
      <c r="F42" t="str">
        <f>IF(A42="","",VALUE(LEFT(A42,FIND("/",A42&amp;"/")-1)))</f>
        <v/>
      </c>
    </row>
    <row r="43" spans="6:6" x14ac:dyDescent="0.25">
      <c r="F43" t="str">
        <f>IF(A43="","",VALUE(LEFT(A43,FIND("/",A43&amp;"/")-1)))</f>
        <v/>
      </c>
    </row>
    <row r="44" spans="6:6" x14ac:dyDescent="0.25">
      <c r="F44" t="str">
        <f>IF(A44="","",VALUE(LEFT(A44,FIND("/",A44&amp;"/")-1)))</f>
        <v/>
      </c>
    </row>
    <row r="45" spans="6:6" x14ac:dyDescent="0.25">
      <c r="F45" t="str">
        <f>IF(A45="","",VALUE(LEFT(A45,FIND("/",A45&amp;"/")-1)))</f>
        <v/>
      </c>
    </row>
    <row r="46" spans="6:6" x14ac:dyDescent="0.25">
      <c r="F46" t="str">
        <f>IF(A46="","",VALUE(LEFT(A46,FIND("/",A46&amp;"/")-1)))</f>
        <v/>
      </c>
    </row>
    <row r="47" spans="6:6" x14ac:dyDescent="0.25">
      <c r="F47" t="str">
        <f>IF(A47="","",VALUE(LEFT(A47,FIND("/",A47&amp;"/")-1)))</f>
        <v/>
      </c>
    </row>
    <row r="48" spans="6:6" x14ac:dyDescent="0.25">
      <c r="F48" t="str">
        <f>IF(A48="","",VALUE(LEFT(A48,FIND("/",A48&amp;"/")-1)))</f>
        <v/>
      </c>
    </row>
    <row r="49" spans="6:6" x14ac:dyDescent="0.25">
      <c r="F49" t="str">
        <f>IF(A49="","",VALUE(LEFT(A49,FIND("/",A49&amp;"/")-1)))</f>
        <v/>
      </c>
    </row>
    <row r="50" spans="6:6" x14ac:dyDescent="0.25">
      <c r="F50" t="str">
        <f>IF(A50="","",VALUE(LEFT(A50,FIND("/",A50&amp;"/")-1)))</f>
        <v/>
      </c>
    </row>
    <row r="51" spans="6:6" x14ac:dyDescent="0.25">
      <c r="F51" t="str">
        <f>IF(A51="","",VALUE(LEFT(A51,FIND("/",A51&amp;"/")-1)))</f>
        <v/>
      </c>
    </row>
    <row r="52" spans="6:6" x14ac:dyDescent="0.25">
      <c r="F52" t="str">
        <f>IF(A52="","",VALUE(LEFT(A52,FIND("/",A52&amp;"/")-1)))</f>
        <v/>
      </c>
    </row>
    <row r="53" spans="6:6" x14ac:dyDescent="0.25">
      <c r="F53" t="str">
        <f>IF(A53="","",VALUE(LEFT(A53,FIND("/",A53&amp;"/")-1)))</f>
        <v/>
      </c>
    </row>
    <row r="54" spans="6:6" x14ac:dyDescent="0.25">
      <c r="F54" t="str">
        <f>IF(A54="","",VALUE(LEFT(A54,FIND("/",A54&amp;"/")-1)))</f>
        <v/>
      </c>
    </row>
    <row r="55" spans="6:6" x14ac:dyDescent="0.25">
      <c r="F55" t="str">
        <f>IF(A55="","",VALUE(LEFT(A55,FIND("/",A55&amp;"/")-1)))</f>
        <v/>
      </c>
    </row>
    <row r="56" spans="6:6" x14ac:dyDescent="0.25">
      <c r="F56" t="str">
        <f>IF(A56="","",VALUE(LEFT(A56,FIND("/",A56&amp;"/")-1)))</f>
        <v/>
      </c>
    </row>
    <row r="57" spans="6:6" x14ac:dyDescent="0.25">
      <c r="F57" t="str">
        <f>IF(A57="","",VALUE(LEFT(A57,FIND("/",A57&amp;"/")-1)))</f>
        <v/>
      </c>
    </row>
    <row r="58" spans="6:6" x14ac:dyDescent="0.25">
      <c r="F58" t="str">
        <f>IF(A58="","",VALUE(LEFT(A58,FIND("/",A58&amp;"/")-1)))</f>
        <v/>
      </c>
    </row>
    <row r="59" spans="6:6" x14ac:dyDescent="0.25">
      <c r="F59" t="str">
        <f>IF(A59="","",VALUE(LEFT(A59,FIND("/",A59&amp;"/")-1)))</f>
        <v/>
      </c>
    </row>
    <row r="60" spans="6:6" x14ac:dyDescent="0.25">
      <c r="F60" t="str">
        <f>IF(A60="","",VALUE(LEFT(A60,FIND("/",A60&amp;"/")-1)))</f>
        <v/>
      </c>
    </row>
    <row r="61" spans="6:6" x14ac:dyDescent="0.25">
      <c r="F61" t="str">
        <f>IF(A61="","",VALUE(LEFT(A61,FIND("/",A61&amp;"/")-1)))</f>
        <v/>
      </c>
    </row>
    <row r="62" spans="6:6" x14ac:dyDescent="0.25">
      <c r="F62" t="str">
        <f>IF(A62="","",VALUE(LEFT(A62,FIND("/",A62&amp;"/")-1)))</f>
        <v/>
      </c>
    </row>
    <row r="63" spans="6:6" x14ac:dyDescent="0.25">
      <c r="F63" t="str">
        <f>IF(A63="","",VALUE(LEFT(A63,FIND("/",A63&amp;"/")-1)))</f>
        <v/>
      </c>
    </row>
    <row r="64" spans="6:6" x14ac:dyDescent="0.25">
      <c r="F64" t="str">
        <f>IF(A64="","",VALUE(LEFT(A64,FIND("/",A64&amp;"/")-1)))</f>
        <v/>
      </c>
    </row>
    <row r="65" spans="6:6" x14ac:dyDescent="0.25">
      <c r="F65" t="str">
        <f>IF(A65="","",VALUE(LEFT(A65,FIND("/",A65&amp;"/")-1)))</f>
        <v/>
      </c>
    </row>
    <row r="66" spans="6:6" x14ac:dyDescent="0.25">
      <c r="F66" t="str">
        <f>IF(A66="","",VALUE(LEFT(A66,FIND("/",A66&amp;"/")-1)))</f>
        <v/>
      </c>
    </row>
    <row r="67" spans="6:6" x14ac:dyDescent="0.25">
      <c r="F67" t="str">
        <f>IF(A67="","",VALUE(LEFT(A67,FIND("/",A67&amp;"/")-1)))</f>
        <v/>
      </c>
    </row>
    <row r="68" spans="6:6" x14ac:dyDescent="0.25">
      <c r="F68" t="str">
        <f>IF(A68="","",VALUE(LEFT(A68,FIND("/",A68&amp;"/")-1)))</f>
        <v/>
      </c>
    </row>
    <row r="69" spans="6:6" x14ac:dyDescent="0.25">
      <c r="F69" t="str">
        <f>IF(A69="","",VALUE(LEFT(A69,FIND("/",A69&amp;"/")-1)))</f>
        <v/>
      </c>
    </row>
    <row r="70" spans="6:6" x14ac:dyDescent="0.25">
      <c r="F70" t="str">
        <f>IF(A70="","",VALUE(LEFT(A70,FIND("/",A70&amp;"/")-1)))</f>
        <v/>
      </c>
    </row>
    <row r="71" spans="6:6" x14ac:dyDescent="0.25">
      <c r="F71" t="str">
        <f>IF(A71="","",VALUE(LEFT(A71,FIND("/",A71&amp;"/")-1)))</f>
        <v/>
      </c>
    </row>
    <row r="72" spans="6:6" x14ac:dyDescent="0.25">
      <c r="F72" t="str">
        <f>IF(A72="","",VALUE(LEFT(A72,FIND("/",A72&amp;"/")-1)))</f>
        <v/>
      </c>
    </row>
    <row r="73" spans="6:6" x14ac:dyDescent="0.25">
      <c r="F73" t="str">
        <f>IF(A73="","",VALUE(LEFT(A73,FIND("/",A73&amp;"/")-1)))</f>
        <v/>
      </c>
    </row>
    <row r="74" spans="6:6" x14ac:dyDescent="0.25">
      <c r="F74" t="str">
        <f>IF(A74="","",VALUE(LEFT(A74,FIND("/",A74&amp;"/")-1)))</f>
        <v/>
      </c>
    </row>
    <row r="75" spans="6:6" x14ac:dyDescent="0.25">
      <c r="F75" t="str">
        <f>IF(A75="","",VALUE(LEFT(A75,FIND("/",A75&amp;"/")-1)))</f>
        <v/>
      </c>
    </row>
    <row r="76" spans="6:6" x14ac:dyDescent="0.25">
      <c r="F76" t="str">
        <f>IF(A76="","",VALUE(LEFT(A76,FIND("/",A76&amp;"/")-1)))</f>
        <v/>
      </c>
    </row>
    <row r="77" spans="6:6" x14ac:dyDescent="0.25">
      <c r="F77" t="str">
        <f>IF(A77="","",VALUE(LEFT(A77,FIND("/",A77&amp;"/")-1)))</f>
        <v/>
      </c>
    </row>
    <row r="78" spans="6:6" x14ac:dyDescent="0.25">
      <c r="F78" t="str">
        <f>IF(A78="","",VALUE(LEFT(A78,FIND("/",A78&amp;"/")-1)))</f>
        <v/>
      </c>
    </row>
    <row r="79" spans="6:6" x14ac:dyDescent="0.25">
      <c r="F79" t="str">
        <f>IF(A79="","",VALUE(LEFT(A79,FIND("/",A79&amp;"/")-1)))</f>
        <v/>
      </c>
    </row>
    <row r="80" spans="6:6" x14ac:dyDescent="0.25">
      <c r="F80" t="str">
        <f>IF(A80="","",VALUE(LEFT(A80,FIND("/",A80&amp;"/")-1)))</f>
        <v/>
      </c>
    </row>
    <row r="81" spans="6:6" x14ac:dyDescent="0.25">
      <c r="F81" t="str">
        <f>IF(A81="","",VALUE(LEFT(A81,FIND("/",A81&amp;"/")-1)))</f>
        <v/>
      </c>
    </row>
    <row r="82" spans="6:6" x14ac:dyDescent="0.25">
      <c r="F82" t="str">
        <f>IF(A82="","",VALUE(LEFT(A82,FIND("/",A82&amp;"/")-1)))</f>
        <v/>
      </c>
    </row>
    <row r="83" spans="6:6" x14ac:dyDescent="0.25">
      <c r="F83" t="str">
        <f>IF(A83="","",VALUE(LEFT(A83,FIND("/",A83&amp;"/")-1)))</f>
        <v/>
      </c>
    </row>
    <row r="84" spans="6:6" x14ac:dyDescent="0.25">
      <c r="F84" t="str">
        <f>IF(A84="","",VALUE(LEFT(A84,FIND("/",A84&amp;"/")-1)))</f>
        <v/>
      </c>
    </row>
    <row r="85" spans="6:6" x14ac:dyDescent="0.25">
      <c r="F85" t="str">
        <f>IF(A85="","",VALUE(LEFT(A85,FIND("/",A85&amp;"/")-1)))</f>
        <v/>
      </c>
    </row>
    <row r="86" spans="6:6" x14ac:dyDescent="0.25">
      <c r="F86" t="str">
        <f>IF(A86="","",VALUE(LEFT(A86,FIND("/",A86&amp;"/")-1)))</f>
        <v/>
      </c>
    </row>
    <row r="87" spans="6:6" x14ac:dyDescent="0.25">
      <c r="F87" t="str">
        <f>IF(A87="","",VALUE(LEFT(A87,FIND("/",A87&amp;"/")-1)))</f>
        <v/>
      </c>
    </row>
    <row r="88" spans="6:6" x14ac:dyDescent="0.25">
      <c r="F88" t="str">
        <f>IF(A88="","",VALUE(LEFT(A88,FIND("/",A88&amp;"/")-1)))</f>
        <v/>
      </c>
    </row>
    <row r="89" spans="6:6" x14ac:dyDescent="0.25">
      <c r="F89" t="str">
        <f>IF(A89="","",VALUE(LEFT(A89,FIND("/",A89&amp;"/")-1)))</f>
        <v/>
      </c>
    </row>
    <row r="90" spans="6:6" x14ac:dyDescent="0.25">
      <c r="F90" t="str">
        <f>IF(A90="","",VALUE(LEFT(A90,FIND("/",A90&amp;"/")-1)))</f>
        <v/>
      </c>
    </row>
    <row r="91" spans="6:6" x14ac:dyDescent="0.25">
      <c r="F91" t="str">
        <f>IF(A91="","",VALUE(LEFT(A91,FIND("/",A91&amp;"/")-1)))</f>
        <v/>
      </c>
    </row>
    <row r="92" spans="6:6" x14ac:dyDescent="0.25">
      <c r="F92" t="str">
        <f>IF(A92="","",VALUE(LEFT(A92,FIND("/",A92&amp;"/")-1)))</f>
        <v/>
      </c>
    </row>
    <row r="93" spans="6:6" x14ac:dyDescent="0.25">
      <c r="F93" t="str">
        <f>IF(A93="","",VALUE(LEFT(A93,FIND("/",A93&amp;"/")-1)))</f>
        <v/>
      </c>
    </row>
    <row r="94" spans="6:6" x14ac:dyDescent="0.25">
      <c r="F94" t="str">
        <f>IF(A94="","",VALUE(LEFT(A94,FIND("/",A94&amp;"/")-1)))</f>
        <v/>
      </c>
    </row>
    <row r="95" spans="6:6" x14ac:dyDescent="0.25">
      <c r="F95" t="str">
        <f>IF(A95="","",VALUE(LEFT(A95,FIND("/",A95&amp;"/")-1)))</f>
        <v/>
      </c>
    </row>
    <row r="96" spans="6:6" x14ac:dyDescent="0.25">
      <c r="F96" t="str">
        <f>IF(A96="","",VALUE(LEFT(A96,FIND("/",A96&amp;"/")-1)))</f>
        <v/>
      </c>
    </row>
    <row r="97" spans="6:6" x14ac:dyDescent="0.25">
      <c r="F97" t="str">
        <f>IF(A97="","",VALUE(LEFT(A97,FIND("/",A97&amp;"/")-1)))</f>
        <v/>
      </c>
    </row>
    <row r="98" spans="6:6" x14ac:dyDescent="0.25">
      <c r="F98" t="str">
        <f>IF(A98="","",VALUE(LEFT(A98,FIND("/",A98&amp;"/")-1)))</f>
        <v/>
      </c>
    </row>
    <row r="99" spans="6:6" x14ac:dyDescent="0.25">
      <c r="F99" t="str">
        <f>IF(A99="","",VALUE(LEFT(A99,FIND("/",A99&amp;"/")-1)))</f>
        <v/>
      </c>
    </row>
    <row r="100" spans="6:6" x14ac:dyDescent="0.25">
      <c r="F100" t="str">
        <f>IF(A100="","",VALUE(LEFT(A100,FIND("/",A100&amp;"/")-1)))</f>
        <v/>
      </c>
    </row>
    <row r="101" spans="6:6" x14ac:dyDescent="0.25">
      <c r="F101" t="str">
        <f>IF(A101="","",VALUE(LEFT(A101,FIND("/",A101&amp;"/")-1)))</f>
        <v/>
      </c>
    </row>
    <row r="102" spans="6:6" x14ac:dyDescent="0.25">
      <c r="F102" t="str">
        <f>IF(A102="","",VALUE(LEFT(A102,FIND("/",A102&amp;"/")-1)))</f>
        <v/>
      </c>
    </row>
    <row r="103" spans="6:6" x14ac:dyDescent="0.25">
      <c r="F103" t="str">
        <f>IF(A103="","",VALUE(LEFT(A103,FIND("/",A103&amp;"/")-1)))</f>
        <v/>
      </c>
    </row>
    <row r="104" spans="6:6" x14ac:dyDescent="0.25">
      <c r="F104" t="str">
        <f>IF(A104="","",VALUE(LEFT(A104,FIND("/",A104&amp;"/")-1)))</f>
        <v/>
      </c>
    </row>
    <row r="105" spans="6:6" x14ac:dyDescent="0.25">
      <c r="F105" t="str">
        <f>IF(A105="","",VALUE(LEFT(A105,FIND("/",A105&amp;"/")-1)))</f>
        <v/>
      </c>
    </row>
    <row r="106" spans="6:6" x14ac:dyDescent="0.25">
      <c r="F106" t="str">
        <f>IF(A106="","",VALUE(LEFT(A106,FIND("/",A106&amp;"/")-1)))</f>
        <v/>
      </c>
    </row>
    <row r="107" spans="6:6" x14ac:dyDescent="0.25">
      <c r="F107" t="str">
        <f>IF(A107="","",VALUE(LEFT(A107,FIND("/",A107&amp;"/")-1)))</f>
        <v/>
      </c>
    </row>
    <row r="108" spans="6:6" x14ac:dyDescent="0.25">
      <c r="F108" t="str">
        <f>IF(A108="","",VALUE(LEFT(A108,FIND("/",A108&amp;"/")-1)))</f>
        <v/>
      </c>
    </row>
    <row r="109" spans="6:6" x14ac:dyDescent="0.25">
      <c r="F109" t="str">
        <f>IF(A109="","",VALUE(LEFT(A109,FIND("/",A109&amp;"/")-1)))</f>
        <v/>
      </c>
    </row>
    <row r="110" spans="6:6" x14ac:dyDescent="0.25">
      <c r="F110" t="str">
        <f>IF(A110="","",VALUE(LEFT(A110,FIND("/",A110&amp;"/")-1)))</f>
        <v/>
      </c>
    </row>
    <row r="111" spans="6:6" x14ac:dyDescent="0.25">
      <c r="F111" t="str">
        <f>IF(A111="","",VALUE(LEFT(A111,FIND("/",A111&amp;"/")-1)))</f>
        <v/>
      </c>
    </row>
    <row r="112" spans="6:6" x14ac:dyDescent="0.25">
      <c r="F112" t="str">
        <f>IF(A112="","",VALUE(LEFT(A112,FIND("/",A112&amp;"/")-1)))</f>
        <v/>
      </c>
    </row>
    <row r="113" spans="6:6" x14ac:dyDescent="0.25">
      <c r="F113" t="str">
        <f>IF(A113="","",VALUE(LEFT(A113,FIND("/",A113&amp;"/")-1)))</f>
        <v/>
      </c>
    </row>
    <row r="114" spans="6:6" x14ac:dyDescent="0.25">
      <c r="F114" t="str">
        <f>IF(A114="","",VALUE(LEFT(A114,FIND("/",A114&amp;"/")-1)))</f>
        <v/>
      </c>
    </row>
    <row r="115" spans="6:6" x14ac:dyDescent="0.25">
      <c r="F115" t="str">
        <f>IF(A115="","",VALUE(LEFT(A115,FIND("/",A115&amp;"/")-1)))</f>
        <v/>
      </c>
    </row>
    <row r="116" spans="6:6" x14ac:dyDescent="0.25">
      <c r="F116" t="str">
        <f>IF(A116="","",VALUE(LEFT(A116,FIND("/",A116&amp;"/")-1)))</f>
        <v/>
      </c>
    </row>
    <row r="117" spans="6:6" x14ac:dyDescent="0.25">
      <c r="F117" t="str">
        <f>IF(A117="","",VALUE(LEFT(A117,FIND("/",A117&amp;"/")-1)))</f>
        <v/>
      </c>
    </row>
    <row r="118" spans="6:6" x14ac:dyDescent="0.25">
      <c r="F118" t="str">
        <f>IF(A118="","",VALUE(LEFT(A118,FIND("/",A118&amp;"/")-1)))</f>
        <v/>
      </c>
    </row>
    <row r="119" spans="6:6" x14ac:dyDescent="0.25">
      <c r="F119" t="str">
        <f>IF(A119="","",VALUE(LEFT(A119,FIND("/",A119&amp;"/")-1)))</f>
        <v/>
      </c>
    </row>
    <row r="120" spans="6:6" x14ac:dyDescent="0.25">
      <c r="F120" t="str">
        <f>IF(A120="","",VALUE(LEFT(A120,FIND("/",A120&amp;"/")-1)))</f>
        <v/>
      </c>
    </row>
    <row r="121" spans="6:6" x14ac:dyDescent="0.25">
      <c r="F121" t="str">
        <f>IF(A121="","",VALUE(LEFT(A121,FIND("/",A121&amp;"/")-1)))</f>
        <v/>
      </c>
    </row>
    <row r="122" spans="6:6" x14ac:dyDescent="0.25">
      <c r="F122" t="str">
        <f>IF(A122="","",VALUE(LEFT(A122,FIND("/",A122&amp;"/")-1)))</f>
        <v/>
      </c>
    </row>
    <row r="123" spans="6:6" x14ac:dyDescent="0.25">
      <c r="F123" t="str">
        <f>IF(A123="","",VALUE(LEFT(A123,FIND("/",A123&amp;"/")-1)))</f>
        <v/>
      </c>
    </row>
    <row r="124" spans="6:6" x14ac:dyDescent="0.25">
      <c r="F124" t="str">
        <f>IF(A124="","",VALUE(LEFT(A124,FIND("/",A124&amp;"/")-1)))</f>
        <v/>
      </c>
    </row>
    <row r="125" spans="6:6" x14ac:dyDescent="0.25">
      <c r="F125" t="str">
        <f>IF(A125="","",VALUE(LEFT(A125,FIND("/",A125&amp;"/")-1)))</f>
        <v/>
      </c>
    </row>
    <row r="126" spans="6:6" x14ac:dyDescent="0.25">
      <c r="F126" t="str">
        <f>IF(A126="","",VALUE(LEFT(A126,FIND("/",A126&amp;"/")-1)))</f>
        <v/>
      </c>
    </row>
    <row r="127" spans="6:6" x14ac:dyDescent="0.25">
      <c r="F127" t="str">
        <f>IF(A127="","",VALUE(LEFT(A127,FIND("/",A127&amp;"/")-1)))</f>
        <v/>
      </c>
    </row>
    <row r="128" spans="6:6" x14ac:dyDescent="0.25">
      <c r="F128" t="str">
        <f>IF(A128="","",VALUE(LEFT(A128,FIND("/",A128&amp;"/")-1)))</f>
        <v/>
      </c>
    </row>
    <row r="129" spans="6:6" x14ac:dyDescent="0.25">
      <c r="F129" t="str">
        <f>IF(A129="","",VALUE(LEFT(A129,FIND("/",A129&amp;"/")-1)))</f>
        <v/>
      </c>
    </row>
    <row r="130" spans="6:6" x14ac:dyDescent="0.25">
      <c r="F130" t="str">
        <f>IF(A130="","",VALUE(LEFT(A130,FIND("/",A130&amp;"/")-1)))</f>
        <v/>
      </c>
    </row>
    <row r="131" spans="6:6" x14ac:dyDescent="0.25">
      <c r="F131" t="str">
        <f>IF(A131="","",VALUE(LEFT(A131,FIND("/",A131&amp;"/")-1)))</f>
        <v/>
      </c>
    </row>
    <row r="132" spans="6:6" x14ac:dyDescent="0.25">
      <c r="F132" t="str">
        <f>IF(A132="","",VALUE(LEFT(A132,FIND("/",A132&amp;"/")-1)))</f>
        <v/>
      </c>
    </row>
    <row r="133" spans="6:6" x14ac:dyDescent="0.25">
      <c r="F133" t="str">
        <f>IF(A133="","",VALUE(LEFT(A133,FIND("/",A133&amp;"/")-1)))</f>
        <v/>
      </c>
    </row>
    <row r="134" spans="6:6" x14ac:dyDescent="0.25">
      <c r="F134" t="str">
        <f>IF(A134="","",VALUE(LEFT(A134,FIND("/",A134&amp;"/")-1)))</f>
        <v/>
      </c>
    </row>
    <row r="135" spans="6:6" x14ac:dyDescent="0.25">
      <c r="F135" t="str">
        <f>IF(A135="","",VALUE(LEFT(A135,FIND("/",A135&amp;"/")-1)))</f>
        <v/>
      </c>
    </row>
    <row r="136" spans="6:6" x14ac:dyDescent="0.25">
      <c r="F136" t="str">
        <f>IF(A136="","",VALUE(LEFT(A136,FIND("/",A136&amp;"/")-1)))</f>
        <v/>
      </c>
    </row>
    <row r="137" spans="6:6" x14ac:dyDescent="0.25">
      <c r="F137" t="str">
        <f>IF(A137="","",VALUE(LEFT(A137,FIND("/",A137&amp;"/")-1)))</f>
        <v/>
      </c>
    </row>
    <row r="138" spans="6:6" x14ac:dyDescent="0.25">
      <c r="F138" t="str">
        <f>IF(A138="","",VALUE(LEFT(A138,FIND("/",A138&amp;"/")-1)))</f>
        <v/>
      </c>
    </row>
    <row r="139" spans="6:6" x14ac:dyDescent="0.25">
      <c r="F139" t="str">
        <f>IF(A139="","",VALUE(LEFT(A139,FIND("/",A139&amp;"/")-1)))</f>
        <v/>
      </c>
    </row>
    <row r="140" spans="6:6" x14ac:dyDescent="0.25">
      <c r="F140" t="str">
        <f>IF(A140="","",VALUE(LEFT(A140,FIND("/",A140&amp;"/")-1)))</f>
        <v/>
      </c>
    </row>
    <row r="141" spans="6:6" x14ac:dyDescent="0.25">
      <c r="F141" t="str">
        <f>IF(A141="","",VALUE(LEFT(A141,FIND("/",A141&amp;"/")-1)))</f>
        <v/>
      </c>
    </row>
    <row r="142" spans="6:6" x14ac:dyDescent="0.25">
      <c r="F142" t="str">
        <f>IF(A142="","",VALUE(LEFT(A142,FIND("/",A142&amp;"/")-1)))</f>
        <v/>
      </c>
    </row>
    <row r="143" spans="6:6" x14ac:dyDescent="0.25">
      <c r="F143" t="str">
        <f>IF(A143="","",VALUE(LEFT(A143,FIND("/",A143&amp;"/")-1)))</f>
        <v/>
      </c>
    </row>
    <row r="144" spans="6:6" x14ac:dyDescent="0.25">
      <c r="F144" t="str">
        <f>IF(A144="","",VALUE(LEFT(A144,FIND("/",A144&amp;"/")-1)))</f>
        <v/>
      </c>
    </row>
    <row r="145" spans="6:6" x14ac:dyDescent="0.25">
      <c r="F145" t="str">
        <f>IF(A145="","",VALUE(LEFT(A145,FIND("/",A145&amp;"/")-1)))</f>
        <v/>
      </c>
    </row>
    <row r="146" spans="6:6" x14ac:dyDescent="0.25">
      <c r="F146" t="str">
        <f>IF(A146="","",VALUE(LEFT(A146,FIND("/",A146&amp;"/")-1)))</f>
        <v/>
      </c>
    </row>
    <row r="147" spans="6:6" x14ac:dyDescent="0.25">
      <c r="F147" t="str">
        <f>IF(A147="","",VALUE(LEFT(A147,FIND("/",A147&amp;"/")-1)))</f>
        <v/>
      </c>
    </row>
    <row r="148" spans="6:6" x14ac:dyDescent="0.25">
      <c r="F148" t="str">
        <f>IF(A148="","",VALUE(LEFT(A148,FIND("/",A148&amp;"/")-1)))</f>
        <v/>
      </c>
    </row>
    <row r="149" spans="6:6" x14ac:dyDescent="0.25">
      <c r="F149" t="str">
        <f>IF(A149="","",VALUE(LEFT(A149,FIND("/",A149&amp;"/")-1)))</f>
        <v/>
      </c>
    </row>
    <row r="150" spans="6:6" x14ac:dyDescent="0.25">
      <c r="F150" t="str">
        <f>IF(A150="","",VALUE(LEFT(A150,FIND("/",A150&amp;"/")-1)))</f>
        <v/>
      </c>
    </row>
    <row r="151" spans="6:6" x14ac:dyDescent="0.25">
      <c r="F151" t="str">
        <f>IF(A151="","",VALUE(LEFT(A151,FIND("/",A151&amp;"/")-1)))</f>
        <v/>
      </c>
    </row>
    <row r="152" spans="6:6" x14ac:dyDescent="0.25">
      <c r="F152" t="str">
        <f>IF(A152="","",VALUE(LEFT(A152,FIND("/",A152&amp;"/")-1)))</f>
        <v/>
      </c>
    </row>
    <row r="153" spans="6:6" x14ac:dyDescent="0.25">
      <c r="F153" t="str">
        <f>IF(A153="","",VALUE(LEFT(A153,FIND("/",A153&amp;"/")-1)))</f>
        <v/>
      </c>
    </row>
    <row r="154" spans="6:6" x14ac:dyDescent="0.25">
      <c r="F154" t="str">
        <f>IF(A154="","",VALUE(LEFT(A154,FIND("/",A154&amp;"/")-1)))</f>
        <v/>
      </c>
    </row>
    <row r="155" spans="6:6" x14ac:dyDescent="0.25">
      <c r="F155" t="str">
        <f>IF(A155="","",VALUE(LEFT(A155,FIND("/",A155&amp;"/")-1)))</f>
        <v/>
      </c>
    </row>
    <row r="156" spans="6:6" x14ac:dyDescent="0.25">
      <c r="F156" t="str">
        <f>IF(A156="","",VALUE(LEFT(A156,FIND("/",A156&amp;"/")-1)))</f>
        <v/>
      </c>
    </row>
    <row r="157" spans="6:6" x14ac:dyDescent="0.25">
      <c r="F157" t="str">
        <f>IF(A157="","",VALUE(LEFT(A157,FIND("/",A157&amp;"/")-1)))</f>
        <v/>
      </c>
    </row>
    <row r="158" spans="6:6" x14ac:dyDescent="0.25">
      <c r="F158" t="str">
        <f>IF(A158="","",VALUE(LEFT(A158,FIND("/",A158&amp;"/")-1)))</f>
        <v/>
      </c>
    </row>
    <row r="159" spans="6:6" x14ac:dyDescent="0.25">
      <c r="F159" t="str">
        <f>IF(A159="","",VALUE(LEFT(A159,FIND("/",A159&amp;"/")-1)))</f>
        <v/>
      </c>
    </row>
    <row r="160" spans="6:6" x14ac:dyDescent="0.25">
      <c r="F160" t="str">
        <f>IF(A160="","",VALUE(LEFT(A160,FIND("/",A160&amp;"/")-1)))</f>
        <v/>
      </c>
    </row>
    <row r="161" spans="6:6" x14ac:dyDescent="0.25">
      <c r="F161" t="str">
        <f>IF(A161="","",VALUE(LEFT(A161,FIND("/",A161&amp;"/")-1)))</f>
        <v/>
      </c>
    </row>
    <row r="162" spans="6:6" x14ac:dyDescent="0.25">
      <c r="F162" t="str">
        <f>IF(A162="","",VALUE(LEFT(A162,FIND("/",A162&amp;"/")-1)))</f>
        <v/>
      </c>
    </row>
    <row r="163" spans="6:6" x14ac:dyDescent="0.25">
      <c r="F163" t="str">
        <f>IF(A163="","",VALUE(LEFT(A163,FIND("/",A163&amp;"/")-1)))</f>
        <v/>
      </c>
    </row>
    <row r="164" spans="6:6" x14ac:dyDescent="0.25">
      <c r="F164" t="str">
        <f>IF(A164="","",VALUE(LEFT(A164,FIND("/",A164&amp;"/")-1)))</f>
        <v/>
      </c>
    </row>
    <row r="165" spans="6:6" x14ac:dyDescent="0.25">
      <c r="F165" t="str">
        <f>IF(A165="","",VALUE(LEFT(A165,FIND("/",A165&amp;"/")-1)))</f>
        <v/>
      </c>
    </row>
    <row r="166" spans="6:6" x14ac:dyDescent="0.25">
      <c r="F166" t="str">
        <f>IF(A166="","",VALUE(LEFT(A166,FIND("/",A166&amp;"/")-1)))</f>
        <v/>
      </c>
    </row>
    <row r="167" spans="6:6" x14ac:dyDescent="0.25">
      <c r="F167" t="str">
        <f>IF(A167="","",VALUE(LEFT(A167,FIND("/",A167&amp;"/")-1)))</f>
        <v/>
      </c>
    </row>
    <row r="168" spans="6:6" x14ac:dyDescent="0.25">
      <c r="F168" t="str">
        <f>IF(A168="","",VALUE(LEFT(A168,FIND("/",A168&amp;"/")-1)))</f>
        <v/>
      </c>
    </row>
    <row r="169" spans="6:6" x14ac:dyDescent="0.25">
      <c r="F169" t="str">
        <f>IF(A169="","",VALUE(LEFT(A169,FIND("/",A169&amp;"/")-1)))</f>
        <v/>
      </c>
    </row>
    <row r="170" spans="6:6" x14ac:dyDescent="0.25">
      <c r="F170" t="str">
        <f>IF(A170="","",VALUE(LEFT(A170,FIND("/",A170&amp;"/")-1)))</f>
        <v/>
      </c>
    </row>
    <row r="171" spans="6:6" x14ac:dyDescent="0.25">
      <c r="F171" t="str">
        <f>IF(A171="","",VALUE(LEFT(A171,FIND("/",A171&amp;"/")-1)))</f>
        <v/>
      </c>
    </row>
    <row r="172" spans="6:6" x14ac:dyDescent="0.25">
      <c r="F172" t="str">
        <f>IF(A172="","",VALUE(LEFT(A172,FIND("/",A172&amp;"/")-1)))</f>
        <v/>
      </c>
    </row>
    <row r="173" spans="6:6" x14ac:dyDescent="0.25">
      <c r="F173" t="str">
        <f>IF(A173="","",VALUE(LEFT(A173,FIND("/",A173&amp;"/")-1)))</f>
        <v/>
      </c>
    </row>
    <row r="174" spans="6:6" x14ac:dyDescent="0.25">
      <c r="F174" t="str">
        <f>IF(A174="","",VALUE(LEFT(A174,FIND("/",A174&amp;"/")-1)))</f>
        <v/>
      </c>
    </row>
    <row r="175" spans="6:6" x14ac:dyDescent="0.25">
      <c r="F175" t="str">
        <f>IF(A175="","",VALUE(LEFT(A175,FIND("/",A175&amp;"/")-1)))</f>
        <v/>
      </c>
    </row>
    <row r="176" spans="6:6" x14ac:dyDescent="0.25">
      <c r="F176" t="str">
        <f>IF(A176="","",VALUE(LEFT(A176,FIND("/",A176&amp;"/")-1)))</f>
        <v/>
      </c>
    </row>
    <row r="177" spans="6:6" x14ac:dyDescent="0.25">
      <c r="F177" t="str">
        <f>IF(A177="","",VALUE(LEFT(A177,FIND("/",A177&amp;"/")-1)))</f>
        <v/>
      </c>
    </row>
    <row r="178" spans="6:6" x14ac:dyDescent="0.25">
      <c r="F178" t="str">
        <f>IF(A178="","",VALUE(LEFT(A178,FIND("/",A178&amp;"/")-1)))</f>
        <v/>
      </c>
    </row>
    <row r="179" spans="6:6" x14ac:dyDescent="0.25">
      <c r="F179" t="str">
        <f>IF(A179="","",VALUE(LEFT(A179,FIND("/",A179&amp;"/")-1)))</f>
        <v/>
      </c>
    </row>
    <row r="180" spans="6:6" x14ac:dyDescent="0.25">
      <c r="F180" t="str">
        <f>IF(A180="","",VALUE(LEFT(A180,FIND("/",A180&amp;"/")-1)))</f>
        <v/>
      </c>
    </row>
    <row r="181" spans="6:6" x14ac:dyDescent="0.25">
      <c r="F181" t="str">
        <f>IF(A181="","",VALUE(LEFT(A181,FIND("/",A181&amp;"/")-1)))</f>
        <v/>
      </c>
    </row>
    <row r="182" spans="6:6" x14ac:dyDescent="0.25">
      <c r="F182" t="str">
        <f>IF(A182="","",VALUE(LEFT(A182,FIND("/",A182&amp;"/")-1)))</f>
        <v/>
      </c>
    </row>
    <row r="183" spans="6:6" x14ac:dyDescent="0.25">
      <c r="F183" t="str">
        <f>IF(A183="","",VALUE(LEFT(A183,FIND("/",A183&amp;"/")-1)))</f>
        <v/>
      </c>
    </row>
    <row r="184" spans="6:6" x14ac:dyDescent="0.25">
      <c r="F184" t="str">
        <f>IF(A184="","",VALUE(LEFT(A184,FIND("/",A184&amp;"/")-1)))</f>
        <v/>
      </c>
    </row>
    <row r="185" spans="6:6" x14ac:dyDescent="0.25">
      <c r="F185" t="str">
        <f>IF(A185="","",VALUE(LEFT(A185,FIND("/",A185&amp;"/")-1)))</f>
        <v/>
      </c>
    </row>
    <row r="186" spans="6:6" x14ac:dyDescent="0.25">
      <c r="F186" t="str">
        <f>IF(A186="","",VALUE(LEFT(A186,FIND("/",A186&amp;"/")-1)))</f>
        <v/>
      </c>
    </row>
    <row r="187" spans="6:6" x14ac:dyDescent="0.25">
      <c r="F187" t="str">
        <f>IF(A187="","",VALUE(LEFT(A187,FIND("/",A187&amp;"/")-1)))</f>
        <v/>
      </c>
    </row>
    <row r="188" spans="6:6" x14ac:dyDescent="0.25">
      <c r="F188" t="str">
        <f>IF(A188="","",VALUE(LEFT(A188,FIND("/",A188&amp;"/")-1)))</f>
        <v/>
      </c>
    </row>
    <row r="189" spans="6:6" x14ac:dyDescent="0.25">
      <c r="F189" t="str">
        <f>IF(A189="","",VALUE(LEFT(A189,FIND("/",A189&amp;"/")-1)))</f>
        <v/>
      </c>
    </row>
    <row r="190" spans="6:6" x14ac:dyDescent="0.25">
      <c r="F190" t="str">
        <f>IF(A190="","",VALUE(LEFT(A190,FIND("/",A190&amp;"/")-1)))</f>
        <v/>
      </c>
    </row>
    <row r="191" spans="6:6" x14ac:dyDescent="0.25">
      <c r="F191" t="str">
        <f>IF(A191="","",VALUE(LEFT(A191,FIND("/",A191&amp;"/")-1)))</f>
        <v/>
      </c>
    </row>
    <row r="192" spans="6:6" x14ac:dyDescent="0.25">
      <c r="F192" t="str">
        <f>IF(A192="","",VALUE(LEFT(A192,FIND("/",A192&amp;"/")-1)))</f>
        <v/>
      </c>
    </row>
    <row r="193" spans="1:6" x14ac:dyDescent="0.25">
      <c r="F193" t="str">
        <f>IF(A193="","",VALUE(LEFT(A193,FIND("/",A193&amp;"/")-1)))</f>
        <v/>
      </c>
    </row>
    <row r="194" spans="1:6" x14ac:dyDescent="0.25">
      <c r="F194" t="str">
        <f>IF(A194="","",VALUE(LEFT(A194,FIND("/",A194&amp;"/")-1)))</f>
        <v/>
      </c>
    </row>
    <row r="195" spans="1:6" x14ac:dyDescent="0.25">
      <c r="F195" t="str">
        <f>IF(A195="","",VALUE(LEFT(A195,FIND("/",A195&amp;"/")-1)))</f>
        <v/>
      </c>
    </row>
    <row r="196" spans="1:6" x14ac:dyDescent="0.25">
      <c r="F196" t="str">
        <f>IF(A196="","",VALUE(LEFT(A196,FIND("/",A196&amp;"/")-1)))</f>
        <v/>
      </c>
    </row>
    <row r="197" spans="1:6" x14ac:dyDescent="0.25">
      <c r="F197" t="str">
        <f>IF(A197="","",VALUE(LEFT(A197,FIND("/",A197&amp;"/")-1)))</f>
        <v/>
      </c>
    </row>
    <row r="198" spans="1:6" x14ac:dyDescent="0.25">
      <c r="F198" t="str">
        <f>IF(A198="","",VALUE(LEFT(A198,FIND("/",A198&amp;"/")-1)))</f>
        <v/>
      </c>
    </row>
    <row r="199" spans="1:6" x14ac:dyDescent="0.25">
      <c r="F199" t="str">
        <f>IF(A199="","",VALUE(LEFT(A199,FIND("/",A199&amp;"/")-1)))</f>
        <v/>
      </c>
    </row>
    <row r="200" spans="1:6" x14ac:dyDescent="0.25">
      <c r="F200" t="str">
        <f>IF(A200="","",VALUE(LEFT(A200,FIND("/",A200&amp;"/")-1)))</f>
        <v/>
      </c>
    </row>
    <row r="201" spans="1:6" x14ac:dyDescent="0.25">
      <c r="F201" t="str">
        <f>IF(A201="","",VALUE(LEFT(A201,FIND("/",A201&amp;"/")-1)))</f>
        <v/>
      </c>
    </row>
    <row r="202" spans="1:6" x14ac:dyDescent="0.25">
      <c r="F202" t="str">
        <f>IF(A202="","",VALUE(LEFT(A202,FIND("/",A202&amp;"/")-1)))</f>
        <v/>
      </c>
    </row>
    <row r="203" spans="1:6" x14ac:dyDescent="0.25">
      <c r="F203" t="str">
        <f>IF(A203="","",VALUE(LEFT(A203,FIND("/",A203&amp;"/")-1)))</f>
        <v/>
      </c>
    </row>
    <row r="204" spans="1:6" x14ac:dyDescent="0.25">
      <c r="F204" t="str">
        <f>IF(A204="","",VALUE(LEFT(A204,FIND("/",A204&amp;"/")-1)))</f>
        <v/>
      </c>
    </row>
    <row r="206" spans="1:6" x14ac:dyDescent="0.25">
      <c r="A206" s="10" t="s">
        <v>45</v>
      </c>
      <c r="B206" s="7"/>
      <c r="C206" s="7"/>
      <c r="D206" s="7"/>
      <c r="E206" s="7"/>
      <c r="F206" s="7"/>
    </row>
    <row r="207" spans="1:6" x14ac:dyDescent="0.25">
      <c r="A207" s="9" t="s">
        <v>46</v>
      </c>
      <c r="B207" s="7"/>
      <c r="C207" s="7"/>
      <c r="D207" s="7"/>
      <c r="E207" s="7"/>
    </row>
    <row r="209" spans="1:5" x14ac:dyDescent="0.25">
      <c r="A209" s="3" t="s">
        <v>11</v>
      </c>
      <c r="B209" s="3" t="s">
        <v>12</v>
      </c>
      <c r="C209" s="3" t="s">
        <v>13</v>
      </c>
      <c r="D209" s="3" t="s">
        <v>15</v>
      </c>
      <c r="E209" s="3" t="s">
        <v>16</v>
      </c>
    </row>
    <row r="210" spans="1:5" x14ac:dyDescent="0.25">
      <c r="A210" s="4"/>
      <c r="B210" s="4"/>
      <c r="C210" s="4"/>
      <c r="D210" s="4"/>
      <c r="E210" t="str">
        <f>IF(A210="","",VALUE(LEFT(A210,FIND("/",A210&amp;"/")-1)))</f>
        <v/>
      </c>
    </row>
    <row r="211" spans="1:5" x14ac:dyDescent="0.25">
      <c r="A211" s="4"/>
      <c r="B211" s="4"/>
      <c r="C211" s="4"/>
      <c r="D211" s="4"/>
      <c r="E211" t="str">
        <f>IF(A211="","",VALUE(LEFT(A211,FIND("/",A211&amp;"/")-1)))</f>
        <v/>
      </c>
    </row>
    <row r="212" spans="1:5" x14ac:dyDescent="0.25">
      <c r="A212" s="4"/>
      <c r="B212" s="4"/>
      <c r="C212" s="4"/>
      <c r="D212" s="4"/>
      <c r="E212" t="str">
        <f>IF(A212="","",VALUE(LEFT(A212,FIND("/",A212&amp;"/")-1)))</f>
        <v/>
      </c>
    </row>
    <row r="213" spans="1:5" x14ac:dyDescent="0.25">
      <c r="A213" s="4"/>
      <c r="B213" s="4"/>
      <c r="C213" s="4"/>
      <c r="D213" s="4"/>
      <c r="E213" t="str">
        <f>IF(A213="","",VALUE(LEFT(A213,FIND("/",A213&amp;"/")-1)))</f>
        <v/>
      </c>
    </row>
    <row r="214" spans="1:5" x14ac:dyDescent="0.25">
      <c r="A214" s="4"/>
      <c r="B214" s="4"/>
      <c r="C214" s="4"/>
      <c r="D214" s="4"/>
      <c r="E214" t="str">
        <f>IF(A214="","",VALUE(LEFT(A214,FIND("/",A214&amp;"/")-1)))</f>
        <v/>
      </c>
    </row>
    <row r="215" spans="1:5" x14ac:dyDescent="0.25">
      <c r="A215" s="4"/>
      <c r="B215" s="4"/>
      <c r="C215" s="4"/>
      <c r="D215" s="4"/>
      <c r="E215" t="str">
        <f>IF(A215="","",VALUE(LEFT(A215,FIND("/",A215&amp;"/")-1)))</f>
        <v/>
      </c>
    </row>
    <row r="216" spans="1:5" x14ac:dyDescent="0.25">
      <c r="A216" s="4"/>
      <c r="B216" s="4"/>
      <c r="C216" s="4"/>
      <c r="D216" s="4"/>
      <c r="E216" t="str">
        <f>IF(A216="","",VALUE(LEFT(A216,FIND("/",A216&amp;"/")-1)))</f>
        <v/>
      </c>
    </row>
    <row r="217" spans="1:5" x14ac:dyDescent="0.25">
      <c r="A217" s="4"/>
      <c r="B217" s="4"/>
      <c r="C217" s="4"/>
      <c r="D217" s="4"/>
      <c r="E217" t="str">
        <f>IF(A217="","",VALUE(LEFT(A217,FIND("/",A217&amp;"/")-1)))</f>
        <v/>
      </c>
    </row>
    <row r="218" spans="1:5" x14ac:dyDescent="0.25">
      <c r="A218" s="4"/>
      <c r="B218" s="4"/>
      <c r="C218" s="4"/>
      <c r="D218" s="4"/>
      <c r="E218" t="str">
        <f>IF(A218="","",VALUE(LEFT(A218,FIND("/",A218&amp;"/")-1)))</f>
        <v/>
      </c>
    </row>
    <row r="219" spans="1:5" x14ac:dyDescent="0.25">
      <c r="A219" s="4"/>
      <c r="B219" s="4"/>
      <c r="C219" s="4"/>
      <c r="D219" s="4"/>
      <c r="E219" t="str">
        <f>IF(A219="","",VALUE(LEFT(A219,FIND("/",A219&amp;"/")-1)))</f>
        <v/>
      </c>
    </row>
    <row r="220" spans="1:5" x14ac:dyDescent="0.25">
      <c r="A220" s="4"/>
      <c r="B220" s="4"/>
      <c r="C220" s="4"/>
      <c r="D220" s="4"/>
      <c r="E220" t="str">
        <f>IF(A220="","",VALUE(LEFT(A220,FIND("/",A220&amp;"/")-1)))</f>
        <v/>
      </c>
    </row>
    <row r="221" spans="1:5" x14ac:dyDescent="0.25">
      <c r="A221" s="4"/>
      <c r="B221" s="4"/>
      <c r="C221" s="4"/>
      <c r="D221" s="4"/>
      <c r="E221" t="str">
        <f>IF(A221="","",VALUE(LEFT(A221,FIND("/",A221&amp;"/")-1)))</f>
        <v/>
      </c>
    </row>
    <row r="222" spans="1:5" x14ac:dyDescent="0.25">
      <c r="A222" s="4"/>
      <c r="B222" s="4"/>
      <c r="C222" s="4"/>
      <c r="D222" s="4"/>
      <c r="E222" t="str">
        <f>IF(A222="","",VALUE(LEFT(A222,FIND("/",A222&amp;"/")-1)))</f>
        <v/>
      </c>
    </row>
    <row r="223" spans="1:5" x14ac:dyDescent="0.25">
      <c r="A223" s="4"/>
      <c r="B223" s="4"/>
      <c r="C223" s="4"/>
      <c r="D223" s="4"/>
      <c r="E223" t="str">
        <f>IF(A223="","",VALUE(LEFT(A223,FIND("/",A223&amp;"/")-1)))</f>
        <v/>
      </c>
    </row>
    <row r="224" spans="1:5" x14ac:dyDescent="0.25">
      <c r="E224" t="str">
        <f>IF(A224="","",VALUE(LEFT(A224,FIND("/",A224&amp;"/")-1)))</f>
        <v/>
      </c>
    </row>
    <row r="225" spans="5:5" x14ac:dyDescent="0.25">
      <c r="E225" t="str">
        <f>IF(A225="","",VALUE(LEFT(A225,FIND("/",A225&amp;"/")-1)))</f>
        <v/>
      </c>
    </row>
    <row r="226" spans="5:5" x14ac:dyDescent="0.25">
      <c r="E226" t="str">
        <f>IF(A226="","",VALUE(LEFT(A226,FIND("/",A226&amp;"/")-1)))</f>
        <v/>
      </c>
    </row>
    <row r="227" spans="5:5" x14ac:dyDescent="0.25">
      <c r="E227" t="str">
        <f>IF(A227="","",VALUE(LEFT(A227,FIND("/",A227&amp;"/")-1)))</f>
        <v/>
      </c>
    </row>
    <row r="228" spans="5:5" x14ac:dyDescent="0.25">
      <c r="E228" t="str">
        <f>IF(A228="","",VALUE(LEFT(A228,FIND("/",A228&amp;"/")-1)))</f>
        <v/>
      </c>
    </row>
    <row r="229" spans="5:5" x14ac:dyDescent="0.25">
      <c r="E229" t="str">
        <f>IF(A229="","",VALUE(LEFT(A229,FIND("/",A229&amp;"/")-1)))</f>
        <v/>
      </c>
    </row>
    <row r="230" spans="5:5" x14ac:dyDescent="0.25">
      <c r="E230" t="str">
        <f>IF(A230="","",VALUE(LEFT(A230,FIND("/",A230&amp;"/")-1)))</f>
        <v/>
      </c>
    </row>
    <row r="231" spans="5:5" x14ac:dyDescent="0.25">
      <c r="E231" t="str">
        <f>IF(A231="","",VALUE(LEFT(A231,FIND("/",A231&amp;"/")-1)))</f>
        <v/>
      </c>
    </row>
    <row r="232" spans="5:5" x14ac:dyDescent="0.25">
      <c r="E232" t="str">
        <f>IF(A232="","",VALUE(LEFT(A232,FIND("/",A232&amp;"/")-1)))</f>
        <v/>
      </c>
    </row>
    <row r="233" spans="5:5" x14ac:dyDescent="0.25">
      <c r="E233" t="str">
        <f>IF(A233="","",VALUE(LEFT(A233,FIND("/",A233&amp;"/")-1)))</f>
        <v/>
      </c>
    </row>
    <row r="234" spans="5:5" x14ac:dyDescent="0.25">
      <c r="E234" t="str">
        <f>IF(A234="","",VALUE(LEFT(A234,FIND("/",A234&amp;"/")-1)))</f>
        <v/>
      </c>
    </row>
    <row r="235" spans="5:5" x14ac:dyDescent="0.25">
      <c r="E235" t="str">
        <f>IF(A235="","",VALUE(LEFT(A235,FIND("/",A235&amp;"/")-1)))</f>
        <v/>
      </c>
    </row>
    <row r="236" spans="5:5" x14ac:dyDescent="0.25">
      <c r="E236" t="str">
        <f>IF(A236="","",VALUE(LEFT(A236,FIND("/",A236&amp;"/")-1)))</f>
        <v/>
      </c>
    </row>
    <row r="237" spans="5:5" x14ac:dyDescent="0.25">
      <c r="E237" t="str">
        <f>IF(A237="","",VALUE(LEFT(A237,FIND("/",A237&amp;"/")-1)))</f>
        <v/>
      </c>
    </row>
    <row r="238" spans="5:5" x14ac:dyDescent="0.25">
      <c r="E238" t="str">
        <f>IF(A238="","",VALUE(LEFT(A238,FIND("/",A238&amp;"/")-1)))</f>
        <v/>
      </c>
    </row>
    <row r="239" spans="5:5" x14ac:dyDescent="0.25">
      <c r="E239" t="str">
        <f>IF(A239="","",VALUE(LEFT(A239,FIND("/",A239&amp;"/")-1)))</f>
        <v/>
      </c>
    </row>
    <row r="240" spans="5:5" x14ac:dyDescent="0.25">
      <c r="E240" t="str">
        <f>IF(A240="","",VALUE(LEFT(A240,FIND("/",A240&amp;"/")-1)))</f>
        <v/>
      </c>
    </row>
    <row r="241" spans="5:5" x14ac:dyDescent="0.25">
      <c r="E241" t="str">
        <f>IF(A241="","",VALUE(LEFT(A241,FIND("/",A241&amp;"/")-1)))</f>
        <v/>
      </c>
    </row>
    <row r="242" spans="5:5" x14ac:dyDescent="0.25">
      <c r="E242" t="str">
        <f>IF(A242="","",VALUE(LEFT(A242,FIND("/",A242&amp;"/")-1)))</f>
        <v/>
      </c>
    </row>
    <row r="243" spans="5:5" x14ac:dyDescent="0.25">
      <c r="E243" t="str">
        <f>IF(A243="","",VALUE(LEFT(A243,FIND("/",A243&amp;"/")-1)))</f>
        <v/>
      </c>
    </row>
    <row r="244" spans="5:5" x14ac:dyDescent="0.25">
      <c r="E244" t="str">
        <f>IF(A244="","",VALUE(LEFT(A244,FIND("/",A244&amp;"/")-1)))</f>
        <v/>
      </c>
    </row>
    <row r="245" spans="5:5" x14ac:dyDescent="0.25">
      <c r="E245" t="str">
        <f>IF(A245="","",VALUE(LEFT(A245,FIND("/",A245&amp;"/")-1)))</f>
        <v/>
      </c>
    </row>
    <row r="246" spans="5:5" x14ac:dyDescent="0.25">
      <c r="E246" t="str">
        <f>IF(A246="","",VALUE(LEFT(A246,FIND("/",A246&amp;"/")-1)))</f>
        <v/>
      </c>
    </row>
    <row r="247" spans="5:5" x14ac:dyDescent="0.25">
      <c r="E247" t="str">
        <f>IF(A247="","",VALUE(LEFT(A247,FIND("/",A247&amp;"/")-1)))</f>
        <v/>
      </c>
    </row>
    <row r="248" spans="5:5" x14ac:dyDescent="0.25">
      <c r="E248" t="str">
        <f>IF(A248="","",VALUE(LEFT(A248,FIND("/",A248&amp;"/")-1)))</f>
        <v/>
      </c>
    </row>
    <row r="249" spans="5:5" x14ac:dyDescent="0.25">
      <c r="E249" t="str">
        <f>IF(A249="","",VALUE(LEFT(A249,FIND("/",A249&amp;"/")-1)))</f>
        <v/>
      </c>
    </row>
    <row r="250" spans="5:5" x14ac:dyDescent="0.25">
      <c r="E250" t="str">
        <f>IF(A250="","",VALUE(LEFT(A250,FIND("/",A250&amp;"/")-1)))</f>
        <v/>
      </c>
    </row>
    <row r="251" spans="5:5" x14ac:dyDescent="0.25">
      <c r="E251" t="str">
        <f>IF(A251="","",VALUE(LEFT(A251,FIND("/",A251&amp;"/")-1)))</f>
        <v/>
      </c>
    </row>
    <row r="252" spans="5:5" x14ac:dyDescent="0.25">
      <c r="E252" t="str">
        <f>IF(A252="","",VALUE(LEFT(A252,FIND("/",A252&amp;"/")-1)))</f>
        <v/>
      </c>
    </row>
    <row r="253" spans="5:5" x14ac:dyDescent="0.25">
      <c r="E253" t="str">
        <f>IF(A253="","",VALUE(LEFT(A253,FIND("/",A253&amp;"/")-1)))</f>
        <v/>
      </c>
    </row>
    <row r="254" spans="5:5" x14ac:dyDescent="0.25">
      <c r="E254" t="str">
        <f>IF(A254="","",VALUE(LEFT(A254,FIND("/",A254&amp;"/")-1)))</f>
        <v/>
      </c>
    </row>
    <row r="255" spans="5:5" x14ac:dyDescent="0.25">
      <c r="E255" t="str">
        <f>IF(A255="","",VALUE(LEFT(A255,FIND("/",A255&amp;"/")-1)))</f>
        <v/>
      </c>
    </row>
    <row r="256" spans="5:5" x14ac:dyDescent="0.25">
      <c r="E256" t="str">
        <f>IF(A256="","",VALUE(LEFT(A256,FIND("/",A256&amp;"/")-1)))</f>
        <v/>
      </c>
    </row>
    <row r="257" spans="5:5" x14ac:dyDescent="0.25">
      <c r="E257" t="str">
        <f>IF(A257="","",VALUE(LEFT(A257,FIND("/",A257&amp;"/")-1)))</f>
        <v/>
      </c>
    </row>
    <row r="258" spans="5:5" x14ac:dyDescent="0.25">
      <c r="E258" t="str">
        <f>IF(A258="","",VALUE(LEFT(A258,FIND("/",A258&amp;"/")-1)))</f>
        <v/>
      </c>
    </row>
    <row r="259" spans="5:5" x14ac:dyDescent="0.25">
      <c r="E259" t="str">
        <f>IF(A259="","",VALUE(LEFT(A259,FIND("/",A259&amp;"/")-1)))</f>
        <v/>
      </c>
    </row>
    <row r="260" spans="5:5" x14ac:dyDescent="0.25">
      <c r="E260" t="str">
        <f>IF(A260="","",VALUE(LEFT(A260,FIND("/",A260&amp;"/")-1)))</f>
        <v/>
      </c>
    </row>
    <row r="261" spans="5:5" x14ac:dyDescent="0.25">
      <c r="E261" t="str">
        <f>IF(A261="","",VALUE(LEFT(A261,FIND("/",A261&amp;"/")-1)))</f>
        <v/>
      </c>
    </row>
    <row r="262" spans="5:5" x14ac:dyDescent="0.25">
      <c r="E262" t="str">
        <f>IF(A262="","",VALUE(LEFT(A262,FIND("/",A262&amp;"/")-1)))</f>
        <v/>
      </c>
    </row>
    <row r="263" spans="5:5" x14ac:dyDescent="0.25">
      <c r="E263" t="str">
        <f>IF(A263="","",VALUE(LEFT(A263,FIND("/",A263&amp;"/")-1)))</f>
        <v/>
      </c>
    </row>
    <row r="264" spans="5:5" x14ac:dyDescent="0.25">
      <c r="E264" t="str">
        <f>IF(A264="","",VALUE(LEFT(A264,FIND("/",A264&amp;"/")-1)))</f>
        <v/>
      </c>
    </row>
    <row r="265" spans="5:5" x14ac:dyDescent="0.25">
      <c r="E265" t="str">
        <f>IF(A265="","",VALUE(LEFT(A265,FIND("/",A265&amp;"/")-1)))</f>
        <v/>
      </c>
    </row>
    <row r="266" spans="5:5" x14ac:dyDescent="0.25">
      <c r="E266" t="str">
        <f>IF(A266="","",VALUE(LEFT(A266,FIND("/",A266&amp;"/")-1)))</f>
        <v/>
      </c>
    </row>
    <row r="267" spans="5:5" x14ac:dyDescent="0.25">
      <c r="E267" t="str">
        <f>IF(A267="","",VALUE(LEFT(A267,FIND("/",A267&amp;"/")-1)))</f>
        <v/>
      </c>
    </row>
    <row r="268" spans="5:5" x14ac:dyDescent="0.25">
      <c r="E268" t="str">
        <f>IF(A268="","",VALUE(LEFT(A268,FIND("/",A268&amp;"/")-1)))</f>
        <v/>
      </c>
    </row>
    <row r="269" spans="5:5" x14ac:dyDescent="0.25">
      <c r="E269" t="str">
        <f>IF(A269="","",VALUE(LEFT(A269,FIND("/",A269&amp;"/")-1)))</f>
        <v/>
      </c>
    </row>
    <row r="270" spans="5:5" x14ac:dyDescent="0.25">
      <c r="E270" t="str">
        <f>IF(A270="","",VALUE(LEFT(A270,FIND("/",A270&amp;"/")-1)))</f>
        <v/>
      </c>
    </row>
    <row r="271" spans="5:5" x14ac:dyDescent="0.25">
      <c r="E271" t="str">
        <f>IF(A271="","",VALUE(LEFT(A271,FIND("/",A271&amp;"/")-1)))</f>
        <v/>
      </c>
    </row>
    <row r="272" spans="5:5" x14ac:dyDescent="0.25">
      <c r="E272" t="str">
        <f>IF(A272="","",VALUE(LEFT(A272,FIND("/",A272&amp;"/")-1)))</f>
        <v/>
      </c>
    </row>
    <row r="273" spans="5:5" x14ac:dyDescent="0.25">
      <c r="E273" t="str">
        <f>IF(A273="","",VALUE(LEFT(A273,FIND("/",A273&amp;"/")-1)))</f>
        <v/>
      </c>
    </row>
    <row r="274" spans="5:5" x14ac:dyDescent="0.25">
      <c r="E274" t="str">
        <f>IF(A274="","",VALUE(LEFT(A274,FIND("/",A274&amp;"/")-1)))</f>
        <v/>
      </c>
    </row>
    <row r="275" spans="5:5" x14ac:dyDescent="0.25">
      <c r="E275" t="str">
        <f>IF(A275="","",VALUE(LEFT(A275,FIND("/",A275&amp;"/")-1)))</f>
        <v/>
      </c>
    </row>
    <row r="276" spans="5:5" x14ac:dyDescent="0.25">
      <c r="E276" t="str">
        <f>IF(A276="","",VALUE(LEFT(A276,FIND("/",A276&amp;"/")-1)))</f>
        <v/>
      </c>
    </row>
    <row r="277" spans="5:5" x14ac:dyDescent="0.25">
      <c r="E277" t="str">
        <f>IF(A277="","",VALUE(LEFT(A277,FIND("/",A277&amp;"/")-1)))</f>
        <v/>
      </c>
    </row>
    <row r="278" spans="5:5" x14ac:dyDescent="0.25">
      <c r="E278" t="str">
        <f>IF(A278="","",VALUE(LEFT(A278,FIND("/",A278&amp;"/")-1)))</f>
        <v/>
      </c>
    </row>
    <row r="279" spans="5:5" x14ac:dyDescent="0.25">
      <c r="E279" t="str">
        <f>IF(A279="","",VALUE(LEFT(A279,FIND("/",A279&amp;"/")-1)))</f>
        <v/>
      </c>
    </row>
    <row r="280" spans="5:5" x14ac:dyDescent="0.25">
      <c r="E280" t="str">
        <f>IF(A280="","",VALUE(LEFT(A280,FIND("/",A280&amp;"/")-1)))</f>
        <v/>
      </c>
    </row>
    <row r="281" spans="5:5" x14ac:dyDescent="0.25">
      <c r="E281" t="str">
        <f>IF(A281="","",VALUE(LEFT(A281,FIND("/",A281&amp;"/")-1)))</f>
        <v/>
      </c>
    </row>
    <row r="282" spans="5:5" x14ac:dyDescent="0.25">
      <c r="E282" t="str">
        <f>IF(A282="","",VALUE(LEFT(A282,FIND("/",A282&amp;"/")-1)))</f>
        <v/>
      </c>
    </row>
    <row r="283" spans="5:5" x14ac:dyDescent="0.25">
      <c r="E283" t="str">
        <f>IF(A283="","",VALUE(LEFT(A283,FIND("/",A283&amp;"/")-1)))</f>
        <v/>
      </c>
    </row>
    <row r="284" spans="5:5" x14ac:dyDescent="0.25">
      <c r="E284" t="str">
        <f>IF(A284="","",VALUE(LEFT(A284,FIND("/",A284&amp;"/")-1)))</f>
        <v/>
      </c>
    </row>
    <row r="285" spans="5:5" x14ac:dyDescent="0.25">
      <c r="E285" t="str">
        <f>IF(A285="","",VALUE(LEFT(A285,FIND("/",A285&amp;"/")-1)))</f>
        <v/>
      </c>
    </row>
    <row r="286" spans="5:5" x14ac:dyDescent="0.25">
      <c r="E286" t="str">
        <f>IF(A286="","",VALUE(LEFT(A286,FIND("/",A286&amp;"/")-1)))</f>
        <v/>
      </c>
    </row>
    <row r="287" spans="5:5" x14ac:dyDescent="0.25">
      <c r="E287" t="str">
        <f>IF(A287="","",VALUE(LEFT(A287,FIND("/",A287&amp;"/")-1)))</f>
        <v/>
      </c>
    </row>
    <row r="288" spans="5:5" x14ac:dyDescent="0.25">
      <c r="E288" t="str">
        <f>IF(A288="","",VALUE(LEFT(A288,FIND("/",A288&amp;"/")-1)))</f>
        <v/>
      </c>
    </row>
    <row r="289" spans="5:5" x14ac:dyDescent="0.25">
      <c r="E289" t="str">
        <f>IF(A289="","",VALUE(LEFT(A289,FIND("/",A289&amp;"/")-1)))</f>
        <v/>
      </c>
    </row>
    <row r="290" spans="5:5" x14ac:dyDescent="0.25">
      <c r="E290" t="str">
        <f>IF(A290="","",VALUE(LEFT(A290,FIND("/",A290&amp;"/")-1)))</f>
        <v/>
      </c>
    </row>
    <row r="291" spans="5:5" x14ac:dyDescent="0.25">
      <c r="E291" t="str">
        <f>IF(A291="","",VALUE(LEFT(A291,FIND("/",A291&amp;"/")-1)))</f>
        <v/>
      </c>
    </row>
    <row r="292" spans="5:5" x14ac:dyDescent="0.25">
      <c r="E292" t="str">
        <f>IF(A292="","",VALUE(LEFT(A292,FIND("/",A292&amp;"/")-1)))</f>
        <v/>
      </c>
    </row>
    <row r="293" spans="5:5" x14ac:dyDescent="0.25">
      <c r="E293" t="str">
        <f>IF(A293="","",VALUE(LEFT(A293,FIND("/",A293&amp;"/")-1)))</f>
        <v/>
      </c>
    </row>
    <row r="294" spans="5:5" x14ac:dyDescent="0.25">
      <c r="E294" t="str">
        <f>IF(A294="","",VALUE(LEFT(A294,FIND("/",A294&amp;"/")-1)))</f>
        <v/>
      </c>
    </row>
    <row r="295" spans="5:5" x14ac:dyDescent="0.25">
      <c r="E295" t="str">
        <f>IF(A295="","",VALUE(LEFT(A295,FIND("/",A295&amp;"/")-1)))</f>
        <v/>
      </c>
    </row>
    <row r="296" spans="5:5" x14ac:dyDescent="0.25">
      <c r="E296" t="str">
        <f>IF(A296="","",VALUE(LEFT(A296,FIND("/",A296&amp;"/")-1)))</f>
        <v/>
      </c>
    </row>
    <row r="297" spans="5:5" x14ac:dyDescent="0.25">
      <c r="E297" t="str">
        <f>IF(A297="","",VALUE(LEFT(A297,FIND("/",A297&amp;"/")-1)))</f>
        <v/>
      </c>
    </row>
    <row r="298" spans="5:5" x14ac:dyDescent="0.25">
      <c r="E298" t="str">
        <f>IF(A298="","",VALUE(LEFT(A298,FIND("/",A298&amp;"/")-1)))</f>
        <v/>
      </c>
    </row>
    <row r="299" spans="5:5" x14ac:dyDescent="0.25">
      <c r="E299" t="str">
        <f>IF(A299="","",VALUE(LEFT(A299,FIND("/",A299&amp;"/")-1)))</f>
        <v/>
      </c>
    </row>
    <row r="300" spans="5:5" x14ac:dyDescent="0.25">
      <c r="E300" t="str">
        <f>IF(A300="","",VALUE(LEFT(A300,FIND("/",A300&amp;"/")-1)))</f>
        <v/>
      </c>
    </row>
    <row r="301" spans="5:5" x14ac:dyDescent="0.25">
      <c r="E301" t="str">
        <f>IF(A301="","",VALUE(LEFT(A301,FIND("/",A301&amp;"/")-1)))</f>
        <v/>
      </c>
    </row>
    <row r="302" spans="5:5" x14ac:dyDescent="0.25">
      <c r="E302" t="str">
        <f>IF(A302="","",VALUE(LEFT(A302,FIND("/",A302&amp;"/")-1)))</f>
        <v/>
      </c>
    </row>
    <row r="303" spans="5:5" x14ac:dyDescent="0.25">
      <c r="E303" t="str">
        <f>IF(A303="","",VALUE(LEFT(A303,FIND("/",A303&amp;"/")-1)))</f>
        <v/>
      </c>
    </row>
    <row r="304" spans="5:5" x14ac:dyDescent="0.25">
      <c r="E304" t="str">
        <f>IF(A304="","",VALUE(LEFT(A304,FIND("/",A304&amp;"/")-1)))</f>
        <v/>
      </c>
    </row>
    <row r="305" spans="5:5" x14ac:dyDescent="0.25">
      <c r="E305" t="str">
        <f>IF(A305="","",VALUE(LEFT(A305,FIND("/",A305&amp;"/")-1)))</f>
        <v/>
      </c>
    </row>
    <row r="306" spans="5:5" x14ac:dyDescent="0.25">
      <c r="E306" t="str">
        <f>IF(A306="","",VALUE(LEFT(A306,FIND("/",A306&amp;"/")-1)))</f>
        <v/>
      </c>
    </row>
    <row r="307" spans="5:5" x14ac:dyDescent="0.25">
      <c r="E307" t="str">
        <f>IF(A307="","",VALUE(LEFT(A307,FIND("/",A307&amp;"/")-1)))</f>
        <v/>
      </c>
    </row>
    <row r="308" spans="5:5" x14ac:dyDescent="0.25">
      <c r="E308" t="str">
        <f>IF(A308="","",VALUE(LEFT(A308,FIND("/",A308&amp;"/")-1)))</f>
        <v/>
      </c>
    </row>
    <row r="309" spans="5:5" x14ac:dyDescent="0.25">
      <c r="E309" t="str">
        <f>IF(A309="","",VALUE(LEFT(A309,FIND("/",A309&amp;"/")-1)))</f>
        <v/>
      </c>
    </row>
    <row r="310" spans="5:5" x14ac:dyDescent="0.25">
      <c r="E310" t="str">
        <f>IF(A310="","",VALUE(LEFT(A310,FIND("/",A310&amp;"/")-1)))</f>
        <v/>
      </c>
    </row>
    <row r="311" spans="5:5" x14ac:dyDescent="0.25">
      <c r="E311" t="str">
        <f>IF(A311="","",VALUE(LEFT(A311,FIND("/",A311&amp;"/")-1)))</f>
        <v/>
      </c>
    </row>
    <row r="312" spans="5:5" x14ac:dyDescent="0.25">
      <c r="E312" t="str">
        <f>IF(A312="","",VALUE(LEFT(A312,FIND("/",A312&amp;"/")-1)))</f>
        <v/>
      </c>
    </row>
    <row r="313" spans="5:5" x14ac:dyDescent="0.25">
      <c r="E313" t="str">
        <f>IF(A313="","",VALUE(LEFT(A313,FIND("/",A313&amp;"/")-1)))</f>
        <v/>
      </c>
    </row>
    <row r="314" spans="5:5" x14ac:dyDescent="0.25">
      <c r="E314" t="str">
        <f>IF(A314="","",VALUE(LEFT(A314,FIND("/",A314&amp;"/")-1)))</f>
        <v/>
      </c>
    </row>
    <row r="315" spans="5:5" x14ac:dyDescent="0.25">
      <c r="E315" t="str">
        <f>IF(A315="","",VALUE(LEFT(A315,FIND("/",A315&amp;"/")-1)))</f>
        <v/>
      </c>
    </row>
    <row r="316" spans="5:5" x14ac:dyDescent="0.25">
      <c r="E316" t="str">
        <f>IF(A316="","",VALUE(LEFT(A316,FIND("/",A316&amp;"/")-1)))</f>
        <v/>
      </c>
    </row>
    <row r="317" spans="5:5" x14ac:dyDescent="0.25">
      <c r="E317" t="str">
        <f>IF(A317="","",VALUE(LEFT(A317,FIND("/",A317&amp;"/")-1)))</f>
        <v/>
      </c>
    </row>
    <row r="318" spans="5:5" x14ac:dyDescent="0.25">
      <c r="E318" t="str">
        <f>IF(A318="","",VALUE(LEFT(A318,FIND("/",A318&amp;"/")-1)))</f>
        <v/>
      </c>
    </row>
    <row r="319" spans="5:5" x14ac:dyDescent="0.25">
      <c r="E319" t="str">
        <f>IF(A319="","",VALUE(LEFT(A319,FIND("/",A319&amp;"/")-1)))</f>
        <v/>
      </c>
    </row>
    <row r="320" spans="5:5" x14ac:dyDescent="0.25">
      <c r="E320" t="str">
        <f>IF(A320="","",VALUE(LEFT(A320,FIND("/",A320&amp;"/")-1)))</f>
        <v/>
      </c>
    </row>
    <row r="321" spans="5:5" x14ac:dyDescent="0.25">
      <c r="E321" t="str">
        <f>IF(A321="","",VALUE(LEFT(A321,FIND("/",A321&amp;"/")-1)))</f>
        <v/>
      </c>
    </row>
    <row r="322" spans="5:5" x14ac:dyDescent="0.25">
      <c r="E322" t="str">
        <f>IF(A322="","",VALUE(LEFT(A322,FIND("/",A322&amp;"/")-1)))</f>
        <v/>
      </c>
    </row>
    <row r="323" spans="5:5" x14ac:dyDescent="0.25">
      <c r="E323" t="str">
        <f>IF(A323="","",VALUE(LEFT(A323,FIND("/",A323&amp;"/")-1)))</f>
        <v/>
      </c>
    </row>
    <row r="324" spans="5:5" x14ac:dyDescent="0.25">
      <c r="E324" t="str">
        <f>IF(A324="","",VALUE(LEFT(A324,FIND("/",A324&amp;"/")-1)))</f>
        <v/>
      </c>
    </row>
    <row r="325" spans="5:5" x14ac:dyDescent="0.25">
      <c r="E325" t="str">
        <f>IF(A325="","",VALUE(LEFT(A325,FIND("/",A325&amp;"/")-1)))</f>
        <v/>
      </c>
    </row>
    <row r="326" spans="5:5" x14ac:dyDescent="0.25">
      <c r="E326" t="str">
        <f>IF(A326="","",VALUE(LEFT(A326,FIND("/",A326&amp;"/")-1)))</f>
        <v/>
      </c>
    </row>
    <row r="327" spans="5:5" x14ac:dyDescent="0.25">
      <c r="E327" t="str">
        <f>IF(A327="","",VALUE(LEFT(A327,FIND("/",A327&amp;"/")-1)))</f>
        <v/>
      </c>
    </row>
    <row r="328" spans="5:5" x14ac:dyDescent="0.25">
      <c r="E328" t="str">
        <f>IF(A328="","",VALUE(LEFT(A328,FIND("/",A328&amp;"/")-1)))</f>
        <v/>
      </c>
    </row>
    <row r="329" spans="5:5" x14ac:dyDescent="0.25">
      <c r="E329" t="str">
        <f>IF(A329="","",VALUE(LEFT(A329,FIND("/",A329&amp;"/")-1)))</f>
        <v/>
      </c>
    </row>
    <row r="330" spans="5:5" x14ac:dyDescent="0.25">
      <c r="E330" t="str">
        <f>IF(A330="","",VALUE(LEFT(A330,FIND("/",A330&amp;"/")-1)))</f>
        <v/>
      </c>
    </row>
    <row r="331" spans="5:5" x14ac:dyDescent="0.25">
      <c r="E331" t="str">
        <f>IF(A331="","",VALUE(LEFT(A331,FIND("/",A331&amp;"/")-1)))</f>
        <v/>
      </c>
    </row>
    <row r="332" spans="5:5" x14ac:dyDescent="0.25">
      <c r="E332" t="str">
        <f>IF(A332="","",VALUE(LEFT(A332,FIND("/",A332&amp;"/")-1)))</f>
        <v/>
      </c>
    </row>
    <row r="333" spans="5:5" x14ac:dyDescent="0.25">
      <c r="E333" t="str">
        <f>IF(A333="","",VALUE(LEFT(A333,FIND("/",A333&amp;"/")-1)))</f>
        <v/>
      </c>
    </row>
    <row r="334" spans="5:5" x14ac:dyDescent="0.25">
      <c r="E334" t="str">
        <f>IF(A334="","",VALUE(LEFT(A334,FIND("/",A334&amp;"/")-1)))</f>
        <v/>
      </c>
    </row>
    <row r="335" spans="5:5" x14ac:dyDescent="0.25">
      <c r="E335" t="str">
        <f>IF(A335="","",VALUE(LEFT(A335,FIND("/",A335&amp;"/")-1)))</f>
        <v/>
      </c>
    </row>
    <row r="336" spans="5:5" x14ac:dyDescent="0.25">
      <c r="E336" t="str">
        <f>IF(A336="","",VALUE(LEFT(A336,FIND("/",A336&amp;"/")-1)))</f>
        <v/>
      </c>
    </row>
    <row r="337" spans="5:5" x14ac:dyDescent="0.25">
      <c r="E337" t="str">
        <f>IF(A337="","",VALUE(LEFT(A337,FIND("/",A337&amp;"/")-1)))</f>
        <v/>
      </c>
    </row>
    <row r="338" spans="5:5" x14ac:dyDescent="0.25">
      <c r="E338" t="str">
        <f>IF(A338="","",VALUE(LEFT(A338,FIND("/",A338&amp;"/")-1)))</f>
        <v/>
      </c>
    </row>
    <row r="339" spans="5:5" x14ac:dyDescent="0.25">
      <c r="E339" t="str">
        <f>IF(A339="","",VALUE(LEFT(A339,FIND("/",A339&amp;"/")-1)))</f>
        <v/>
      </c>
    </row>
    <row r="340" spans="5:5" x14ac:dyDescent="0.25">
      <c r="E340" t="str">
        <f>IF(A340="","",VALUE(LEFT(A340,FIND("/",A340&amp;"/")-1)))</f>
        <v/>
      </c>
    </row>
    <row r="341" spans="5:5" x14ac:dyDescent="0.25">
      <c r="E341" t="str">
        <f>IF(A341="","",VALUE(LEFT(A341,FIND("/",A341&amp;"/")-1)))</f>
        <v/>
      </c>
    </row>
    <row r="342" spans="5:5" x14ac:dyDescent="0.25">
      <c r="E342" t="str">
        <f>IF(A342="","",VALUE(LEFT(A342,FIND("/",A342&amp;"/")-1)))</f>
        <v/>
      </c>
    </row>
    <row r="343" spans="5:5" x14ac:dyDescent="0.25">
      <c r="E343" t="str">
        <f>IF(A343="","",VALUE(LEFT(A343,FIND("/",A343&amp;"/")-1)))</f>
        <v/>
      </c>
    </row>
    <row r="344" spans="5:5" x14ac:dyDescent="0.25">
      <c r="E344" t="str">
        <f>IF(A344="","",VALUE(LEFT(A344,FIND("/",A344&amp;"/")-1)))</f>
        <v/>
      </c>
    </row>
    <row r="345" spans="5:5" x14ac:dyDescent="0.25">
      <c r="E345" t="str">
        <f>IF(A345="","",VALUE(LEFT(A345,FIND("/",A345&amp;"/")-1)))</f>
        <v/>
      </c>
    </row>
    <row r="346" spans="5:5" x14ac:dyDescent="0.25">
      <c r="E346" t="str">
        <f>IF(A346="","",VALUE(LEFT(A346,FIND("/",A346&amp;"/")-1)))</f>
        <v/>
      </c>
    </row>
    <row r="347" spans="5:5" x14ac:dyDescent="0.25">
      <c r="E347" t="str">
        <f>IF(A347="","",VALUE(LEFT(A347,FIND("/",A347&amp;"/")-1)))</f>
        <v/>
      </c>
    </row>
    <row r="348" spans="5:5" x14ac:dyDescent="0.25">
      <c r="E348" t="str">
        <f>IF(A348="","",VALUE(LEFT(A348,FIND("/",A348&amp;"/")-1)))</f>
        <v/>
      </c>
    </row>
    <row r="349" spans="5:5" x14ac:dyDescent="0.25">
      <c r="E349" t="str">
        <f>IF(A349="","",VALUE(LEFT(A349,FIND("/",A349&amp;"/")-1)))</f>
        <v/>
      </c>
    </row>
    <row r="350" spans="5:5" x14ac:dyDescent="0.25">
      <c r="E350" t="str">
        <f>IF(A350="","",VALUE(LEFT(A350,FIND("/",A350&amp;"/")-1)))</f>
        <v/>
      </c>
    </row>
    <row r="351" spans="5:5" x14ac:dyDescent="0.25">
      <c r="E351" t="str">
        <f>IF(A351="","",VALUE(LEFT(A351,FIND("/",A351&amp;"/")-1)))</f>
        <v/>
      </c>
    </row>
    <row r="352" spans="5:5" x14ac:dyDescent="0.25">
      <c r="E352" t="str">
        <f>IF(A352="","",VALUE(LEFT(A352,FIND("/",A352&amp;"/")-1)))</f>
        <v/>
      </c>
    </row>
    <row r="353" spans="5:5" x14ac:dyDescent="0.25">
      <c r="E353" t="str">
        <f>IF(A353="","",VALUE(LEFT(A353,FIND("/",A353&amp;"/")-1)))</f>
        <v/>
      </c>
    </row>
    <row r="354" spans="5:5" x14ac:dyDescent="0.25">
      <c r="E354" t="str">
        <f>IF(A354="","",VALUE(LEFT(A354,FIND("/",A354&amp;"/")-1)))</f>
        <v/>
      </c>
    </row>
    <row r="355" spans="5:5" x14ac:dyDescent="0.25">
      <c r="E355" t="str">
        <f>IF(A355="","",VALUE(LEFT(A355,FIND("/",A355&amp;"/")-1)))</f>
        <v/>
      </c>
    </row>
    <row r="356" spans="5:5" x14ac:dyDescent="0.25">
      <c r="E356" t="str">
        <f>IF(A356="","",VALUE(LEFT(A356,FIND("/",A356&amp;"/")-1)))</f>
        <v/>
      </c>
    </row>
    <row r="357" spans="5:5" x14ac:dyDescent="0.25">
      <c r="E357" t="str">
        <f>IF(A357="","",VALUE(LEFT(A357,FIND("/",A357&amp;"/")-1)))</f>
        <v/>
      </c>
    </row>
    <row r="358" spans="5:5" x14ac:dyDescent="0.25">
      <c r="E358" t="str">
        <f>IF(A358="","",VALUE(LEFT(A358,FIND("/",A358&amp;"/")-1)))</f>
        <v/>
      </c>
    </row>
    <row r="359" spans="5:5" x14ac:dyDescent="0.25">
      <c r="E359" t="str">
        <f>IF(A359="","",VALUE(LEFT(A359,FIND("/",A359&amp;"/")-1)))</f>
        <v/>
      </c>
    </row>
    <row r="360" spans="5:5" x14ac:dyDescent="0.25">
      <c r="E360" t="str">
        <f>IF(A360="","",VALUE(LEFT(A360,FIND("/",A360&amp;"/")-1)))</f>
        <v/>
      </c>
    </row>
    <row r="361" spans="5:5" x14ac:dyDescent="0.25">
      <c r="E361" t="str">
        <f>IF(A361="","",VALUE(LEFT(A361,FIND("/",A361&amp;"/")-1)))</f>
        <v/>
      </c>
    </row>
    <row r="362" spans="5:5" x14ac:dyDescent="0.25">
      <c r="E362" t="str">
        <f>IF(A362="","",VALUE(LEFT(A362,FIND("/",A362&amp;"/")-1)))</f>
        <v/>
      </c>
    </row>
    <row r="363" spans="5:5" x14ac:dyDescent="0.25">
      <c r="E363" t="str">
        <f>IF(A363="","",VALUE(LEFT(A363,FIND("/",A363&amp;"/")-1)))</f>
        <v/>
      </c>
    </row>
    <row r="364" spans="5:5" x14ac:dyDescent="0.25">
      <c r="E364" t="str">
        <f>IF(A364="","",VALUE(LEFT(A364,FIND("/",A364&amp;"/")-1)))</f>
        <v/>
      </c>
    </row>
    <row r="365" spans="5:5" x14ac:dyDescent="0.25">
      <c r="E365" t="str">
        <f>IF(A365="","",VALUE(LEFT(A365,FIND("/",A365&amp;"/")-1)))</f>
        <v/>
      </c>
    </row>
    <row r="366" spans="5:5" x14ac:dyDescent="0.25">
      <c r="E366" t="str">
        <f>IF(A366="","",VALUE(LEFT(A366,FIND("/",A366&amp;"/")-1)))</f>
        <v/>
      </c>
    </row>
    <row r="367" spans="5:5" x14ac:dyDescent="0.25">
      <c r="E367" t="str">
        <f>IF(A367="","",VALUE(LEFT(A367,FIND("/",A367&amp;"/")-1)))</f>
        <v/>
      </c>
    </row>
    <row r="368" spans="5:5" x14ac:dyDescent="0.25">
      <c r="E368" t="str">
        <f>IF(A368="","",VALUE(LEFT(A368,FIND("/",A368&amp;"/")-1)))</f>
        <v/>
      </c>
    </row>
    <row r="369" spans="5:5" x14ac:dyDescent="0.25">
      <c r="E369" t="str">
        <f>IF(A369="","",VALUE(LEFT(A369,FIND("/",A369&amp;"/")-1)))</f>
        <v/>
      </c>
    </row>
    <row r="370" spans="5:5" x14ac:dyDescent="0.25">
      <c r="E370" t="str">
        <f>IF(A370="","",VALUE(LEFT(A370,FIND("/",A370&amp;"/")-1)))</f>
        <v/>
      </c>
    </row>
    <row r="371" spans="5:5" x14ac:dyDescent="0.25">
      <c r="E371" t="str">
        <f>IF(A371="","",VALUE(LEFT(A371,FIND("/",A371&amp;"/")-1)))</f>
        <v/>
      </c>
    </row>
    <row r="372" spans="5:5" x14ac:dyDescent="0.25">
      <c r="E372" t="str">
        <f>IF(A372="","",VALUE(LEFT(A372,FIND("/",A372&amp;"/")-1)))</f>
        <v/>
      </c>
    </row>
    <row r="373" spans="5:5" x14ac:dyDescent="0.25">
      <c r="E373" t="str">
        <f>IF(A373="","",VALUE(LEFT(A373,FIND("/",A373&amp;"/")-1)))</f>
        <v/>
      </c>
    </row>
    <row r="374" spans="5:5" x14ac:dyDescent="0.25">
      <c r="E374" t="str">
        <f>IF(A374="","",VALUE(LEFT(A374,FIND("/",A374&amp;"/")-1)))</f>
        <v/>
      </c>
    </row>
    <row r="375" spans="5:5" x14ac:dyDescent="0.25">
      <c r="E375" t="str">
        <f>IF(A375="","",VALUE(LEFT(A375,FIND("/",A375&amp;"/")-1)))</f>
        <v/>
      </c>
    </row>
    <row r="376" spans="5:5" x14ac:dyDescent="0.25">
      <c r="E376" t="str">
        <f>IF(A376="","",VALUE(LEFT(A376,FIND("/",A376&amp;"/")-1)))</f>
        <v/>
      </c>
    </row>
    <row r="377" spans="5:5" x14ac:dyDescent="0.25">
      <c r="E377" t="str">
        <f>IF(A377="","",VALUE(LEFT(A377,FIND("/",A377&amp;"/")-1)))</f>
        <v/>
      </c>
    </row>
    <row r="378" spans="5:5" x14ac:dyDescent="0.25">
      <c r="E378" t="str">
        <f>IF(A378="","",VALUE(LEFT(A378,FIND("/",A378&amp;"/")-1)))</f>
        <v/>
      </c>
    </row>
    <row r="379" spans="5:5" x14ac:dyDescent="0.25">
      <c r="E379" t="str">
        <f>IF(A379="","",VALUE(LEFT(A379,FIND("/",A379&amp;"/")-1)))</f>
        <v/>
      </c>
    </row>
    <row r="380" spans="5:5" x14ac:dyDescent="0.25">
      <c r="E380" t="str">
        <f>IF(A380="","",VALUE(LEFT(A380,FIND("/",A380&amp;"/")-1)))</f>
        <v/>
      </c>
    </row>
    <row r="381" spans="5:5" x14ac:dyDescent="0.25">
      <c r="E381" t="str">
        <f>IF(A381="","",VALUE(LEFT(A381,FIND("/",A381&amp;"/")-1)))</f>
        <v/>
      </c>
    </row>
    <row r="382" spans="5:5" x14ac:dyDescent="0.25">
      <c r="E382" t="str">
        <f>IF(A382="","",VALUE(LEFT(A382,FIND("/",A382&amp;"/")-1)))</f>
        <v/>
      </c>
    </row>
    <row r="383" spans="5:5" x14ac:dyDescent="0.25">
      <c r="E383" t="str">
        <f>IF(A383="","",VALUE(LEFT(A383,FIND("/",A383&amp;"/")-1)))</f>
        <v/>
      </c>
    </row>
    <row r="384" spans="5:5" x14ac:dyDescent="0.25">
      <c r="E384" t="str">
        <f>IF(A384="","",VALUE(LEFT(A384,FIND("/",A384&amp;"/")-1)))</f>
        <v/>
      </c>
    </row>
    <row r="385" spans="5:5" x14ac:dyDescent="0.25">
      <c r="E385" t="str">
        <f>IF(A385="","",VALUE(LEFT(A385,FIND("/",A385&amp;"/")-1)))</f>
        <v/>
      </c>
    </row>
    <row r="386" spans="5:5" x14ac:dyDescent="0.25">
      <c r="E386" t="str">
        <f>IF(A386="","",VALUE(LEFT(A386,FIND("/",A386&amp;"/")-1)))</f>
        <v/>
      </c>
    </row>
    <row r="387" spans="5:5" x14ac:dyDescent="0.25">
      <c r="E387" t="str">
        <f>IF(A387="","",VALUE(LEFT(A387,FIND("/",A387&amp;"/")-1)))</f>
        <v/>
      </c>
    </row>
    <row r="388" spans="5:5" x14ac:dyDescent="0.25">
      <c r="E388" t="str">
        <f>IF(A388="","",VALUE(LEFT(A388,FIND("/",A388&amp;"/")-1)))</f>
        <v/>
      </c>
    </row>
    <row r="389" spans="5:5" x14ac:dyDescent="0.25">
      <c r="E389" t="str">
        <f>IF(A389="","",VALUE(LEFT(A389,FIND("/",A389&amp;"/")-1)))</f>
        <v/>
      </c>
    </row>
    <row r="390" spans="5:5" x14ac:dyDescent="0.25">
      <c r="E390" t="str">
        <f>IF(A390="","",VALUE(LEFT(A390,FIND("/",A390&amp;"/")-1)))</f>
        <v/>
      </c>
    </row>
    <row r="391" spans="5:5" x14ac:dyDescent="0.25">
      <c r="E391" t="str">
        <f>IF(A391="","",VALUE(LEFT(A391,FIND("/",A391&amp;"/")-1)))</f>
        <v/>
      </c>
    </row>
    <row r="392" spans="5:5" x14ac:dyDescent="0.25">
      <c r="E392" t="str">
        <f>IF(A392="","",VALUE(LEFT(A392,FIND("/",A392&amp;"/")-1)))</f>
        <v/>
      </c>
    </row>
    <row r="393" spans="5:5" x14ac:dyDescent="0.25">
      <c r="E393" t="str">
        <f>IF(A393="","",VALUE(LEFT(A393,FIND("/",A393&amp;"/")-1)))</f>
        <v/>
      </c>
    </row>
    <row r="394" spans="5:5" x14ac:dyDescent="0.25">
      <c r="E394" t="str">
        <f>IF(A394="","",VALUE(LEFT(A394,FIND("/",A394&amp;"/")-1)))</f>
        <v/>
      </c>
    </row>
    <row r="395" spans="5:5" x14ac:dyDescent="0.25">
      <c r="E395" t="str">
        <f>IF(A395="","",VALUE(LEFT(A395,FIND("/",A395&amp;"/")-1)))</f>
        <v/>
      </c>
    </row>
    <row r="396" spans="5:5" x14ac:dyDescent="0.25">
      <c r="E396" t="str">
        <f>IF(A396="","",VALUE(LEFT(A396,FIND("/",A396&amp;"/")-1)))</f>
        <v/>
      </c>
    </row>
    <row r="397" spans="5:5" x14ac:dyDescent="0.25">
      <c r="E397" t="str">
        <f>IF(A397="","",VALUE(LEFT(A397,FIND("/",A397&amp;"/")-1)))</f>
        <v/>
      </c>
    </row>
    <row r="398" spans="5:5" x14ac:dyDescent="0.25">
      <c r="E398" t="str">
        <f>IF(A398="","",VALUE(LEFT(A398,FIND("/",A398&amp;"/")-1)))</f>
        <v/>
      </c>
    </row>
    <row r="399" spans="5:5" x14ac:dyDescent="0.25">
      <c r="E399" t="str">
        <f>IF(A399="","",VALUE(LEFT(A399,FIND("/",A399&amp;"/")-1)))</f>
        <v/>
      </c>
    </row>
    <row r="400" spans="5:5" x14ac:dyDescent="0.25">
      <c r="E400" t="str">
        <f>IF(A400="","",VALUE(LEFT(A400,FIND("/",A400&amp;"/")-1)))</f>
        <v/>
      </c>
    </row>
    <row r="401" spans="5:5" x14ac:dyDescent="0.25">
      <c r="E401" t="str">
        <f>IF(A401="","",VALUE(LEFT(A401,FIND("/",A401&amp;"/")-1)))</f>
        <v/>
      </c>
    </row>
    <row r="402" spans="5:5" x14ac:dyDescent="0.25">
      <c r="E402" t="str">
        <f>IF(A402="","",VALUE(LEFT(A402,FIND("/",A402&amp;"/")-1)))</f>
        <v/>
      </c>
    </row>
    <row r="403" spans="5:5" x14ac:dyDescent="0.25">
      <c r="E403" t="str">
        <f>IF(A403="","",VALUE(LEFT(A403,FIND("/",A403&amp;"/")-1)))</f>
        <v/>
      </c>
    </row>
    <row r="404" spans="5:5" x14ac:dyDescent="0.25">
      <c r="E404" t="str">
        <f>IF(A404="","",VALUE(LEFT(A404,FIND("/",A404&amp;"/")-1)))</f>
        <v/>
      </c>
    </row>
    <row r="405" spans="5:5" x14ac:dyDescent="0.25">
      <c r="E405" t="str">
        <f>IF(A405="","",VALUE(LEFT(A405,FIND("/",A405&amp;"/")-1)))</f>
        <v/>
      </c>
    </row>
    <row r="406" spans="5:5" x14ac:dyDescent="0.25">
      <c r="E406" t="str">
        <f>IF(A406="","",VALUE(LEFT(A406,FIND("/",A406&amp;"/")-1)))</f>
        <v/>
      </c>
    </row>
    <row r="407" spans="5:5" x14ac:dyDescent="0.25">
      <c r="E407" t="str">
        <f>IF(A407="","",VALUE(LEFT(A407,FIND("/",A407&amp;"/")-1)))</f>
        <v/>
      </c>
    </row>
    <row r="408" spans="5:5" x14ac:dyDescent="0.25">
      <c r="E408" t="str">
        <f>IF(A408="","",VALUE(LEFT(A408,FIND("/",A408&amp;"/")-1)))</f>
        <v/>
      </c>
    </row>
    <row r="409" spans="5:5" x14ac:dyDescent="0.25">
      <c r="E409" t="str">
        <f>IF(A409="","",VALUE(LEFT(A409,FIND("/",A409&amp;"/")-1)))</f>
        <v/>
      </c>
    </row>
  </sheetData>
  <mergeCells count="5">
    <mergeCell ref="A2:F2"/>
    <mergeCell ref="A1:F1"/>
    <mergeCell ref="A207:E207"/>
    <mergeCell ref="A206:F206"/>
    <mergeCell ref="A3:F3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4" width="12" customWidth="1"/>
    <col min="5" max="5" width="14" customWidth="1"/>
    <col min="7" max="8" width="13" hidden="1" customWidth="1"/>
  </cols>
  <sheetData>
    <row r="1" spans="1:7" ht="18" x14ac:dyDescent="0.25">
      <c r="A1" s="8" t="s">
        <v>47</v>
      </c>
      <c r="B1" s="7"/>
      <c r="C1" s="7"/>
      <c r="D1" s="7"/>
      <c r="E1" s="7"/>
    </row>
    <row r="2" spans="1:7" x14ac:dyDescent="0.25">
      <c r="A2" s="10" t="str">
        <f>"Avec FY : "&amp;COUNTA(SAISIE!$A$5:$A$204)&amp;" cas | "&amp;SUMPRODUCT(--(MOD(ROW($G$7:$G$246)-7,12)=0)*($G$7:$G$246&lt;&gt;""))&amp;" noeud(s)  ||  "&amp;"Sans FY : "&amp;COUNTA(SAISIE!$A$210:$A$409)&amp;" cas | "&amp;SUMPRODUCT(--(MOD(ROW($H$251:$H$490)-251,12)=0)*($H$251:$H$490&lt;&gt;""))&amp;" noeud(s)"</f>
        <v>Avec FY : 14 cas | 1 noeud(s)  ||  Sans FY : 0 cas | 0 noeud(s)</v>
      </c>
      <c r="B2" s="7"/>
      <c r="C2" s="7"/>
      <c r="D2" s="7"/>
      <c r="E2" s="7"/>
    </row>
    <row r="5" spans="1:7" x14ac:dyDescent="0.25">
      <c r="A5" s="9" t="s">
        <v>48</v>
      </c>
      <c r="B5" s="7"/>
      <c r="C5" s="7"/>
      <c r="D5" s="7"/>
      <c r="E5" s="7"/>
    </row>
    <row r="6" spans="1:7" x14ac:dyDescent="0.25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</row>
    <row r="7" spans="1:7" ht="15.75" x14ac:dyDescent="0.25">
      <c r="A7" s="11" t="str">
        <f>IF($G$7="","","Noeud "&amp;$G$7)</f>
        <v>Noeud 47</v>
      </c>
      <c r="B7" s="12"/>
      <c r="C7" s="12"/>
      <c r="D7" s="12"/>
      <c r="E7" s="12"/>
      <c r="G7">
        <f>IFERROR(INDEX(SAISIE!$F$5:$F$204,_xlfn.AGGREGATE(15,6,ROW(SAISIE!$F$5:$F$204)-ROW(SAISIE!$F$5)+1/(SAISIE!$F$5:$F$204&lt;&gt;"")/(COUNTIF($G$4:G6,SAISIE!$F$5:$F$204)=0),1)),"")</f>
        <v>47</v>
      </c>
    </row>
    <row r="8" spans="1:7" x14ac:dyDescent="0.25">
      <c r="A8" s="5" t="str">
        <f>IF(OR($G$7="",NOT(TRUE)),"","Couverture")</f>
        <v>Couverture</v>
      </c>
      <c r="B8" s="6">
        <f>IF($G$7="","",IFERROR(IFERROR(LOOKUP(2,1/((SAISIE!$F$5:$F$204=$G$7)*(LEFT(SAISIE!$B$5:$B$204,2)="G ")),SAISIE!$C$5:$C$204),LOOKUP(2,1/((SAISIE!$F$5:$F$204=$G$7)*(ISNUMBER(SEARCH("Couverture",SAISIE!$B$5:$B$204)))),SAISIE!$C$5:$C$204)),"-"))</f>
        <v>-116</v>
      </c>
      <c r="C8" s="6">
        <f>IF($G$7="","",IFERROR(IFERROR(LOOKUP(2,1/((SAISIE!$F$5:$F$204=$G$7)*(LEFT(SAISIE!$B$5:$B$204,2)="G ")),SAISIE!$D$5:$D$204),LOOKUP(2,1/((SAISIE!$F$5:$F$204=$G$7)*(ISNUMBER(SEARCH("Couverture",SAISIE!$B$5:$B$204)))),SAISIE!$D$5:$D$204)),"-"))</f>
        <v>7</v>
      </c>
      <c r="D8" s="6">
        <f>IF($G$7="","",IFERROR(IFERROR(LOOKUP(2,1/((SAISIE!$F$5:$F$204=$G$7)*(LEFT(SAISIE!$B$5:$B$204,2)="G ")),SAISIE!$E$5:$E$204),LOOKUP(2,1/((SAISIE!$F$5:$F$204=$G$7)*(ISNUMBER(SEARCH("Couverture",SAISIE!$B$5:$B$204)))),SAISIE!$E$5:$E$204)),"-"))</f>
        <v>-1285</v>
      </c>
      <c r="E8" s="6" t="str">
        <f>IF($G$7="","",IF(OR(D8="",D8="-"),"",IF(D8&gt;0,"(soulevement)",IF(D8&lt;0,"(compression)","-"))))</f>
        <v>(compression)</v>
      </c>
    </row>
    <row r="9" spans="1:7" x14ac:dyDescent="0.25">
      <c r="A9" s="5" t="str">
        <f>IF(OR($G$7="",NOT(COUNTIFS(SAISIE!$B$5:$B$204,"*Vent G/D*",SAISIE!$F$5:$F$204,$G$7)&gt;0)),"","Vent G/D")</f>
        <v>Vent G/D</v>
      </c>
      <c r="B9" s="6">
        <f>IF(OR($G$7="",NOT(COUNTIFS(SAISIE!$B$5:$B$204,"*Vent G/D*",SAISIE!$F$5:$F$204,$G$7)&gt;0)),"",IFERROR(IF(_xlfn.MINIFS(SAISIE!$E$5:$E$204,SAISIE!$B$5:$B$204,"*Vent G/D*",SAISIE!$F$5:$F$204,$G$7)&gt;=0,_xlfn.MAXIFS(SAISIE!$C$5:$C$204,SAISIE!$B$5:$B$204,"*Vent G/D*",SAISIE!$F$5:$F$204,$G$7),INDEX(SAISIE!$C$5:$C$204,MATCH(_xlfn.MINIFS(SAISIE!$E$5:$E$204,SAISIE!$B$5:$B$204,"*Vent G/D*",SAISIE!$F$5:$F$204,$G$7),SAISIE!$E$5:$E$204,0))),"-"))</f>
        <v>905</v>
      </c>
      <c r="C9" s="6">
        <f>IF(OR($G$7="",NOT(COUNTIFS(SAISIE!$B$5:$B$204,"*Vent G/D*",SAISIE!$F$5:$F$204,$G$7)&gt;0)),"",IFERROR(IF(_xlfn.MINIFS(SAISIE!$E$5:$E$204,SAISIE!$B$5:$B$204,"*Vent G/D*",SAISIE!$F$5:$F$204,$G$7)&gt;=0,INDEX(SAISIE!$D$5:$D$204,MATCH(_xlfn.MAXIFS(SAISIE!$C$5:$C$204,SAISIE!$B$5:$B$204,"*Vent G/D*",SAISIE!$F$5:$F$204,$G$7),SAISIE!$C$5:$C$204,0)),INDEX(SAISIE!$D$5:$D$204,MATCH(_xlfn.MINIFS(SAISIE!$E$5:$E$204,SAISIE!$B$5:$B$204,"*Vent G/D*",SAISIE!$F$5:$F$204,$G$7),SAISIE!$E$5:$E$204,0))),"-"))</f>
        <v>40</v>
      </c>
      <c r="D9" s="6">
        <f>IF(OR($G$7="",NOT(COUNTIFS(SAISIE!$B$5:$B$204,"*Vent G/D*",SAISIE!$F$5:$F$204,$G$7)&gt;0)),"",IFERROR(IF(_xlfn.MINIFS(SAISIE!$E$5:$E$204,SAISIE!$B$5:$B$204,"*Vent G/D*",SAISIE!$F$5:$F$204,$G$7)&gt;=0,0,_xlfn.MINIFS(SAISIE!$E$5:$E$204,SAISIE!$B$5:$B$204,"*Vent G/D*",SAISIE!$F$5:$F$204,$G$7)),"-"))</f>
        <v>0</v>
      </c>
      <c r="E9" s="6" t="str">
        <f>IF($G$7="","",IF(OR(D9="",D9="-"),"",IF(D9&gt;0,"(soulevement)",IF(D9&lt;0,"(compression)","-"))))</f>
        <v>-</v>
      </c>
    </row>
    <row r="10" spans="1:7" x14ac:dyDescent="0.25">
      <c r="A10" s="5" t="str">
        <f>IF(OR($G$7="",NOT(_xlfn.MAXIFS(SAISIE!$E$5:$E$204,SAISIE!$B$5:$B$204,"*Vent G/D*",SAISIE!$F$5:$F$204,$G$7)&gt;0)),"","Vent G/D")</f>
        <v>Vent G/D</v>
      </c>
      <c r="B10" s="6">
        <f>IF(OR($G$7="",NOT(_xlfn.MAXIFS(SAISIE!$E$5:$E$204,SAISIE!$B$5:$B$204,"*Vent G/D*",SAISIE!$F$5:$F$204,$G$7)&gt;0)),"",IFERROR(INDEX(SAISIE!$C$5:$C$204,MATCH(_xlfn.MAXIFS(SAISIE!$E$5:$E$204,SAISIE!$B$5:$B$204,"*Vent G/D*",SAISIE!$F$5:$F$204,$G$7),SAISIE!$E$5:$E$204,0)),"-"))</f>
        <v>900</v>
      </c>
      <c r="C10" s="6">
        <f>IF(OR($G$7="",NOT(_xlfn.MAXIFS(SAISIE!$E$5:$E$204,SAISIE!$B$5:$B$204,"*Vent G/D*",SAISIE!$F$5:$F$204,$G$7)&gt;0)),"",IFERROR(INDEX(SAISIE!$D$5:$D$204,MATCH(_xlfn.MAXIFS(SAISIE!$E$5:$E$204,SAISIE!$B$5:$B$204,"*Vent G/D*",SAISIE!$F$5:$F$204,$G$7),SAISIE!$E$5:$E$204,0)),"-"))</f>
        <v>32</v>
      </c>
      <c r="D10" s="6">
        <f>IF(OR($G$7="",NOT(_xlfn.MAXIFS(SAISIE!$E$5:$E$204,SAISIE!$B$5:$B$204,"*Vent G/D*",SAISIE!$F$5:$F$204,$G$7)&gt;0)),"",IFERROR(_xlfn.MAXIFS(SAISIE!$E$5:$E$204,SAISIE!$B$5:$B$204,"*Vent G/D*",SAISIE!$F$5:$F$204,$G$7),"-"))</f>
        <v>1444</v>
      </c>
      <c r="E10" s="6" t="str">
        <f>IF($G$7="","",IF(OR(D10="",D10="-"),"",IF(D10&gt;0,"(soulevement)",IF(D10&lt;0,"(compression)","-"))))</f>
        <v>(soulevement)</v>
      </c>
    </row>
    <row r="11" spans="1:7" x14ac:dyDescent="0.25">
      <c r="A11" s="5" t="str">
        <f>IF(OR($G$7="",NOT(COUNTIFS(SAISIE!$B$5:$B$204,"*Vent D/G*",SAISIE!$F$5:$F$204,$G$7)&gt;0)),"","Vent D/G")</f>
        <v>Vent D/G</v>
      </c>
      <c r="B11" s="6">
        <f>IF(OR($G$7="",NOT(COUNTIFS(SAISIE!$B$5:$B$204,"*Vent D/G*",SAISIE!$F$5:$F$204,$G$7)&gt;0)),"",IFERROR(IF(_xlfn.MINIFS(SAISIE!$E$5:$E$204,SAISIE!$B$5:$B$204,"*Vent D/G*",SAISIE!$F$5:$F$204,$G$7)&gt;=0,_xlfn.MAXIFS(SAISIE!$C$5:$C$204,SAISIE!$B$5:$B$204,"*Vent D/G*",SAISIE!$F$5:$F$204,$G$7),INDEX(SAISIE!$C$5:$C$204,MATCH(_xlfn.MINIFS(SAISIE!$E$5:$E$204,SAISIE!$B$5:$B$204,"*Vent D/G*",SAISIE!$F$5:$F$204,$G$7),SAISIE!$E$5:$E$204,0))),"-"))</f>
        <v>-513</v>
      </c>
      <c r="C11" s="6">
        <f>IF(OR($G$7="",NOT(COUNTIFS(SAISIE!$B$5:$B$204,"*Vent D/G*",SAISIE!$F$5:$F$204,$G$7)&gt;0)),"",IFERROR(IF(_xlfn.MINIFS(SAISIE!$E$5:$E$204,SAISIE!$B$5:$B$204,"*Vent D/G*",SAISIE!$F$5:$F$204,$G$7)&gt;=0,INDEX(SAISIE!$D$5:$D$204,MATCH(_xlfn.MAXIFS(SAISIE!$C$5:$C$204,SAISIE!$B$5:$B$204,"*Vent D/G*",SAISIE!$F$5:$F$204,$G$7),SAISIE!$C$5:$C$204,0)),INDEX(SAISIE!$D$5:$D$204,MATCH(_xlfn.MINIFS(SAISIE!$E$5:$E$204,SAISIE!$B$5:$B$204,"*Vent D/G*",SAISIE!$F$5:$F$204,$G$7),SAISIE!$E$5:$E$204,0))),"-"))</f>
        <v>-11</v>
      </c>
      <c r="D11" s="6">
        <f>IF(OR($G$7="",NOT(COUNTIFS(SAISIE!$B$5:$B$204,"*Vent D/G*",SAISIE!$F$5:$F$204,$G$7)&gt;0)),"",IFERROR(IF(_xlfn.MINIFS(SAISIE!$E$5:$E$204,SAISIE!$B$5:$B$204,"*Vent D/G*",SAISIE!$F$5:$F$204,$G$7)&gt;=0,0,_xlfn.MINIFS(SAISIE!$E$5:$E$204,SAISIE!$B$5:$B$204,"*Vent D/G*",SAISIE!$F$5:$F$204,$G$7)),"-"))</f>
        <v>-281</v>
      </c>
      <c r="E11" s="6" t="str">
        <f>IF($G$7="","",IF(OR(D11="",D11="-"),"",IF(D11&gt;0,"(soulevement)",IF(D11&lt;0,"(compression)","-"))))</f>
        <v>(compression)</v>
      </c>
    </row>
    <row r="12" spans="1:7" x14ac:dyDescent="0.25">
      <c r="A12" s="5" t="str">
        <f>IF(OR($G$7="",NOT(_xlfn.MAXIFS(SAISIE!$E$5:$E$204,SAISIE!$B$5:$B$204,"*Vent D/G*",SAISIE!$F$5:$F$204,$G$7)&gt;0)),"","Vent D/G")</f>
        <v>Vent D/G</v>
      </c>
      <c r="B12" s="6">
        <f>IF(OR($G$7="",NOT(_xlfn.MAXIFS(SAISIE!$E$5:$E$204,SAISIE!$B$5:$B$204,"*Vent D/G*",SAISIE!$F$5:$F$204,$G$7)&gt;0)),"",IFERROR(INDEX(SAISIE!$C$5:$C$204,MATCH(_xlfn.MAXIFS(SAISIE!$E$5:$E$204,SAISIE!$B$5:$B$204,"*Vent D/G*",SAISIE!$F$5:$F$204,$G$7),SAISIE!$E$5:$E$204,0)),"-"))</f>
        <v>-349</v>
      </c>
      <c r="C12" s="6">
        <f>IF(OR($G$7="",NOT(_xlfn.MAXIFS(SAISIE!$E$5:$E$204,SAISIE!$B$5:$B$204,"*Vent D/G*",SAISIE!$F$5:$F$204,$G$7)&gt;0)),"",IFERROR(INDEX(SAISIE!$D$5:$D$204,MATCH(_xlfn.MAXIFS(SAISIE!$E$5:$E$204,SAISIE!$B$5:$B$204,"*Vent D/G*",SAISIE!$F$5:$F$204,$G$7),SAISIE!$E$5:$E$204,0)),"-"))</f>
        <v>-2</v>
      </c>
      <c r="D12" s="6">
        <f>IF(OR($G$7="",NOT(_xlfn.MAXIFS(SAISIE!$E$5:$E$204,SAISIE!$B$5:$B$204,"*Vent D/G*",SAISIE!$F$5:$F$204,$G$7)&gt;0)),"",IFERROR(_xlfn.MAXIFS(SAISIE!$E$5:$E$204,SAISIE!$B$5:$B$204,"*Vent D/G*",SAISIE!$F$5:$F$204,$G$7),"-"))</f>
        <v>485</v>
      </c>
      <c r="E12" s="6" t="str">
        <f>IF($G$7="","",IF(OR(D12="",D12="-"),"",IF(D12&gt;0,"(soulevement)",IF(D12&lt;0,"(compression)","-"))))</f>
        <v>(soulevement)</v>
      </c>
    </row>
    <row r="13" spans="1:7" x14ac:dyDescent="0.25">
      <c r="A13" s="5" t="str">
        <f>IF(OR($G$7="",NOT(COUNTIFS(SAISIE!$B$5:$B$204,"*Vent Av./Arr.*",SAISIE!$F$5:$F$204,$G$7)&gt;0)),"","Vent Av./Arr.")</f>
        <v>Vent Av./Arr.</v>
      </c>
      <c r="B13" s="6">
        <f>IF(OR($G$7="",NOT(COUNTIFS(SAISIE!$B$5:$B$204,"*Vent Av./Arr.*",SAISIE!$F$5:$F$204,$G$7)&gt;0)),"",IFERROR(IF(_xlfn.MINIFS(SAISIE!$E$5:$E$204,SAISIE!$B$5:$B$204,"*Vent Av./Arr.*",SAISIE!$F$5:$F$204,$G$7)&gt;=0,_xlfn.MAXIFS(SAISIE!$C$5:$C$204,SAISIE!$B$5:$B$204,"*Vent Av./Arr.*",SAISIE!$F$5:$F$204,$G$7),INDEX(SAISIE!$C$5:$C$204,MATCH(_xlfn.MINIFS(SAISIE!$E$5:$E$204,SAISIE!$B$5:$B$204,"*Vent Av./Arr.*",SAISIE!$F$5:$F$204,$G$7),SAISIE!$E$5:$E$204,0))),"-"))</f>
        <v>-198</v>
      </c>
      <c r="C13" s="6">
        <f>IF(OR($G$7="",NOT(COUNTIFS(SAISIE!$B$5:$B$204,"*Vent Av./Arr.*",SAISIE!$F$5:$F$204,$G$7)&gt;0)),"",IFERROR(IF(_xlfn.MINIFS(SAISIE!$E$5:$E$204,SAISIE!$B$5:$B$204,"*Vent Av./Arr.*",SAISIE!$F$5:$F$204,$G$7)&gt;=0,INDEX(SAISIE!$D$5:$D$204,MATCH(_xlfn.MAXIFS(SAISIE!$C$5:$C$204,SAISIE!$B$5:$B$204,"*Vent Av./Arr.*",SAISIE!$F$5:$F$204,$G$7),SAISIE!$C$5:$C$204,0)),INDEX(SAISIE!$D$5:$D$204,MATCH(_xlfn.MINIFS(SAISIE!$E$5:$E$204,SAISIE!$B$5:$B$204,"*Vent Av./Arr.*",SAISIE!$F$5:$F$204,$G$7),SAISIE!$E$5:$E$204,0))),"-"))</f>
        <v>195</v>
      </c>
      <c r="D13" s="6">
        <f>IF(OR($G$7="",NOT(COUNTIFS(SAISIE!$B$5:$B$204,"*Vent Av./Arr.*",SAISIE!$F$5:$F$204,$G$7)&gt;0)),"",IFERROR(IF(_xlfn.MINIFS(SAISIE!$E$5:$E$204,SAISIE!$B$5:$B$204,"*Vent Av./Arr.*",SAISIE!$F$5:$F$204,$G$7)&gt;=0,0,_xlfn.MINIFS(SAISIE!$E$5:$E$204,SAISIE!$B$5:$B$204,"*Vent Av./Arr.*",SAISIE!$F$5:$F$204,$G$7)),"-"))</f>
        <v>0</v>
      </c>
      <c r="E13" s="6" t="str">
        <f>IF($G$7="","",IF(OR(D13="",D13="-"),"",IF(D13&gt;0,"(soulevement)",IF(D13&lt;0,"(compression)","-"))))</f>
        <v>-</v>
      </c>
    </row>
    <row r="14" spans="1:7" x14ac:dyDescent="0.25">
      <c r="A14" s="5" t="str">
        <f>IF(OR($G$7="",NOT(_xlfn.MAXIFS(SAISIE!$E$5:$E$204,SAISIE!$B$5:$B$204,"*Vent Av./Arr.*",SAISIE!$F$5:$F$204,$G$7)&gt;0)),"","Vent Av./Arr.")</f>
        <v>Vent Av./Arr.</v>
      </c>
      <c r="B14" s="6">
        <f>IF(OR($G$7="",NOT(_xlfn.MAXIFS(SAISIE!$E$5:$E$204,SAISIE!$B$5:$B$204,"*Vent Av./Arr.*",SAISIE!$F$5:$F$204,$G$7)&gt;0)),"",IFERROR(INDEX(SAISIE!$C$5:$C$204,MATCH(_xlfn.MAXIFS(SAISIE!$E$5:$E$204,SAISIE!$B$5:$B$204,"*Vent Av./Arr.*",SAISIE!$F$5:$F$204,$G$7),SAISIE!$E$5:$E$204,0)),"-"))</f>
        <v>-241</v>
      </c>
      <c r="C14" s="6">
        <f>IF(OR($G$7="",NOT(_xlfn.MAXIFS(SAISIE!$E$5:$E$204,SAISIE!$B$5:$B$204,"*Vent Av./Arr.*",SAISIE!$F$5:$F$204,$G$7)&gt;0)),"",IFERROR(INDEX(SAISIE!$D$5:$D$204,MATCH(_xlfn.MAXIFS(SAISIE!$E$5:$E$204,SAISIE!$B$5:$B$204,"*Vent Av./Arr.*",SAISIE!$F$5:$F$204,$G$7),SAISIE!$E$5:$E$204,0)),"-"))</f>
        <v>205</v>
      </c>
      <c r="D14" s="6">
        <f>IF(OR($G$7="",NOT(_xlfn.MAXIFS(SAISIE!$E$5:$E$204,SAISIE!$B$5:$B$204,"*Vent Av./Arr.*",SAISIE!$F$5:$F$204,$G$7)&gt;0)),"",IFERROR(_xlfn.MAXIFS(SAISIE!$E$5:$E$204,SAISIE!$B$5:$B$204,"*Vent Av./Arr.*",SAISIE!$F$5:$F$204,$G$7),"-"))</f>
        <v>815</v>
      </c>
      <c r="E14" s="6" t="str">
        <f>IF($G$7="","",IF(OR(D14="",D14="-"),"",IF(D14&gt;0,"(soulevement)",IF(D14&lt;0,"(compression)","-"))))</f>
        <v>(soulevement)</v>
      </c>
    </row>
    <row r="15" spans="1:7" x14ac:dyDescent="0.25">
      <c r="A15" s="5" t="str">
        <f>IF(OR($G$7="",NOT(COUNTIFS(SAISIE!$B$5:$B$204,"*Vent Arr./Av.*",SAISIE!$F$5:$F$204,$G$7)&gt;0)),"","Vent Arr./Av.")</f>
        <v>Vent Arr./Av.</v>
      </c>
      <c r="B15" s="6">
        <f>IF(OR($G$7="",NOT(COUNTIFS(SAISIE!$B$5:$B$204,"*Vent Arr./Av.*",SAISIE!$F$5:$F$204,$G$7)&gt;0)),"",IFERROR(IF(_xlfn.MINIFS(SAISIE!$E$5:$E$204,SAISIE!$B$5:$B$204,"*Vent Arr./Av.*",SAISIE!$F$5:$F$204,$G$7)&gt;=0,_xlfn.MAXIFS(SAISIE!$C$5:$C$204,SAISIE!$B$5:$B$204,"*Vent Arr./Av.*",SAISIE!$F$5:$F$204,$G$7),INDEX(SAISIE!$C$5:$C$204,MATCH(_xlfn.MINIFS(SAISIE!$E$5:$E$204,SAISIE!$B$5:$B$204,"*Vent Arr./Av.*",SAISIE!$F$5:$F$204,$G$7),SAISIE!$E$5:$E$204,0))),"-"))</f>
        <v>-37</v>
      </c>
      <c r="C15" s="6">
        <f>IF(OR($G$7="",NOT(COUNTIFS(SAISIE!$B$5:$B$204,"*Vent Arr./Av.*",SAISIE!$F$5:$F$204,$G$7)&gt;0)),"",IFERROR(IF(_xlfn.MINIFS(SAISIE!$E$5:$E$204,SAISIE!$B$5:$B$204,"*Vent Arr./Av.*",SAISIE!$F$5:$F$204,$G$7)&gt;=0,INDEX(SAISIE!$D$5:$D$204,MATCH(_xlfn.MAXIFS(SAISIE!$C$5:$C$204,SAISIE!$B$5:$B$204,"*Vent Arr./Av.*",SAISIE!$F$5:$F$204,$G$7),SAISIE!$C$5:$C$204,0)),INDEX(SAISIE!$D$5:$D$204,MATCH(_xlfn.MINIFS(SAISIE!$E$5:$E$204,SAISIE!$B$5:$B$204,"*Vent Arr./Av.*",SAISIE!$F$5:$F$204,$G$7),SAISIE!$E$5:$E$204,0))),"-"))</f>
        <v>-11</v>
      </c>
      <c r="D15" s="6">
        <f>IF(OR($G$7="",NOT(COUNTIFS(SAISIE!$B$5:$B$204,"*Vent Arr./Av.*",SAISIE!$F$5:$F$204,$G$7)&gt;0)),"",IFERROR(IF(_xlfn.MINIFS(SAISIE!$E$5:$E$204,SAISIE!$B$5:$B$204,"*Vent Arr./Av.*",SAISIE!$F$5:$F$204,$G$7)&gt;=0,0,_xlfn.MINIFS(SAISIE!$E$5:$E$204,SAISIE!$B$5:$B$204,"*Vent Arr./Av.*",SAISIE!$F$5:$F$204,$G$7)),"-"))</f>
        <v>0</v>
      </c>
      <c r="E15" s="6" t="str">
        <f>IF($G$7="","",IF(OR(D15="",D15="-"),"",IF(D15&gt;0,"(soulevement)",IF(D15&lt;0,"(compression)","-"))))</f>
        <v>-</v>
      </c>
    </row>
    <row r="16" spans="1:7" x14ac:dyDescent="0.25">
      <c r="A16" s="5" t="str">
        <f>IF(OR($G$7="",NOT(_xlfn.MAXIFS(SAISIE!$E$5:$E$204,SAISIE!$B$5:$B$204,"*Vent Arr./Av.*",SAISIE!$F$5:$F$204,$G$7)&gt;0)),"","Vent Arr./Av.")</f>
        <v>Vent Arr./Av.</v>
      </c>
      <c r="B16" s="6">
        <f>IF(OR($G$7="",NOT(_xlfn.MAXIFS(SAISIE!$E$5:$E$204,SAISIE!$B$5:$B$204,"*Vent Arr./Av.*",SAISIE!$F$5:$F$204,$G$7)&gt;0)),"",IFERROR(INDEX(SAISIE!$C$5:$C$204,MATCH(_xlfn.MAXIFS(SAISIE!$E$5:$E$204,SAISIE!$B$5:$B$204,"*Vent Arr./Av.*",SAISIE!$F$5:$F$204,$G$7),SAISIE!$E$5:$E$204,0)),"-"))</f>
        <v>-105</v>
      </c>
      <c r="C16" s="6">
        <f>IF(OR($G$7="",NOT(_xlfn.MAXIFS(SAISIE!$E$5:$E$204,SAISIE!$B$5:$B$204,"*Vent Arr./Av.*",SAISIE!$F$5:$F$204,$G$7)&gt;0)),"",IFERROR(INDEX(SAISIE!$D$5:$D$204,MATCH(_xlfn.MAXIFS(SAISIE!$E$5:$E$204,SAISIE!$B$5:$B$204,"*Vent Arr./Av.*",SAISIE!$F$5:$F$204,$G$7),SAISIE!$E$5:$E$204,0)),"-"))</f>
        <v>0</v>
      </c>
      <c r="D16" s="6">
        <f>IF(OR($G$7="",NOT(_xlfn.MAXIFS(SAISIE!$E$5:$E$204,SAISIE!$B$5:$B$204,"*Vent Arr./Av.*",SAISIE!$F$5:$F$204,$G$7)&gt;0)),"",IFERROR(_xlfn.MAXIFS(SAISIE!$E$5:$E$204,SAISIE!$B$5:$B$204,"*Vent Arr./Av.*",SAISIE!$F$5:$F$204,$G$7),"-"))</f>
        <v>400</v>
      </c>
      <c r="E16" s="6" t="str">
        <f>IF($G$7="","",IF(OR(D16="",D16="-"),"",IF(D16&gt;0,"(soulevement)",IF(D16&lt;0,"(compression)","-"))))</f>
        <v>(soulevement)</v>
      </c>
    </row>
    <row r="17" spans="1:7" x14ac:dyDescent="0.25">
      <c r="A17" s="5" t="str">
        <f>IF(OR($G$7="",NOT(TRUE)),"","Neige normale")</f>
        <v>Neige normale</v>
      </c>
      <c r="B17" s="6">
        <f>IF($G$7="","",IFERROR(INDEX(SAISIE!$C$5:$C$204,MATCH(_xlfn.MINIFS(SAISIE!$E$5:$E$204,SAISIE!$B$5:$B$204,"*Neige*",SAISIE!$B$5:$B$204,"&lt;&gt;*accidentel*",SAISIE!$F$5:$F$204,$G$7),SAISIE!$E$5:$E$204,0)),"-"))</f>
        <v>-113</v>
      </c>
      <c r="C17" s="6">
        <f>IF($G$7="","",IFERROR(INDEX(SAISIE!$D$5:$D$204,MATCH(_xlfn.MINIFS(SAISIE!$E$5:$E$204,SAISIE!$B$5:$B$204,"*Neige*",SAISIE!$B$5:$B$204,"&lt;&gt;*accidentel*",SAISIE!$F$5:$F$204,$G$7),SAISIE!$E$5:$E$204,0)),"-"))</f>
        <v>0</v>
      </c>
      <c r="D17" s="6">
        <f>IF($G$7="","",IFERROR(INDEX(SAISIE!$E$5:$E$204,MATCH(_xlfn.MINIFS(SAISIE!$E$5:$E$204,SAISIE!$B$5:$B$204,"*Neige*",SAISIE!$B$5:$B$204,"&lt;&gt;*accidentel*",SAISIE!$F$5:$F$204,$G$7),SAISIE!$E$5:$E$204,0)),"-"))</f>
        <v>-1010</v>
      </c>
      <c r="E17" s="6" t="str">
        <f>IF($G$7="","",IF(OR(D17="",D17="-"),"",IF(D17&gt;0,"(soulevement)",IF(D17&lt;0,"(compression)","-"))))</f>
        <v>(compression)</v>
      </c>
    </row>
    <row r="18" spans="1:7" x14ac:dyDescent="0.25">
      <c r="A18" s="5" t="str">
        <f>IF(OR($G$7="",NOT(TRUE)),"","Neige accidentelle")</f>
        <v>Neige accidentelle</v>
      </c>
      <c r="B18" s="6">
        <f>IF($G$7="","",IFERROR(LOOKUP(2,1/((SAISIE!$F$5:$F$204=$G$7)*(ISNUMBER(SEARCH("accidentel",SAISIE!$B$5:$B$204)))),SAISIE!$C$5:$C$204),"-"))</f>
        <v>-251</v>
      </c>
      <c r="C18" s="6">
        <f>IF($G$7="","",IFERROR(LOOKUP(2,1/((SAISIE!$F$5:$F$204=$G$7)*(ISNUMBER(SEARCH("accidentel",SAISIE!$B$5:$B$204)))),SAISIE!$D$5:$D$204),"-"))</f>
        <v>0</v>
      </c>
      <c r="D18" s="6">
        <f>IF($G$7="","",IFERROR(LOOKUP(2,1/((SAISIE!$F$5:$F$204=$G$7)*(ISNUMBER(SEARCH("accidentel",SAISIE!$B$5:$B$204)))),SAISIE!$E$5:$E$204),"-"))</f>
        <v>-2244</v>
      </c>
      <c r="E18" s="6" t="str">
        <f>IF($G$7="","",IF(OR(D18="",D18="-"),"",IF(D18&gt;0,"(soulevement)",IF(D18&lt;0,"(compression)","-"))))</f>
        <v>(compression)</v>
      </c>
    </row>
    <row r="19" spans="1:7" ht="15.75" x14ac:dyDescent="0.25">
      <c r="A19" s="11" t="str">
        <f>IF($G$19="","","Noeud "&amp;$G$19)</f>
        <v/>
      </c>
      <c r="B19" s="12"/>
      <c r="C19" s="12"/>
      <c r="D19" s="12"/>
      <c r="E19" s="12"/>
      <c r="G19" t="str">
        <f>IFERROR(INDEX(SAISIE!$F$5:$F$204,_xlfn.AGGREGATE(15,6,ROW(SAISIE!$F$5:$F$204)-ROW(SAISIE!$F$5)+1/(SAISIE!$F$5:$F$204&lt;&gt;"")/(COUNTIF($G$4:G18,SAISIE!$F$5:$F$204)=0),1)),"")</f>
        <v/>
      </c>
    </row>
    <row r="20" spans="1:7" x14ac:dyDescent="0.25">
      <c r="A20" s="5" t="str">
        <f>IF(OR($G$19="",NOT(TRUE)),"","Couverture")</f>
        <v/>
      </c>
      <c r="B20" s="6" t="str">
        <f>IF($G$19="","",IFERROR(IFERROR(LOOKUP(2,1/((SAISIE!$F$5:$F$204=$G$19)*(LEFT(SAISIE!$B$5:$B$204,2)="G ")),SAISIE!$C$5:$C$204),LOOKUP(2,1/((SAISIE!$F$5:$F$204=$G$19)*(ISNUMBER(SEARCH("Couverture",SAISIE!$B$5:$B$204)))),SAISIE!$C$5:$C$204)),"-"))</f>
        <v/>
      </c>
      <c r="C20" s="6" t="str">
        <f>IF($G$19="","",IFERROR(IFERROR(LOOKUP(2,1/((SAISIE!$F$5:$F$204=$G$19)*(LEFT(SAISIE!$B$5:$B$204,2)="G ")),SAISIE!$D$5:$D$204),LOOKUP(2,1/((SAISIE!$F$5:$F$204=$G$19)*(ISNUMBER(SEARCH("Couverture",SAISIE!$B$5:$B$204)))),SAISIE!$D$5:$D$204)),"-"))</f>
        <v/>
      </c>
      <c r="D20" s="6" t="str">
        <f>IF($G$19="","",IFERROR(IFERROR(LOOKUP(2,1/((SAISIE!$F$5:$F$204=$G$19)*(LEFT(SAISIE!$B$5:$B$204,2)="G ")),SAISIE!$E$5:$E$204),LOOKUP(2,1/((SAISIE!$F$5:$F$204=$G$19)*(ISNUMBER(SEARCH("Couverture",SAISIE!$B$5:$B$204)))),SAISIE!$E$5:$E$204)),"-"))</f>
        <v/>
      </c>
      <c r="E20" s="6" t="str">
        <f>IF($G$19="","",IF(OR(D20="",D20="-"),"",IF(D20&gt;0,"(soulevement)",IF(D20&lt;0,"(compression)","-"))))</f>
        <v/>
      </c>
    </row>
    <row r="21" spans="1:7" x14ac:dyDescent="0.25">
      <c r="A21" s="5" t="str">
        <f>IF(OR($G$19="",NOT(COUNTIFS(SAISIE!$B$5:$B$204,"*Vent G/D*",SAISIE!$F$5:$F$204,$G$19)&gt;0)),"","Vent G/D")</f>
        <v/>
      </c>
      <c r="B21" s="6" t="str">
        <f>IF(OR($G$19="",NOT(COUNTIFS(SAISIE!$B$5:$B$204,"*Vent G/D*",SAISIE!$F$5:$F$204,$G$19)&gt;0)),"",IFERROR(IF(_xlfn.MINIFS(SAISIE!$E$5:$E$204,SAISIE!$B$5:$B$204,"*Vent G/D*",SAISIE!$F$5:$F$204,$G$19)&gt;=0,_xlfn.MAXIFS(SAISIE!$C$5:$C$204,SAISIE!$B$5:$B$204,"*Vent G/D*",SAISIE!$F$5:$F$204,$G$19),INDEX(SAISIE!$C$5:$C$204,MATCH(_xlfn.MINIFS(SAISIE!$E$5:$E$204,SAISIE!$B$5:$B$204,"*Vent G/D*",SAISIE!$F$5:$F$204,$G$19),SAISIE!$E$5:$E$204,0))),"-"))</f>
        <v/>
      </c>
      <c r="C21" s="6" t="str">
        <f>IF(OR($G$19="",NOT(COUNTIFS(SAISIE!$B$5:$B$204,"*Vent G/D*",SAISIE!$F$5:$F$204,$G$19)&gt;0)),"",IFERROR(IF(_xlfn.MINIFS(SAISIE!$E$5:$E$204,SAISIE!$B$5:$B$204,"*Vent G/D*",SAISIE!$F$5:$F$204,$G$19)&gt;=0,INDEX(SAISIE!$D$5:$D$204,MATCH(_xlfn.MAXIFS(SAISIE!$C$5:$C$204,SAISIE!$B$5:$B$204,"*Vent G/D*",SAISIE!$F$5:$F$204,$G$19),SAISIE!$C$5:$C$204,0)),INDEX(SAISIE!$D$5:$D$204,MATCH(_xlfn.MINIFS(SAISIE!$E$5:$E$204,SAISIE!$B$5:$B$204,"*Vent G/D*",SAISIE!$F$5:$F$204,$G$19),SAISIE!$E$5:$E$204,0))),"-"))</f>
        <v/>
      </c>
      <c r="D21" s="6" t="str">
        <f>IF(OR($G$19="",NOT(COUNTIFS(SAISIE!$B$5:$B$204,"*Vent G/D*",SAISIE!$F$5:$F$204,$G$19)&gt;0)),"",IFERROR(IF(_xlfn.MINIFS(SAISIE!$E$5:$E$204,SAISIE!$B$5:$B$204,"*Vent G/D*",SAISIE!$F$5:$F$204,$G$19)&gt;=0,0,_xlfn.MINIFS(SAISIE!$E$5:$E$204,SAISIE!$B$5:$B$204,"*Vent G/D*",SAISIE!$F$5:$F$204,$G$19)),"-"))</f>
        <v/>
      </c>
      <c r="E21" s="6" t="str">
        <f>IF($G$19="","",IF(OR(D21="",D21="-"),"",IF(D21&gt;0,"(soulevement)",IF(D21&lt;0,"(compression)","-"))))</f>
        <v/>
      </c>
    </row>
    <row r="22" spans="1:7" x14ac:dyDescent="0.25">
      <c r="A22" s="5" t="str">
        <f>IF(OR($G$19="",NOT(_xlfn.MAXIFS(SAISIE!$E$5:$E$204,SAISIE!$B$5:$B$204,"*Vent G/D*",SAISIE!$F$5:$F$204,$G$19)&gt;0)),"","Vent G/D")</f>
        <v/>
      </c>
      <c r="B22" s="6" t="str">
        <f>IF(OR($G$19="",NOT(_xlfn.MAXIFS(SAISIE!$E$5:$E$204,SAISIE!$B$5:$B$204,"*Vent G/D*",SAISIE!$F$5:$F$204,$G$19)&gt;0)),"",IFERROR(INDEX(SAISIE!$C$5:$C$204,MATCH(_xlfn.MAXIFS(SAISIE!$E$5:$E$204,SAISIE!$B$5:$B$204,"*Vent G/D*",SAISIE!$F$5:$F$204,$G$19),SAISIE!$E$5:$E$204,0)),"-"))</f>
        <v/>
      </c>
      <c r="C22" s="6" t="str">
        <f>IF(OR($G$19="",NOT(_xlfn.MAXIFS(SAISIE!$E$5:$E$204,SAISIE!$B$5:$B$204,"*Vent G/D*",SAISIE!$F$5:$F$204,$G$19)&gt;0)),"",IFERROR(INDEX(SAISIE!$D$5:$D$204,MATCH(_xlfn.MAXIFS(SAISIE!$E$5:$E$204,SAISIE!$B$5:$B$204,"*Vent G/D*",SAISIE!$F$5:$F$204,$G$19),SAISIE!$E$5:$E$204,0)),"-"))</f>
        <v/>
      </c>
      <c r="D22" s="6" t="str">
        <f>IF(OR($G$19="",NOT(_xlfn.MAXIFS(SAISIE!$E$5:$E$204,SAISIE!$B$5:$B$204,"*Vent G/D*",SAISIE!$F$5:$F$204,$G$19)&gt;0)),"",IFERROR(_xlfn.MAXIFS(SAISIE!$E$5:$E$204,SAISIE!$B$5:$B$204,"*Vent G/D*",SAISIE!$F$5:$F$204,$G$19),"-"))</f>
        <v/>
      </c>
      <c r="E22" s="6" t="str">
        <f>IF($G$19="","",IF(OR(D22="",D22="-"),"",IF(D22&gt;0,"(soulevement)",IF(D22&lt;0,"(compression)","-"))))</f>
        <v/>
      </c>
    </row>
    <row r="23" spans="1:7" x14ac:dyDescent="0.25">
      <c r="A23" s="5" t="str">
        <f>IF(OR($G$19="",NOT(COUNTIFS(SAISIE!$B$5:$B$204,"*Vent D/G*",SAISIE!$F$5:$F$204,$G$19)&gt;0)),"","Vent D/G")</f>
        <v/>
      </c>
      <c r="B23" s="6" t="str">
        <f>IF(OR($G$19="",NOT(COUNTIFS(SAISIE!$B$5:$B$204,"*Vent D/G*",SAISIE!$F$5:$F$204,$G$19)&gt;0)),"",IFERROR(IF(_xlfn.MINIFS(SAISIE!$E$5:$E$204,SAISIE!$B$5:$B$204,"*Vent D/G*",SAISIE!$F$5:$F$204,$G$19)&gt;=0,_xlfn.MAXIFS(SAISIE!$C$5:$C$204,SAISIE!$B$5:$B$204,"*Vent D/G*",SAISIE!$F$5:$F$204,$G$19),INDEX(SAISIE!$C$5:$C$204,MATCH(_xlfn.MINIFS(SAISIE!$E$5:$E$204,SAISIE!$B$5:$B$204,"*Vent D/G*",SAISIE!$F$5:$F$204,$G$19),SAISIE!$E$5:$E$204,0))),"-"))</f>
        <v/>
      </c>
      <c r="C23" s="6" t="str">
        <f>IF(OR($G$19="",NOT(COUNTIFS(SAISIE!$B$5:$B$204,"*Vent D/G*",SAISIE!$F$5:$F$204,$G$19)&gt;0)),"",IFERROR(IF(_xlfn.MINIFS(SAISIE!$E$5:$E$204,SAISIE!$B$5:$B$204,"*Vent D/G*",SAISIE!$F$5:$F$204,$G$19)&gt;=0,INDEX(SAISIE!$D$5:$D$204,MATCH(_xlfn.MAXIFS(SAISIE!$C$5:$C$204,SAISIE!$B$5:$B$204,"*Vent D/G*",SAISIE!$F$5:$F$204,$G$19),SAISIE!$C$5:$C$204,0)),INDEX(SAISIE!$D$5:$D$204,MATCH(_xlfn.MINIFS(SAISIE!$E$5:$E$204,SAISIE!$B$5:$B$204,"*Vent D/G*",SAISIE!$F$5:$F$204,$G$19),SAISIE!$E$5:$E$204,0))),"-"))</f>
        <v/>
      </c>
      <c r="D23" s="6" t="str">
        <f>IF(OR($G$19="",NOT(COUNTIFS(SAISIE!$B$5:$B$204,"*Vent D/G*",SAISIE!$F$5:$F$204,$G$19)&gt;0)),"",IFERROR(IF(_xlfn.MINIFS(SAISIE!$E$5:$E$204,SAISIE!$B$5:$B$204,"*Vent D/G*",SAISIE!$F$5:$F$204,$G$19)&gt;=0,0,_xlfn.MINIFS(SAISIE!$E$5:$E$204,SAISIE!$B$5:$B$204,"*Vent D/G*",SAISIE!$F$5:$F$204,$G$19)),"-"))</f>
        <v/>
      </c>
      <c r="E23" s="6" t="str">
        <f>IF($G$19="","",IF(OR(D23="",D23="-"),"",IF(D23&gt;0,"(soulevement)",IF(D23&lt;0,"(compression)","-"))))</f>
        <v/>
      </c>
    </row>
    <row r="24" spans="1:7" x14ac:dyDescent="0.25">
      <c r="A24" s="5" t="str">
        <f>IF(OR($G$19="",NOT(_xlfn.MAXIFS(SAISIE!$E$5:$E$204,SAISIE!$B$5:$B$204,"*Vent D/G*",SAISIE!$F$5:$F$204,$G$19)&gt;0)),"","Vent D/G")</f>
        <v/>
      </c>
      <c r="B24" s="6" t="str">
        <f>IF(OR($G$19="",NOT(_xlfn.MAXIFS(SAISIE!$E$5:$E$204,SAISIE!$B$5:$B$204,"*Vent D/G*",SAISIE!$F$5:$F$204,$G$19)&gt;0)),"",IFERROR(INDEX(SAISIE!$C$5:$C$204,MATCH(_xlfn.MAXIFS(SAISIE!$E$5:$E$204,SAISIE!$B$5:$B$204,"*Vent D/G*",SAISIE!$F$5:$F$204,$G$19),SAISIE!$E$5:$E$204,0)),"-"))</f>
        <v/>
      </c>
      <c r="C24" s="6" t="str">
        <f>IF(OR($G$19="",NOT(_xlfn.MAXIFS(SAISIE!$E$5:$E$204,SAISIE!$B$5:$B$204,"*Vent D/G*",SAISIE!$F$5:$F$204,$G$19)&gt;0)),"",IFERROR(INDEX(SAISIE!$D$5:$D$204,MATCH(_xlfn.MAXIFS(SAISIE!$E$5:$E$204,SAISIE!$B$5:$B$204,"*Vent D/G*",SAISIE!$F$5:$F$204,$G$19),SAISIE!$E$5:$E$204,0)),"-"))</f>
        <v/>
      </c>
      <c r="D24" s="6" t="str">
        <f>IF(OR($G$19="",NOT(_xlfn.MAXIFS(SAISIE!$E$5:$E$204,SAISIE!$B$5:$B$204,"*Vent D/G*",SAISIE!$F$5:$F$204,$G$19)&gt;0)),"",IFERROR(_xlfn.MAXIFS(SAISIE!$E$5:$E$204,SAISIE!$B$5:$B$204,"*Vent D/G*",SAISIE!$F$5:$F$204,$G$19),"-"))</f>
        <v/>
      </c>
      <c r="E24" s="6" t="str">
        <f>IF($G$19="","",IF(OR(D24="",D24="-"),"",IF(D24&gt;0,"(soulevement)",IF(D24&lt;0,"(compression)","-"))))</f>
        <v/>
      </c>
    </row>
    <row r="25" spans="1:7" x14ac:dyDescent="0.25">
      <c r="A25" s="5" t="str">
        <f>IF(OR($G$19="",NOT(COUNTIFS(SAISIE!$B$5:$B$204,"*Vent Av./Arr.*",SAISIE!$F$5:$F$204,$G$19)&gt;0)),"","Vent Av./Arr.")</f>
        <v/>
      </c>
      <c r="B25" s="6" t="str">
        <f>IF(OR($G$19="",NOT(COUNTIFS(SAISIE!$B$5:$B$204,"*Vent Av./Arr.*",SAISIE!$F$5:$F$204,$G$19)&gt;0)),"",IFERROR(IF(_xlfn.MINIFS(SAISIE!$E$5:$E$204,SAISIE!$B$5:$B$204,"*Vent Av./Arr.*",SAISIE!$F$5:$F$204,$G$19)&gt;=0,_xlfn.MAXIFS(SAISIE!$C$5:$C$204,SAISIE!$B$5:$B$204,"*Vent Av./Arr.*",SAISIE!$F$5:$F$204,$G$19),INDEX(SAISIE!$C$5:$C$204,MATCH(_xlfn.MINIFS(SAISIE!$E$5:$E$204,SAISIE!$B$5:$B$204,"*Vent Av./Arr.*",SAISIE!$F$5:$F$204,$G$19),SAISIE!$E$5:$E$204,0))),"-"))</f>
        <v/>
      </c>
      <c r="C25" s="6" t="str">
        <f>IF(OR($G$19="",NOT(COUNTIFS(SAISIE!$B$5:$B$204,"*Vent Av./Arr.*",SAISIE!$F$5:$F$204,$G$19)&gt;0)),"",IFERROR(IF(_xlfn.MINIFS(SAISIE!$E$5:$E$204,SAISIE!$B$5:$B$204,"*Vent Av./Arr.*",SAISIE!$F$5:$F$204,$G$19)&gt;=0,INDEX(SAISIE!$D$5:$D$204,MATCH(_xlfn.MAXIFS(SAISIE!$C$5:$C$204,SAISIE!$B$5:$B$204,"*Vent Av./Arr.*",SAISIE!$F$5:$F$204,$G$19),SAISIE!$C$5:$C$204,0)),INDEX(SAISIE!$D$5:$D$204,MATCH(_xlfn.MINIFS(SAISIE!$E$5:$E$204,SAISIE!$B$5:$B$204,"*Vent Av./Arr.*",SAISIE!$F$5:$F$204,$G$19),SAISIE!$E$5:$E$204,0))),"-"))</f>
        <v/>
      </c>
      <c r="D25" s="6" t="str">
        <f>IF(OR($G$19="",NOT(COUNTIFS(SAISIE!$B$5:$B$204,"*Vent Av./Arr.*",SAISIE!$F$5:$F$204,$G$19)&gt;0)),"",IFERROR(IF(_xlfn.MINIFS(SAISIE!$E$5:$E$204,SAISIE!$B$5:$B$204,"*Vent Av./Arr.*",SAISIE!$F$5:$F$204,$G$19)&gt;=0,0,_xlfn.MINIFS(SAISIE!$E$5:$E$204,SAISIE!$B$5:$B$204,"*Vent Av./Arr.*",SAISIE!$F$5:$F$204,$G$19)),"-"))</f>
        <v/>
      </c>
      <c r="E25" s="6" t="str">
        <f>IF($G$19="","",IF(OR(D25="",D25="-"),"",IF(D25&gt;0,"(soulevement)",IF(D25&lt;0,"(compression)","-"))))</f>
        <v/>
      </c>
    </row>
    <row r="26" spans="1:7" x14ac:dyDescent="0.25">
      <c r="A26" s="5" t="str">
        <f>IF(OR($G$19="",NOT(_xlfn.MAXIFS(SAISIE!$E$5:$E$204,SAISIE!$B$5:$B$204,"*Vent Av./Arr.*",SAISIE!$F$5:$F$204,$G$19)&gt;0)),"","Vent Av./Arr.")</f>
        <v/>
      </c>
      <c r="B26" s="6" t="str">
        <f>IF(OR($G$19="",NOT(_xlfn.MAXIFS(SAISIE!$E$5:$E$204,SAISIE!$B$5:$B$204,"*Vent Av./Arr.*",SAISIE!$F$5:$F$204,$G$19)&gt;0)),"",IFERROR(INDEX(SAISIE!$C$5:$C$204,MATCH(_xlfn.MAXIFS(SAISIE!$E$5:$E$204,SAISIE!$B$5:$B$204,"*Vent Av./Arr.*",SAISIE!$F$5:$F$204,$G$19),SAISIE!$E$5:$E$204,0)),"-"))</f>
        <v/>
      </c>
      <c r="C26" s="6" t="str">
        <f>IF(OR($G$19="",NOT(_xlfn.MAXIFS(SAISIE!$E$5:$E$204,SAISIE!$B$5:$B$204,"*Vent Av./Arr.*",SAISIE!$F$5:$F$204,$G$19)&gt;0)),"",IFERROR(INDEX(SAISIE!$D$5:$D$204,MATCH(_xlfn.MAXIFS(SAISIE!$E$5:$E$204,SAISIE!$B$5:$B$204,"*Vent Av./Arr.*",SAISIE!$F$5:$F$204,$G$19),SAISIE!$E$5:$E$204,0)),"-"))</f>
        <v/>
      </c>
      <c r="D26" s="6" t="str">
        <f>IF(OR($G$19="",NOT(_xlfn.MAXIFS(SAISIE!$E$5:$E$204,SAISIE!$B$5:$B$204,"*Vent Av./Arr.*",SAISIE!$F$5:$F$204,$G$19)&gt;0)),"",IFERROR(_xlfn.MAXIFS(SAISIE!$E$5:$E$204,SAISIE!$B$5:$B$204,"*Vent Av./Arr.*",SAISIE!$F$5:$F$204,$G$19),"-"))</f>
        <v/>
      </c>
      <c r="E26" s="6" t="str">
        <f>IF($G$19="","",IF(OR(D26="",D26="-"),"",IF(D26&gt;0,"(soulevement)",IF(D26&lt;0,"(compression)","-"))))</f>
        <v/>
      </c>
    </row>
    <row r="27" spans="1:7" x14ac:dyDescent="0.25">
      <c r="A27" s="5" t="str">
        <f>IF(OR($G$19="",NOT(COUNTIFS(SAISIE!$B$5:$B$204,"*Vent Arr./Av.*",SAISIE!$F$5:$F$204,$G$19)&gt;0)),"","Vent Arr./Av.")</f>
        <v/>
      </c>
      <c r="B27" s="6" t="str">
        <f>IF(OR($G$19="",NOT(COUNTIFS(SAISIE!$B$5:$B$204,"*Vent Arr./Av.*",SAISIE!$F$5:$F$204,$G$19)&gt;0)),"",IFERROR(IF(_xlfn.MINIFS(SAISIE!$E$5:$E$204,SAISIE!$B$5:$B$204,"*Vent Arr./Av.*",SAISIE!$F$5:$F$204,$G$19)&gt;=0,_xlfn.MAXIFS(SAISIE!$C$5:$C$204,SAISIE!$B$5:$B$204,"*Vent Arr./Av.*",SAISIE!$F$5:$F$204,$G$19),INDEX(SAISIE!$C$5:$C$204,MATCH(_xlfn.MINIFS(SAISIE!$E$5:$E$204,SAISIE!$B$5:$B$204,"*Vent Arr./Av.*",SAISIE!$F$5:$F$204,$G$19),SAISIE!$E$5:$E$204,0))),"-"))</f>
        <v/>
      </c>
      <c r="C27" s="6" t="str">
        <f>IF(OR($G$19="",NOT(COUNTIFS(SAISIE!$B$5:$B$204,"*Vent Arr./Av.*",SAISIE!$F$5:$F$204,$G$19)&gt;0)),"",IFERROR(IF(_xlfn.MINIFS(SAISIE!$E$5:$E$204,SAISIE!$B$5:$B$204,"*Vent Arr./Av.*",SAISIE!$F$5:$F$204,$G$19)&gt;=0,INDEX(SAISIE!$D$5:$D$204,MATCH(_xlfn.MAXIFS(SAISIE!$C$5:$C$204,SAISIE!$B$5:$B$204,"*Vent Arr./Av.*",SAISIE!$F$5:$F$204,$G$19),SAISIE!$C$5:$C$204,0)),INDEX(SAISIE!$D$5:$D$204,MATCH(_xlfn.MINIFS(SAISIE!$E$5:$E$204,SAISIE!$B$5:$B$204,"*Vent Arr./Av.*",SAISIE!$F$5:$F$204,$G$19),SAISIE!$E$5:$E$204,0))),"-"))</f>
        <v/>
      </c>
      <c r="D27" s="6" t="str">
        <f>IF(OR($G$19="",NOT(COUNTIFS(SAISIE!$B$5:$B$204,"*Vent Arr./Av.*",SAISIE!$F$5:$F$204,$G$19)&gt;0)),"",IFERROR(IF(_xlfn.MINIFS(SAISIE!$E$5:$E$204,SAISIE!$B$5:$B$204,"*Vent Arr./Av.*",SAISIE!$F$5:$F$204,$G$19)&gt;=0,0,_xlfn.MINIFS(SAISIE!$E$5:$E$204,SAISIE!$B$5:$B$204,"*Vent Arr./Av.*",SAISIE!$F$5:$F$204,$G$19)),"-"))</f>
        <v/>
      </c>
      <c r="E27" s="6" t="str">
        <f>IF($G$19="","",IF(OR(D27="",D27="-"),"",IF(D27&gt;0,"(soulevement)",IF(D27&lt;0,"(compression)","-"))))</f>
        <v/>
      </c>
    </row>
    <row r="28" spans="1:7" x14ac:dyDescent="0.25">
      <c r="A28" s="5" t="str">
        <f>IF(OR($G$19="",NOT(_xlfn.MAXIFS(SAISIE!$E$5:$E$204,SAISIE!$B$5:$B$204,"*Vent Arr./Av.*",SAISIE!$F$5:$F$204,$G$19)&gt;0)),"","Vent Arr./Av.")</f>
        <v/>
      </c>
      <c r="B28" s="6" t="str">
        <f>IF(OR($G$19="",NOT(_xlfn.MAXIFS(SAISIE!$E$5:$E$204,SAISIE!$B$5:$B$204,"*Vent Arr./Av.*",SAISIE!$F$5:$F$204,$G$19)&gt;0)),"",IFERROR(INDEX(SAISIE!$C$5:$C$204,MATCH(_xlfn.MAXIFS(SAISIE!$E$5:$E$204,SAISIE!$B$5:$B$204,"*Vent Arr./Av.*",SAISIE!$F$5:$F$204,$G$19),SAISIE!$E$5:$E$204,0)),"-"))</f>
        <v/>
      </c>
      <c r="C28" s="6" t="str">
        <f>IF(OR($G$19="",NOT(_xlfn.MAXIFS(SAISIE!$E$5:$E$204,SAISIE!$B$5:$B$204,"*Vent Arr./Av.*",SAISIE!$F$5:$F$204,$G$19)&gt;0)),"",IFERROR(INDEX(SAISIE!$D$5:$D$204,MATCH(_xlfn.MAXIFS(SAISIE!$E$5:$E$204,SAISIE!$B$5:$B$204,"*Vent Arr./Av.*",SAISIE!$F$5:$F$204,$G$19),SAISIE!$E$5:$E$204,0)),"-"))</f>
        <v/>
      </c>
      <c r="D28" s="6" t="str">
        <f>IF(OR($G$19="",NOT(_xlfn.MAXIFS(SAISIE!$E$5:$E$204,SAISIE!$B$5:$B$204,"*Vent Arr./Av.*",SAISIE!$F$5:$F$204,$G$19)&gt;0)),"",IFERROR(_xlfn.MAXIFS(SAISIE!$E$5:$E$204,SAISIE!$B$5:$B$204,"*Vent Arr./Av.*",SAISIE!$F$5:$F$204,$G$19),"-"))</f>
        <v/>
      </c>
      <c r="E28" s="6" t="str">
        <f>IF($G$19="","",IF(OR(D28="",D28="-"),"",IF(D28&gt;0,"(soulevement)",IF(D28&lt;0,"(compression)","-"))))</f>
        <v/>
      </c>
    </row>
    <row r="29" spans="1:7" x14ac:dyDescent="0.25">
      <c r="A29" s="5" t="str">
        <f>IF(OR($G$19="",NOT(TRUE)),"","Neige normale")</f>
        <v/>
      </c>
      <c r="B29" s="6" t="str">
        <f>IF($G$19="","",IFERROR(INDEX(SAISIE!$C$5:$C$204,MATCH(_xlfn.MINIFS(SAISIE!$E$5:$E$204,SAISIE!$B$5:$B$204,"*Neige*",SAISIE!$B$5:$B$204,"&lt;&gt;*accidentel*",SAISIE!$F$5:$F$204,$G$19),SAISIE!$E$5:$E$204,0)),"-"))</f>
        <v/>
      </c>
      <c r="C29" s="6" t="str">
        <f>IF($G$19="","",IFERROR(INDEX(SAISIE!$D$5:$D$204,MATCH(_xlfn.MINIFS(SAISIE!$E$5:$E$204,SAISIE!$B$5:$B$204,"*Neige*",SAISIE!$B$5:$B$204,"&lt;&gt;*accidentel*",SAISIE!$F$5:$F$204,$G$19),SAISIE!$E$5:$E$204,0)),"-"))</f>
        <v/>
      </c>
      <c r="D29" s="6" t="str">
        <f>IF($G$19="","",IFERROR(INDEX(SAISIE!$E$5:$E$204,MATCH(_xlfn.MINIFS(SAISIE!$E$5:$E$204,SAISIE!$B$5:$B$204,"*Neige*",SAISIE!$B$5:$B$204,"&lt;&gt;*accidentel*",SAISIE!$F$5:$F$204,$G$19),SAISIE!$E$5:$E$204,0)),"-"))</f>
        <v/>
      </c>
      <c r="E29" s="6" t="str">
        <f>IF($G$19="","",IF(OR(D29="",D29="-"),"",IF(D29&gt;0,"(soulevement)",IF(D29&lt;0,"(compression)","-"))))</f>
        <v/>
      </c>
    </row>
    <row r="30" spans="1:7" x14ac:dyDescent="0.25">
      <c r="A30" s="5" t="str">
        <f>IF(OR($G$19="",NOT(TRUE)),"","Neige accidentelle")</f>
        <v/>
      </c>
      <c r="B30" s="6" t="str">
        <f>IF($G$19="","",IFERROR(LOOKUP(2,1/((SAISIE!$F$5:$F$204=$G$19)*(ISNUMBER(SEARCH("accidentel",SAISIE!$B$5:$B$204)))),SAISIE!$C$5:$C$204),"-"))</f>
        <v/>
      </c>
      <c r="C30" s="6" t="str">
        <f>IF($G$19="","",IFERROR(LOOKUP(2,1/((SAISIE!$F$5:$F$204=$G$19)*(ISNUMBER(SEARCH("accidentel",SAISIE!$B$5:$B$204)))),SAISIE!$D$5:$D$204),"-"))</f>
        <v/>
      </c>
      <c r="D30" s="6" t="str">
        <f>IF($G$19="","",IFERROR(LOOKUP(2,1/((SAISIE!$F$5:$F$204=$G$19)*(ISNUMBER(SEARCH("accidentel",SAISIE!$B$5:$B$204)))),SAISIE!$E$5:$E$204),"-"))</f>
        <v/>
      </c>
      <c r="E30" s="6" t="str">
        <f>IF($G$19="","",IF(OR(D30="",D30="-"),"",IF(D30&gt;0,"(soulevement)",IF(D30&lt;0,"(compression)","-"))))</f>
        <v/>
      </c>
    </row>
    <row r="31" spans="1:7" ht="15.75" x14ac:dyDescent="0.25">
      <c r="A31" s="11" t="str">
        <f>IF($G$31="","","Noeud "&amp;$G$31)</f>
        <v/>
      </c>
      <c r="B31" s="12"/>
      <c r="C31" s="12"/>
      <c r="D31" s="12"/>
      <c r="E31" s="12"/>
      <c r="G31" t="str">
        <f>IFERROR(INDEX(SAISIE!$F$5:$F$204,_xlfn.AGGREGATE(15,6,ROW(SAISIE!$F$5:$F$204)-ROW(SAISIE!$F$5)+1/(SAISIE!$F$5:$F$204&lt;&gt;"")/(COUNTIF($G$4:G30,SAISIE!$F$5:$F$204)=0),1)),"")</f>
        <v/>
      </c>
    </row>
    <row r="32" spans="1:7" x14ac:dyDescent="0.25">
      <c r="A32" s="5" t="str">
        <f>IF(OR($G$31="",NOT(TRUE)),"","Couverture")</f>
        <v/>
      </c>
      <c r="B32" s="6" t="str">
        <f>IF($G$31="","",IFERROR(IFERROR(LOOKUP(2,1/((SAISIE!$F$5:$F$204=$G$31)*(LEFT(SAISIE!$B$5:$B$204,2)="G ")),SAISIE!$C$5:$C$204),LOOKUP(2,1/((SAISIE!$F$5:$F$204=$G$31)*(ISNUMBER(SEARCH("Couverture",SAISIE!$B$5:$B$204)))),SAISIE!$C$5:$C$204)),"-"))</f>
        <v/>
      </c>
      <c r="C32" s="6" t="str">
        <f>IF($G$31="","",IFERROR(IFERROR(LOOKUP(2,1/((SAISIE!$F$5:$F$204=$G$31)*(LEFT(SAISIE!$B$5:$B$204,2)="G ")),SAISIE!$D$5:$D$204),LOOKUP(2,1/((SAISIE!$F$5:$F$204=$G$31)*(ISNUMBER(SEARCH("Couverture",SAISIE!$B$5:$B$204)))),SAISIE!$D$5:$D$204)),"-"))</f>
        <v/>
      </c>
      <c r="D32" s="6" t="str">
        <f>IF($G$31="","",IFERROR(IFERROR(LOOKUP(2,1/((SAISIE!$F$5:$F$204=$G$31)*(LEFT(SAISIE!$B$5:$B$204,2)="G ")),SAISIE!$E$5:$E$204),LOOKUP(2,1/((SAISIE!$F$5:$F$204=$G$31)*(ISNUMBER(SEARCH("Couverture",SAISIE!$B$5:$B$204)))),SAISIE!$E$5:$E$204)),"-"))</f>
        <v/>
      </c>
      <c r="E32" s="6" t="str">
        <f>IF($G$31="","",IF(OR(D32="",D32="-"),"",IF(D32&gt;0,"(soulevement)",IF(D32&lt;0,"(compression)","-"))))</f>
        <v/>
      </c>
    </row>
    <row r="33" spans="1:7" x14ac:dyDescent="0.25">
      <c r="A33" s="5" t="str">
        <f>IF(OR($G$31="",NOT(COUNTIFS(SAISIE!$B$5:$B$204,"*Vent G/D*",SAISIE!$F$5:$F$204,$G$31)&gt;0)),"","Vent G/D")</f>
        <v/>
      </c>
      <c r="B33" s="6" t="str">
        <f>IF(OR($G$31="",NOT(COUNTIFS(SAISIE!$B$5:$B$204,"*Vent G/D*",SAISIE!$F$5:$F$204,$G$31)&gt;0)),"",IFERROR(IF(_xlfn.MINIFS(SAISIE!$E$5:$E$204,SAISIE!$B$5:$B$204,"*Vent G/D*",SAISIE!$F$5:$F$204,$G$31)&gt;=0,_xlfn.MAXIFS(SAISIE!$C$5:$C$204,SAISIE!$B$5:$B$204,"*Vent G/D*",SAISIE!$F$5:$F$204,$G$31),INDEX(SAISIE!$C$5:$C$204,MATCH(_xlfn.MINIFS(SAISIE!$E$5:$E$204,SAISIE!$B$5:$B$204,"*Vent G/D*",SAISIE!$F$5:$F$204,$G$31),SAISIE!$E$5:$E$204,0))),"-"))</f>
        <v/>
      </c>
      <c r="C33" s="6" t="str">
        <f>IF(OR($G$31="",NOT(COUNTIFS(SAISIE!$B$5:$B$204,"*Vent G/D*",SAISIE!$F$5:$F$204,$G$31)&gt;0)),"",IFERROR(IF(_xlfn.MINIFS(SAISIE!$E$5:$E$204,SAISIE!$B$5:$B$204,"*Vent G/D*",SAISIE!$F$5:$F$204,$G$31)&gt;=0,INDEX(SAISIE!$D$5:$D$204,MATCH(_xlfn.MAXIFS(SAISIE!$C$5:$C$204,SAISIE!$B$5:$B$204,"*Vent G/D*",SAISIE!$F$5:$F$204,$G$31),SAISIE!$C$5:$C$204,0)),INDEX(SAISIE!$D$5:$D$204,MATCH(_xlfn.MINIFS(SAISIE!$E$5:$E$204,SAISIE!$B$5:$B$204,"*Vent G/D*",SAISIE!$F$5:$F$204,$G$31),SAISIE!$E$5:$E$204,0))),"-"))</f>
        <v/>
      </c>
      <c r="D33" s="6" t="str">
        <f>IF(OR($G$31="",NOT(COUNTIFS(SAISIE!$B$5:$B$204,"*Vent G/D*",SAISIE!$F$5:$F$204,$G$31)&gt;0)),"",IFERROR(IF(_xlfn.MINIFS(SAISIE!$E$5:$E$204,SAISIE!$B$5:$B$204,"*Vent G/D*",SAISIE!$F$5:$F$204,$G$31)&gt;=0,0,_xlfn.MINIFS(SAISIE!$E$5:$E$204,SAISIE!$B$5:$B$204,"*Vent G/D*",SAISIE!$F$5:$F$204,$G$31)),"-"))</f>
        <v/>
      </c>
      <c r="E33" s="6" t="str">
        <f>IF($G$31="","",IF(OR(D33="",D33="-"),"",IF(D33&gt;0,"(soulevement)",IF(D33&lt;0,"(compression)","-"))))</f>
        <v/>
      </c>
    </row>
    <row r="34" spans="1:7" x14ac:dyDescent="0.25">
      <c r="A34" s="5" t="str">
        <f>IF(OR($G$31="",NOT(_xlfn.MAXIFS(SAISIE!$E$5:$E$204,SAISIE!$B$5:$B$204,"*Vent G/D*",SAISIE!$F$5:$F$204,$G$31)&gt;0)),"","Vent G/D")</f>
        <v/>
      </c>
      <c r="B34" s="6" t="str">
        <f>IF(OR($G$31="",NOT(_xlfn.MAXIFS(SAISIE!$E$5:$E$204,SAISIE!$B$5:$B$204,"*Vent G/D*",SAISIE!$F$5:$F$204,$G$31)&gt;0)),"",IFERROR(INDEX(SAISIE!$C$5:$C$204,MATCH(_xlfn.MAXIFS(SAISIE!$E$5:$E$204,SAISIE!$B$5:$B$204,"*Vent G/D*",SAISIE!$F$5:$F$204,$G$31),SAISIE!$E$5:$E$204,0)),"-"))</f>
        <v/>
      </c>
      <c r="C34" s="6" t="str">
        <f>IF(OR($G$31="",NOT(_xlfn.MAXIFS(SAISIE!$E$5:$E$204,SAISIE!$B$5:$B$204,"*Vent G/D*",SAISIE!$F$5:$F$204,$G$31)&gt;0)),"",IFERROR(INDEX(SAISIE!$D$5:$D$204,MATCH(_xlfn.MAXIFS(SAISIE!$E$5:$E$204,SAISIE!$B$5:$B$204,"*Vent G/D*",SAISIE!$F$5:$F$204,$G$31),SAISIE!$E$5:$E$204,0)),"-"))</f>
        <v/>
      </c>
      <c r="D34" s="6" t="str">
        <f>IF(OR($G$31="",NOT(_xlfn.MAXIFS(SAISIE!$E$5:$E$204,SAISIE!$B$5:$B$204,"*Vent G/D*",SAISIE!$F$5:$F$204,$G$31)&gt;0)),"",IFERROR(_xlfn.MAXIFS(SAISIE!$E$5:$E$204,SAISIE!$B$5:$B$204,"*Vent G/D*",SAISIE!$F$5:$F$204,$G$31),"-"))</f>
        <v/>
      </c>
      <c r="E34" s="6" t="str">
        <f>IF($G$31="","",IF(OR(D34="",D34="-"),"",IF(D34&gt;0,"(soulevement)",IF(D34&lt;0,"(compression)","-"))))</f>
        <v/>
      </c>
    </row>
    <row r="35" spans="1:7" x14ac:dyDescent="0.25">
      <c r="A35" s="5" t="str">
        <f>IF(OR($G$31="",NOT(COUNTIFS(SAISIE!$B$5:$B$204,"*Vent D/G*",SAISIE!$F$5:$F$204,$G$31)&gt;0)),"","Vent D/G")</f>
        <v/>
      </c>
      <c r="B35" s="6" t="str">
        <f>IF(OR($G$31="",NOT(COUNTIFS(SAISIE!$B$5:$B$204,"*Vent D/G*",SAISIE!$F$5:$F$204,$G$31)&gt;0)),"",IFERROR(IF(_xlfn.MINIFS(SAISIE!$E$5:$E$204,SAISIE!$B$5:$B$204,"*Vent D/G*",SAISIE!$F$5:$F$204,$G$31)&gt;=0,_xlfn.MAXIFS(SAISIE!$C$5:$C$204,SAISIE!$B$5:$B$204,"*Vent D/G*",SAISIE!$F$5:$F$204,$G$31),INDEX(SAISIE!$C$5:$C$204,MATCH(_xlfn.MINIFS(SAISIE!$E$5:$E$204,SAISIE!$B$5:$B$204,"*Vent D/G*",SAISIE!$F$5:$F$204,$G$31),SAISIE!$E$5:$E$204,0))),"-"))</f>
        <v/>
      </c>
      <c r="C35" s="6" t="str">
        <f>IF(OR($G$31="",NOT(COUNTIFS(SAISIE!$B$5:$B$204,"*Vent D/G*",SAISIE!$F$5:$F$204,$G$31)&gt;0)),"",IFERROR(IF(_xlfn.MINIFS(SAISIE!$E$5:$E$204,SAISIE!$B$5:$B$204,"*Vent D/G*",SAISIE!$F$5:$F$204,$G$31)&gt;=0,INDEX(SAISIE!$D$5:$D$204,MATCH(_xlfn.MAXIFS(SAISIE!$C$5:$C$204,SAISIE!$B$5:$B$204,"*Vent D/G*",SAISIE!$F$5:$F$204,$G$31),SAISIE!$C$5:$C$204,0)),INDEX(SAISIE!$D$5:$D$204,MATCH(_xlfn.MINIFS(SAISIE!$E$5:$E$204,SAISIE!$B$5:$B$204,"*Vent D/G*",SAISIE!$F$5:$F$204,$G$31),SAISIE!$E$5:$E$204,0))),"-"))</f>
        <v/>
      </c>
      <c r="D35" s="6" t="str">
        <f>IF(OR($G$31="",NOT(COUNTIFS(SAISIE!$B$5:$B$204,"*Vent D/G*",SAISIE!$F$5:$F$204,$G$31)&gt;0)),"",IFERROR(IF(_xlfn.MINIFS(SAISIE!$E$5:$E$204,SAISIE!$B$5:$B$204,"*Vent D/G*",SAISIE!$F$5:$F$204,$G$31)&gt;=0,0,_xlfn.MINIFS(SAISIE!$E$5:$E$204,SAISIE!$B$5:$B$204,"*Vent D/G*",SAISIE!$F$5:$F$204,$G$31)),"-"))</f>
        <v/>
      </c>
      <c r="E35" s="6" t="str">
        <f>IF($G$31="","",IF(OR(D35="",D35="-"),"",IF(D35&gt;0,"(soulevement)",IF(D35&lt;0,"(compression)","-"))))</f>
        <v/>
      </c>
    </row>
    <row r="36" spans="1:7" x14ac:dyDescent="0.25">
      <c r="A36" s="5" t="str">
        <f>IF(OR($G$31="",NOT(_xlfn.MAXIFS(SAISIE!$E$5:$E$204,SAISIE!$B$5:$B$204,"*Vent D/G*",SAISIE!$F$5:$F$204,$G$31)&gt;0)),"","Vent D/G")</f>
        <v/>
      </c>
      <c r="B36" s="6" t="str">
        <f>IF(OR($G$31="",NOT(_xlfn.MAXIFS(SAISIE!$E$5:$E$204,SAISIE!$B$5:$B$204,"*Vent D/G*",SAISIE!$F$5:$F$204,$G$31)&gt;0)),"",IFERROR(INDEX(SAISIE!$C$5:$C$204,MATCH(_xlfn.MAXIFS(SAISIE!$E$5:$E$204,SAISIE!$B$5:$B$204,"*Vent D/G*",SAISIE!$F$5:$F$204,$G$31),SAISIE!$E$5:$E$204,0)),"-"))</f>
        <v/>
      </c>
      <c r="C36" s="6" t="str">
        <f>IF(OR($G$31="",NOT(_xlfn.MAXIFS(SAISIE!$E$5:$E$204,SAISIE!$B$5:$B$204,"*Vent D/G*",SAISIE!$F$5:$F$204,$G$31)&gt;0)),"",IFERROR(INDEX(SAISIE!$D$5:$D$204,MATCH(_xlfn.MAXIFS(SAISIE!$E$5:$E$204,SAISIE!$B$5:$B$204,"*Vent D/G*",SAISIE!$F$5:$F$204,$G$31),SAISIE!$E$5:$E$204,0)),"-"))</f>
        <v/>
      </c>
      <c r="D36" s="6" t="str">
        <f>IF(OR($G$31="",NOT(_xlfn.MAXIFS(SAISIE!$E$5:$E$204,SAISIE!$B$5:$B$204,"*Vent D/G*",SAISIE!$F$5:$F$204,$G$31)&gt;0)),"",IFERROR(_xlfn.MAXIFS(SAISIE!$E$5:$E$204,SAISIE!$B$5:$B$204,"*Vent D/G*",SAISIE!$F$5:$F$204,$G$31),"-"))</f>
        <v/>
      </c>
      <c r="E36" s="6" t="str">
        <f>IF($G$31="","",IF(OR(D36="",D36="-"),"",IF(D36&gt;0,"(soulevement)",IF(D36&lt;0,"(compression)","-"))))</f>
        <v/>
      </c>
    </row>
    <row r="37" spans="1:7" x14ac:dyDescent="0.25">
      <c r="A37" s="5" t="str">
        <f>IF(OR($G$31="",NOT(COUNTIFS(SAISIE!$B$5:$B$204,"*Vent Av./Arr.*",SAISIE!$F$5:$F$204,$G$31)&gt;0)),"","Vent Av./Arr.")</f>
        <v/>
      </c>
      <c r="B37" s="6" t="str">
        <f>IF(OR($G$31="",NOT(COUNTIFS(SAISIE!$B$5:$B$204,"*Vent Av./Arr.*",SAISIE!$F$5:$F$204,$G$31)&gt;0)),"",IFERROR(IF(_xlfn.MINIFS(SAISIE!$E$5:$E$204,SAISIE!$B$5:$B$204,"*Vent Av./Arr.*",SAISIE!$F$5:$F$204,$G$31)&gt;=0,_xlfn.MAXIFS(SAISIE!$C$5:$C$204,SAISIE!$B$5:$B$204,"*Vent Av./Arr.*",SAISIE!$F$5:$F$204,$G$31),INDEX(SAISIE!$C$5:$C$204,MATCH(_xlfn.MINIFS(SAISIE!$E$5:$E$204,SAISIE!$B$5:$B$204,"*Vent Av./Arr.*",SAISIE!$F$5:$F$204,$G$31),SAISIE!$E$5:$E$204,0))),"-"))</f>
        <v/>
      </c>
      <c r="C37" s="6" t="str">
        <f>IF(OR($G$31="",NOT(COUNTIFS(SAISIE!$B$5:$B$204,"*Vent Av./Arr.*",SAISIE!$F$5:$F$204,$G$31)&gt;0)),"",IFERROR(IF(_xlfn.MINIFS(SAISIE!$E$5:$E$204,SAISIE!$B$5:$B$204,"*Vent Av./Arr.*",SAISIE!$F$5:$F$204,$G$31)&gt;=0,INDEX(SAISIE!$D$5:$D$204,MATCH(_xlfn.MAXIFS(SAISIE!$C$5:$C$204,SAISIE!$B$5:$B$204,"*Vent Av./Arr.*",SAISIE!$F$5:$F$204,$G$31),SAISIE!$C$5:$C$204,0)),INDEX(SAISIE!$D$5:$D$204,MATCH(_xlfn.MINIFS(SAISIE!$E$5:$E$204,SAISIE!$B$5:$B$204,"*Vent Av./Arr.*",SAISIE!$F$5:$F$204,$G$31),SAISIE!$E$5:$E$204,0))),"-"))</f>
        <v/>
      </c>
      <c r="D37" s="6" t="str">
        <f>IF(OR($G$31="",NOT(COUNTIFS(SAISIE!$B$5:$B$204,"*Vent Av./Arr.*",SAISIE!$F$5:$F$204,$G$31)&gt;0)),"",IFERROR(IF(_xlfn.MINIFS(SAISIE!$E$5:$E$204,SAISIE!$B$5:$B$204,"*Vent Av./Arr.*",SAISIE!$F$5:$F$204,$G$31)&gt;=0,0,_xlfn.MINIFS(SAISIE!$E$5:$E$204,SAISIE!$B$5:$B$204,"*Vent Av./Arr.*",SAISIE!$F$5:$F$204,$G$31)),"-"))</f>
        <v/>
      </c>
      <c r="E37" s="6" t="str">
        <f>IF($G$31="","",IF(OR(D37="",D37="-"),"",IF(D37&gt;0,"(soulevement)",IF(D37&lt;0,"(compression)","-"))))</f>
        <v/>
      </c>
    </row>
    <row r="38" spans="1:7" x14ac:dyDescent="0.25">
      <c r="A38" s="5" t="str">
        <f>IF(OR($G$31="",NOT(_xlfn.MAXIFS(SAISIE!$E$5:$E$204,SAISIE!$B$5:$B$204,"*Vent Av./Arr.*",SAISIE!$F$5:$F$204,$G$31)&gt;0)),"","Vent Av./Arr.")</f>
        <v/>
      </c>
      <c r="B38" s="6" t="str">
        <f>IF(OR($G$31="",NOT(_xlfn.MAXIFS(SAISIE!$E$5:$E$204,SAISIE!$B$5:$B$204,"*Vent Av./Arr.*",SAISIE!$F$5:$F$204,$G$31)&gt;0)),"",IFERROR(INDEX(SAISIE!$C$5:$C$204,MATCH(_xlfn.MAXIFS(SAISIE!$E$5:$E$204,SAISIE!$B$5:$B$204,"*Vent Av./Arr.*",SAISIE!$F$5:$F$204,$G$31),SAISIE!$E$5:$E$204,0)),"-"))</f>
        <v/>
      </c>
      <c r="C38" s="6" t="str">
        <f>IF(OR($G$31="",NOT(_xlfn.MAXIFS(SAISIE!$E$5:$E$204,SAISIE!$B$5:$B$204,"*Vent Av./Arr.*",SAISIE!$F$5:$F$204,$G$31)&gt;0)),"",IFERROR(INDEX(SAISIE!$D$5:$D$204,MATCH(_xlfn.MAXIFS(SAISIE!$E$5:$E$204,SAISIE!$B$5:$B$204,"*Vent Av./Arr.*",SAISIE!$F$5:$F$204,$G$31),SAISIE!$E$5:$E$204,0)),"-"))</f>
        <v/>
      </c>
      <c r="D38" s="6" t="str">
        <f>IF(OR($G$31="",NOT(_xlfn.MAXIFS(SAISIE!$E$5:$E$204,SAISIE!$B$5:$B$204,"*Vent Av./Arr.*",SAISIE!$F$5:$F$204,$G$31)&gt;0)),"",IFERROR(_xlfn.MAXIFS(SAISIE!$E$5:$E$204,SAISIE!$B$5:$B$204,"*Vent Av./Arr.*",SAISIE!$F$5:$F$204,$G$31),"-"))</f>
        <v/>
      </c>
      <c r="E38" s="6" t="str">
        <f>IF($G$31="","",IF(OR(D38="",D38="-"),"",IF(D38&gt;0,"(soulevement)",IF(D38&lt;0,"(compression)","-"))))</f>
        <v/>
      </c>
    </row>
    <row r="39" spans="1:7" x14ac:dyDescent="0.25">
      <c r="A39" s="5" t="str">
        <f>IF(OR($G$31="",NOT(COUNTIFS(SAISIE!$B$5:$B$204,"*Vent Arr./Av.*",SAISIE!$F$5:$F$204,$G$31)&gt;0)),"","Vent Arr./Av.")</f>
        <v/>
      </c>
      <c r="B39" s="6" t="str">
        <f>IF(OR($G$31="",NOT(COUNTIFS(SAISIE!$B$5:$B$204,"*Vent Arr./Av.*",SAISIE!$F$5:$F$204,$G$31)&gt;0)),"",IFERROR(IF(_xlfn.MINIFS(SAISIE!$E$5:$E$204,SAISIE!$B$5:$B$204,"*Vent Arr./Av.*",SAISIE!$F$5:$F$204,$G$31)&gt;=0,_xlfn.MAXIFS(SAISIE!$C$5:$C$204,SAISIE!$B$5:$B$204,"*Vent Arr./Av.*",SAISIE!$F$5:$F$204,$G$31),INDEX(SAISIE!$C$5:$C$204,MATCH(_xlfn.MINIFS(SAISIE!$E$5:$E$204,SAISIE!$B$5:$B$204,"*Vent Arr./Av.*",SAISIE!$F$5:$F$204,$G$31),SAISIE!$E$5:$E$204,0))),"-"))</f>
        <v/>
      </c>
      <c r="C39" s="6" t="str">
        <f>IF(OR($G$31="",NOT(COUNTIFS(SAISIE!$B$5:$B$204,"*Vent Arr./Av.*",SAISIE!$F$5:$F$204,$G$31)&gt;0)),"",IFERROR(IF(_xlfn.MINIFS(SAISIE!$E$5:$E$204,SAISIE!$B$5:$B$204,"*Vent Arr./Av.*",SAISIE!$F$5:$F$204,$G$31)&gt;=0,INDEX(SAISIE!$D$5:$D$204,MATCH(_xlfn.MAXIFS(SAISIE!$C$5:$C$204,SAISIE!$B$5:$B$204,"*Vent Arr./Av.*",SAISIE!$F$5:$F$204,$G$31),SAISIE!$C$5:$C$204,0)),INDEX(SAISIE!$D$5:$D$204,MATCH(_xlfn.MINIFS(SAISIE!$E$5:$E$204,SAISIE!$B$5:$B$204,"*Vent Arr./Av.*",SAISIE!$F$5:$F$204,$G$31),SAISIE!$E$5:$E$204,0))),"-"))</f>
        <v/>
      </c>
      <c r="D39" s="6" t="str">
        <f>IF(OR($G$31="",NOT(COUNTIFS(SAISIE!$B$5:$B$204,"*Vent Arr./Av.*",SAISIE!$F$5:$F$204,$G$31)&gt;0)),"",IFERROR(IF(_xlfn.MINIFS(SAISIE!$E$5:$E$204,SAISIE!$B$5:$B$204,"*Vent Arr./Av.*",SAISIE!$F$5:$F$204,$G$31)&gt;=0,0,_xlfn.MINIFS(SAISIE!$E$5:$E$204,SAISIE!$B$5:$B$204,"*Vent Arr./Av.*",SAISIE!$F$5:$F$204,$G$31)),"-"))</f>
        <v/>
      </c>
      <c r="E39" s="6" t="str">
        <f>IF($G$31="","",IF(OR(D39="",D39="-"),"",IF(D39&gt;0,"(soulevement)",IF(D39&lt;0,"(compression)","-"))))</f>
        <v/>
      </c>
    </row>
    <row r="40" spans="1:7" x14ac:dyDescent="0.25">
      <c r="A40" s="5" t="str">
        <f>IF(OR($G$31="",NOT(_xlfn.MAXIFS(SAISIE!$E$5:$E$204,SAISIE!$B$5:$B$204,"*Vent Arr./Av.*",SAISIE!$F$5:$F$204,$G$31)&gt;0)),"","Vent Arr./Av.")</f>
        <v/>
      </c>
      <c r="B40" s="6" t="str">
        <f>IF(OR($G$31="",NOT(_xlfn.MAXIFS(SAISIE!$E$5:$E$204,SAISIE!$B$5:$B$204,"*Vent Arr./Av.*",SAISIE!$F$5:$F$204,$G$31)&gt;0)),"",IFERROR(INDEX(SAISIE!$C$5:$C$204,MATCH(_xlfn.MAXIFS(SAISIE!$E$5:$E$204,SAISIE!$B$5:$B$204,"*Vent Arr./Av.*",SAISIE!$F$5:$F$204,$G$31),SAISIE!$E$5:$E$204,0)),"-"))</f>
        <v/>
      </c>
      <c r="C40" s="6" t="str">
        <f>IF(OR($G$31="",NOT(_xlfn.MAXIFS(SAISIE!$E$5:$E$204,SAISIE!$B$5:$B$204,"*Vent Arr./Av.*",SAISIE!$F$5:$F$204,$G$31)&gt;0)),"",IFERROR(INDEX(SAISIE!$D$5:$D$204,MATCH(_xlfn.MAXIFS(SAISIE!$E$5:$E$204,SAISIE!$B$5:$B$204,"*Vent Arr./Av.*",SAISIE!$F$5:$F$204,$G$31),SAISIE!$E$5:$E$204,0)),"-"))</f>
        <v/>
      </c>
      <c r="D40" s="6" t="str">
        <f>IF(OR($G$31="",NOT(_xlfn.MAXIFS(SAISIE!$E$5:$E$204,SAISIE!$B$5:$B$204,"*Vent Arr./Av.*",SAISIE!$F$5:$F$204,$G$31)&gt;0)),"",IFERROR(_xlfn.MAXIFS(SAISIE!$E$5:$E$204,SAISIE!$B$5:$B$204,"*Vent Arr./Av.*",SAISIE!$F$5:$F$204,$G$31),"-"))</f>
        <v/>
      </c>
      <c r="E40" s="6" t="str">
        <f>IF($G$31="","",IF(OR(D40="",D40="-"),"",IF(D40&gt;0,"(soulevement)",IF(D40&lt;0,"(compression)","-"))))</f>
        <v/>
      </c>
    </row>
    <row r="41" spans="1:7" x14ac:dyDescent="0.25">
      <c r="A41" s="5" t="str">
        <f>IF(OR($G$31="",NOT(TRUE)),"","Neige normale")</f>
        <v/>
      </c>
      <c r="B41" s="6" t="str">
        <f>IF($G$31="","",IFERROR(INDEX(SAISIE!$C$5:$C$204,MATCH(_xlfn.MINIFS(SAISIE!$E$5:$E$204,SAISIE!$B$5:$B$204,"*Neige*",SAISIE!$B$5:$B$204,"&lt;&gt;*accidentel*",SAISIE!$F$5:$F$204,$G$31),SAISIE!$E$5:$E$204,0)),"-"))</f>
        <v/>
      </c>
      <c r="C41" s="6" t="str">
        <f>IF($G$31="","",IFERROR(INDEX(SAISIE!$D$5:$D$204,MATCH(_xlfn.MINIFS(SAISIE!$E$5:$E$204,SAISIE!$B$5:$B$204,"*Neige*",SAISIE!$B$5:$B$204,"&lt;&gt;*accidentel*",SAISIE!$F$5:$F$204,$G$31),SAISIE!$E$5:$E$204,0)),"-"))</f>
        <v/>
      </c>
      <c r="D41" s="6" t="str">
        <f>IF($G$31="","",IFERROR(INDEX(SAISIE!$E$5:$E$204,MATCH(_xlfn.MINIFS(SAISIE!$E$5:$E$204,SAISIE!$B$5:$B$204,"*Neige*",SAISIE!$B$5:$B$204,"&lt;&gt;*accidentel*",SAISIE!$F$5:$F$204,$G$31),SAISIE!$E$5:$E$204,0)),"-"))</f>
        <v/>
      </c>
      <c r="E41" s="6" t="str">
        <f>IF($G$31="","",IF(OR(D41="",D41="-"),"",IF(D41&gt;0,"(soulevement)",IF(D41&lt;0,"(compression)","-"))))</f>
        <v/>
      </c>
    </row>
    <row r="42" spans="1:7" x14ac:dyDescent="0.25">
      <c r="A42" s="5" t="str">
        <f>IF(OR($G$31="",NOT(TRUE)),"","Neige accidentelle")</f>
        <v/>
      </c>
      <c r="B42" s="6" t="str">
        <f>IF($G$31="","",IFERROR(LOOKUP(2,1/((SAISIE!$F$5:$F$204=$G$31)*(ISNUMBER(SEARCH("accidentel",SAISIE!$B$5:$B$204)))),SAISIE!$C$5:$C$204),"-"))</f>
        <v/>
      </c>
      <c r="C42" s="6" t="str">
        <f>IF($G$31="","",IFERROR(LOOKUP(2,1/((SAISIE!$F$5:$F$204=$G$31)*(ISNUMBER(SEARCH("accidentel",SAISIE!$B$5:$B$204)))),SAISIE!$D$5:$D$204),"-"))</f>
        <v/>
      </c>
      <c r="D42" s="6" t="str">
        <f>IF($G$31="","",IFERROR(LOOKUP(2,1/((SAISIE!$F$5:$F$204=$G$31)*(ISNUMBER(SEARCH("accidentel",SAISIE!$B$5:$B$204)))),SAISIE!$E$5:$E$204),"-"))</f>
        <v/>
      </c>
      <c r="E42" s="6" t="str">
        <f>IF($G$31="","",IF(OR(D42="",D42="-"),"",IF(D42&gt;0,"(soulevement)",IF(D42&lt;0,"(compression)","-"))))</f>
        <v/>
      </c>
    </row>
    <row r="43" spans="1:7" ht="15.75" x14ac:dyDescent="0.25">
      <c r="A43" s="11" t="str">
        <f>IF($G$43="","","Noeud "&amp;$G$43)</f>
        <v/>
      </c>
      <c r="B43" s="12"/>
      <c r="C43" s="12"/>
      <c r="D43" s="12"/>
      <c r="E43" s="12"/>
      <c r="G43" t="str">
        <f>IFERROR(INDEX(SAISIE!$F$5:$F$204,_xlfn.AGGREGATE(15,6,ROW(SAISIE!$F$5:$F$204)-ROW(SAISIE!$F$5)+1/(SAISIE!$F$5:$F$204&lt;&gt;"")/(COUNTIF($G$4:G42,SAISIE!$F$5:$F$204)=0),1)),"")</f>
        <v/>
      </c>
    </row>
    <row r="44" spans="1:7" x14ac:dyDescent="0.25">
      <c r="A44" s="5" t="str">
        <f>IF(OR($G$43="",NOT(TRUE)),"","Couverture")</f>
        <v/>
      </c>
      <c r="B44" s="6" t="str">
        <f>IF($G$43="","",IFERROR(IFERROR(LOOKUP(2,1/((SAISIE!$F$5:$F$204=$G$43)*(LEFT(SAISIE!$B$5:$B$204,2)="G ")),SAISIE!$C$5:$C$204),LOOKUP(2,1/((SAISIE!$F$5:$F$204=$G$43)*(ISNUMBER(SEARCH("Couverture",SAISIE!$B$5:$B$204)))),SAISIE!$C$5:$C$204)),"-"))</f>
        <v/>
      </c>
      <c r="C44" s="6" t="str">
        <f>IF($G$43="","",IFERROR(IFERROR(LOOKUP(2,1/((SAISIE!$F$5:$F$204=$G$43)*(LEFT(SAISIE!$B$5:$B$204,2)="G ")),SAISIE!$D$5:$D$204),LOOKUP(2,1/((SAISIE!$F$5:$F$204=$G$43)*(ISNUMBER(SEARCH("Couverture",SAISIE!$B$5:$B$204)))),SAISIE!$D$5:$D$204)),"-"))</f>
        <v/>
      </c>
      <c r="D44" s="6" t="str">
        <f>IF($G$43="","",IFERROR(IFERROR(LOOKUP(2,1/((SAISIE!$F$5:$F$204=$G$43)*(LEFT(SAISIE!$B$5:$B$204,2)="G ")),SAISIE!$E$5:$E$204),LOOKUP(2,1/((SAISIE!$F$5:$F$204=$G$43)*(ISNUMBER(SEARCH("Couverture",SAISIE!$B$5:$B$204)))),SAISIE!$E$5:$E$204)),"-"))</f>
        <v/>
      </c>
      <c r="E44" s="6" t="str">
        <f>IF($G$43="","",IF(OR(D44="",D44="-"),"",IF(D44&gt;0,"(soulevement)",IF(D44&lt;0,"(compression)","-"))))</f>
        <v/>
      </c>
    </row>
    <row r="45" spans="1:7" x14ac:dyDescent="0.25">
      <c r="A45" s="5" t="str">
        <f>IF(OR($G$43="",NOT(COUNTIFS(SAISIE!$B$5:$B$204,"*Vent G/D*",SAISIE!$F$5:$F$204,$G$43)&gt;0)),"","Vent G/D")</f>
        <v/>
      </c>
      <c r="B45" s="6" t="str">
        <f>IF(OR($G$43="",NOT(COUNTIFS(SAISIE!$B$5:$B$204,"*Vent G/D*",SAISIE!$F$5:$F$204,$G$43)&gt;0)),"",IFERROR(IF(_xlfn.MINIFS(SAISIE!$E$5:$E$204,SAISIE!$B$5:$B$204,"*Vent G/D*",SAISIE!$F$5:$F$204,$G$43)&gt;=0,_xlfn.MAXIFS(SAISIE!$C$5:$C$204,SAISIE!$B$5:$B$204,"*Vent G/D*",SAISIE!$F$5:$F$204,$G$43),INDEX(SAISIE!$C$5:$C$204,MATCH(_xlfn.MINIFS(SAISIE!$E$5:$E$204,SAISIE!$B$5:$B$204,"*Vent G/D*",SAISIE!$F$5:$F$204,$G$43),SAISIE!$E$5:$E$204,0))),"-"))</f>
        <v/>
      </c>
      <c r="C45" s="6" t="str">
        <f>IF(OR($G$43="",NOT(COUNTIFS(SAISIE!$B$5:$B$204,"*Vent G/D*",SAISIE!$F$5:$F$204,$G$43)&gt;0)),"",IFERROR(IF(_xlfn.MINIFS(SAISIE!$E$5:$E$204,SAISIE!$B$5:$B$204,"*Vent G/D*",SAISIE!$F$5:$F$204,$G$43)&gt;=0,INDEX(SAISIE!$D$5:$D$204,MATCH(_xlfn.MAXIFS(SAISIE!$C$5:$C$204,SAISIE!$B$5:$B$204,"*Vent G/D*",SAISIE!$F$5:$F$204,$G$43),SAISIE!$C$5:$C$204,0)),INDEX(SAISIE!$D$5:$D$204,MATCH(_xlfn.MINIFS(SAISIE!$E$5:$E$204,SAISIE!$B$5:$B$204,"*Vent G/D*",SAISIE!$F$5:$F$204,$G$43),SAISIE!$E$5:$E$204,0))),"-"))</f>
        <v/>
      </c>
      <c r="D45" s="6" t="str">
        <f>IF(OR($G$43="",NOT(COUNTIFS(SAISIE!$B$5:$B$204,"*Vent G/D*",SAISIE!$F$5:$F$204,$G$43)&gt;0)),"",IFERROR(IF(_xlfn.MINIFS(SAISIE!$E$5:$E$204,SAISIE!$B$5:$B$204,"*Vent G/D*",SAISIE!$F$5:$F$204,$G$43)&gt;=0,0,_xlfn.MINIFS(SAISIE!$E$5:$E$204,SAISIE!$B$5:$B$204,"*Vent G/D*",SAISIE!$F$5:$F$204,$G$43)),"-"))</f>
        <v/>
      </c>
      <c r="E45" s="6" t="str">
        <f>IF($G$43="","",IF(OR(D45="",D45="-"),"",IF(D45&gt;0,"(soulevement)",IF(D45&lt;0,"(compression)","-"))))</f>
        <v/>
      </c>
    </row>
    <row r="46" spans="1:7" x14ac:dyDescent="0.25">
      <c r="A46" s="5" t="str">
        <f>IF(OR($G$43="",NOT(_xlfn.MAXIFS(SAISIE!$E$5:$E$204,SAISIE!$B$5:$B$204,"*Vent G/D*",SAISIE!$F$5:$F$204,$G$43)&gt;0)),"","Vent G/D")</f>
        <v/>
      </c>
      <c r="B46" s="6" t="str">
        <f>IF(OR($G$43="",NOT(_xlfn.MAXIFS(SAISIE!$E$5:$E$204,SAISIE!$B$5:$B$204,"*Vent G/D*",SAISIE!$F$5:$F$204,$G$43)&gt;0)),"",IFERROR(INDEX(SAISIE!$C$5:$C$204,MATCH(_xlfn.MAXIFS(SAISIE!$E$5:$E$204,SAISIE!$B$5:$B$204,"*Vent G/D*",SAISIE!$F$5:$F$204,$G$43),SAISIE!$E$5:$E$204,0)),"-"))</f>
        <v/>
      </c>
      <c r="C46" s="6" t="str">
        <f>IF(OR($G$43="",NOT(_xlfn.MAXIFS(SAISIE!$E$5:$E$204,SAISIE!$B$5:$B$204,"*Vent G/D*",SAISIE!$F$5:$F$204,$G$43)&gt;0)),"",IFERROR(INDEX(SAISIE!$D$5:$D$204,MATCH(_xlfn.MAXIFS(SAISIE!$E$5:$E$204,SAISIE!$B$5:$B$204,"*Vent G/D*",SAISIE!$F$5:$F$204,$G$43),SAISIE!$E$5:$E$204,0)),"-"))</f>
        <v/>
      </c>
      <c r="D46" s="6" t="str">
        <f>IF(OR($G$43="",NOT(_xlfn.MAXIFS(SAISIE!$E$5:$E$204,SAISIE!$B$5:$B$204,"*Vent G/D*",SAISIE!$F$5:$F$204,$G$43)&gt;0)),"",IFERROR(_xlfn.MAXIFS(SAISIE!$E$5:$E$204,SAISIE!$B$5:$B$204,"*Vent G/D*",SAISIE!$F$5:$F$204,$G$43),"-"))</f>
        <v/>
      </c>
      <c r="E46" s="6" t="str">
        <f>IF($G$43="","",IF(OR(D46="",D46="-"),"",IF(D46&gt;0,"(soulevement)",IF(D46&lt;0,"(compression)","-"))))</f>
        <v/>
      </c>
    </row>
    <row r="47" spans="1:7" x14ac:dyDescent="0.25">
      <c r="A47" s="5" t="str">
        <f>IF(OR($G$43="",NOT(COUNTIFS(SAISIE!$B$5:$B$204,"*Vent D/G*",SAISIE!$F$5:$F$204,$G$43)&gt;0)),"","Vent D/G")</f>
        <v/>
      </c>
      <c r="B47" s="6" t="str">
        <f>IF(OR($G$43="",NOT(COUNTIFS(SAISIE!$B$5:$B$204,"*Vent D/G*",SAISIE!$F$5:$F$204,$G$43)&gt;0)),"",IFERROR(IF(_xlfn.MINIFS(SAISIE!$E$5:$E$204,SAISIE!$B$5:$B$204,"*Vent D/G*",SAISIE!$F$5:$F$204,$G$43)&gt;=0,_xlfn.MAXIFS(SAISIE!$C$5:$C$204,SAISIE!$B$5:$B$204,"*Vent D/G*",SAISIE!$F$5:$F$204,$G$43),INDEX(SAISIE!$C$5:$C$204,MATCH(_xlfn.MINIFS(SAISIE!$E$5:$E$204,SAISIE!$B$5:$B$204,"*Vent D/G*",SAISIE!$F$5:$F$204,$G$43),SAISIE!$E$5:$E$204,0))),"-"))</f>
        <v/>
      </c>
      <c r="C47" s="6" t="str">
        <f>IF(OR($G$43="",NOT(COUNTIFS(SAISIE!$B$5:$B$204,"*Vent D/G*",SAISIE!$F$5:$F$204,$G$43)&gt;0)),"",IFERROR(IF(_xlfn.MINIFS(SAISIE!$E$5:$E$204,SAISIE!$B$5:$B$204,"*Vent D/G*",SAISIE!$F$5:$F$204,$G$43)&gt;=0,INDEX(SAISIE!$D$5:$D$204,MATCH(_xlfn.MAXIFS(SAISIE!$C$5:$C$204,SAISIE!$B$5:$B$204,"*Vent D/G*",SAISIE!$F$5:$F$204,$G$43),SAISIE!$C$5:$C$204,0)),INDEX(SAISIE!$D$5:$D$204,MATCH(_xlfn.MINIFS(SAISIE!$E$5:$E$204,SAISIE!$B$5:$B$204,"*Vent D/G*",SAISIE!$F$5:$F$204,$G$43),SAISIE!$E$5:$E$204,0))),"-"))</f>
        <v/>
      </c>
      <c r="D47" s="6" t="str">
        <f>IF(OR($G$43="",NOT(COUNTIFS(SAISIE!$B$5:$B$204,"*Vent D/G*",SAISIE!$F$5:$F$204,$G$43)&gt;0)),"",IFERROR(IF(_xlfn.MINIFS(SAISIE!$E$5:$E$204,SAISIE!$B$5:$B$204,"*Vent D/G*",SAISIE!$F$5:$F$204,$G$43)&gt;=0,0,_xlfn.MINIFS(SAISIE!$E$5:$E$204,SAISIE!$B$5:$B$204,"*Vent D/G*",SAISIE!$F$5:$F$204,$G$43)),"-"))</f>
        <v/>
      </c>
      <c r="E47" s="6" t="str">
        <f>IF($G$43="","",IF(OR(D47="",D47="-"),"",IF(D47&gt;0,"(soulevement)",IF(D47&lt;0,"(compression)","-"))))</f>
        <v/>
      </c>
    </row>
    <row r="48" spans="1:7" x14ac:dyDescent="0.25">
      <c r="A48" s="5" t="str">
        <f>IF(OR($G$43="",NOT(_xlfn.MAXIFS(SAISIE!$E$5:$E$204,SAISIE!$B$5:$B$204,"*Vent D/G*",SAISIE!$F$5:$F$204,$G$43)&gt;0)),"","Vent D/G")</f>
        <v/>
      </c>
      <c r="B48" s="6" t="str">
        <f>IF(OR($G$43="",NOT(_xlfn.MAXIFS(SAISIE!$E$5:$E$204,SAISIE!$B$5:$B$204,"*Vent D/G*",SAISIE!$F$5:$F$204,$G$43)&gt;0)),"",IFERROR(INDEX(SAISIE!$C$5:$C$204,MATCH(_xlfn.MAXIFS(SAISIE!$E$5:$E$204,SAISIE!$B$5:$B$204,"*Vent D/G*",SAISIE!$F$5:$F$204,$G$43),SAISIE!$E$5:$E$204,0)),"-"))</f>
        <v/>
      </c>
      <c r="C48" s="6" t="str">
        <f>IF(OR($G$43="",NOT(_xlfn.MAXIFS(SAISIE!$E$5:$E$204,SAISIE!$B$5:$B$204,"*Vent D/G*",SAISIE!$F$5:$F$204,$G$43)&gt;0)),"",IFERROR(INDEX(SAISIE!$D$5:$D$204,MATCH(_xlfn.MAXIFS(SAISIE!$E$5:$E$204,SAISIE!$B$5:$B$204,"*Vent D/G*",SAISIE!$F$5:$F$204,$G$43),SAISIE!$E$5:$E$204,0)),"-"))</f>
        <v/>
      </c>
      <c r="D48" s="6" t="str">
        <f>IF(OR($G$43="",NOT(_xlfn.MAXIFS(SAISIE!$E$5:$E$204,SAISIE!$B$5:$B$204,"*Vent D/G*",SAISIE!$F$5:$F$204,$G$43)&gt;0)),"",IFERROR(_xlfn.MAXIFS(SAISIE!$E$5:$E$204,SAISIE!$B$5:$B$204,"*Vent D/G*",SAISIE!$F$5:$F$204,$G$43),"-"))</f>
        <v/>
      </c>
      <c r="E48" s="6" t="str">
        <f>IF($G$43="","",IF(OR(D48="",D48="-"),"",IF(D48&gt;0,"(soulevement)",IF(D48&lt;0,"(compression)","-"))))</f>
        <v/>
      </c>
    </row>
    <row r="49" spans="1:7" x14ac:dyDescent="0.25">
      <c r="A49" s="5" t="str">
        <f>IF(OR($G$43="",NOT(COUNTIFS(SAISIE!$B$5:$B$204,"*Vent Av./Arr.*",SAISIE!$F$5:$F$204,$G$43)&gt;0)),"","Vent Av./Arr.")</f>
        <v/>
      </c>
      <c r="B49" s="6" t="str">
        <f>IF(OR($G$43="",NOT(COUNTIFS(SAISIE!$B$5:$B$204,"*Vent Av./Arr.*",SAISIE!$F$5:$F$204,$G$43)&gt;0)),"",IFERROR(IF(_xlfn.MINIFS(SAISIE!$E$5:$E$204,SAISIE!$B$5:$B$204,"*Vent Av./Arr.*",SAISIE!$F$5:$F$204,$G$43)&gt;=0,_xlfn.MAXIFS(SAISIE!$C$5:$C$204,SAISIE!$B$5:$B$204,"*Vent Av./Arr.*",SAISIE!$F$5:$F$204,$G$43),INDEX(SAISIE!$C$5:$C$204,MATCH(_xlfn.MINIFS(SAISIE!$E$5:$E$204,SAISIE!$B$5:$B$204,"*Vent Av./Arr.*",SAISIE!$F$5:$F$204,$G$43),SAISIE!$E$5:$E$204,0))),"-"))</f>
        <v/>
      </c>
      <c r="C49" s="6" t="str">
        <f>IF(OR($G$43="",NOT(COUNTIFS(SAISIE!$B$5:$B$204,"*Vent Av./Arr.*",SAISIE!$F$5:$F$204,$G$43)&gt;0)),"",IFERROR(IF(_xlfn.MINIFS(SAISIE!$E$5:$E$204,SAISIE!$B$5:$B$204,"*Vent Av./Arr.*",SAISIE!$F$5:$F$204,$G$43)&gt;=0,INDEX(SAISIE!$D$5:$D$204,MATCH(_xlfn.MAXIFS(SAISIE!$C$5:$C$204,SAISIE!$B$5:$B$204,"*Vent Av./Arr.*",SAISIE!$F$5:$F$204,$G$43),SAISIE!$C$5:$C$204,0)),INDEX(SAISIE!$D$5:$D$204,MATCH(_xlfn.MINIFS(SAISIE!$E$5:$E$204,SAISIE!$B$5:$B$204,"*Vent Av./Arr.*",SAISIE!$F$5:$F$204,$G$43),SAISIE!$E$5:$E$204,0))),"-"))</f>
        <v/>
      </c>
      <c r="D49" s="6" t="str">
        <f>IF(OR($G$43="",NOT(COUNTIFS(SAISIE!$B$5:$B$204,"*Vent Av./Arr.*",SAISIE!$F$5:$F$204,$G$43)&gt;0)),"",IFERROR(IF(_xlfn.MINIFS(SAISIE!$E$5:$E$204,SAISIE!$B$5:$B$204,"*Vent Av./Arr.*",SAISIE!$F$5:$F$204,$G$43)&gt;=0,0,_xlfn.MINIFS(SAISIE!$E$5:$E$204,SAISIE!$B$5:$B$204,"*Vent Av./Arr.*",SAISIE!$F$5:$F$204,$G$43)),"-"))</f>
        <v/>
      </c>
      <c r="E49" s="6" t="str">
        <f>IF($G$43="","",IF(OR(D49="",D49="-"),"",IF(D49&gt;0,"(soulevement)",IF(D49&lt;0,"(compression)","-"))))</f>
        <v/>
      </c>
    </row>
    <row r="50" spans="1:7" x14ac:dyDescent="0.25">
      <c r="A50" s="5" t="str">
        <f>IF(OR($G$43="",NOT(_xlfn.MAXIFS(SAISIE!$E$5:$E$204,SAISIE!$B$5:$B$204,"*Vent Av./Arr.*",SAISIE!$F$5:$F$204,$G$43)&gt;0)),"","Vent Av./Arr.")</f>
        <v/>
      </c>
      <c r="B50" s="6" t="str">
        <f>IF(OR($G$43="",NOT(_xlfn.MAXIFS(SAISIE!$E$5:$E$204,SAISIE!$B$5:$B$204,"*Vent Av./Arr.*",SAISIE!$F$5:$F$204,$G$43)&gt;0)),"",IFERROR(INDEX(SAISIE!$C$5:$C$204,MATCH(_xlfn.MAXIFS(SAISIE!$E$5:$E$204,SAISIE!$B$5:$B$204,"*Vent Av./Arr.*",SAISIE!$F$5:$F$204,$G$43),SAISIE!$E$5:$E$204,0)),"-"))</f>
        <v/>
      </c>
      <c r="C50" s="6" t="str">
        <f>IF(OR($G$43="",NOT(_xlfn.MAXIFS(SAISIE!$E$5:$E$204,SAISIE!$B$5:$B$204,"*Vent Av./Arr.*",SAISIE!$F$5:$F$204,$G$43)&gt;0)),"",IFERROR(INDEX(SAISIE!$D$5:$D$204,MATCH(_xlfn.MAXIFS(SAISIE!$E$5:$E$204,SAISIE!$B$5:$B$204,"*Vent Av./Arr.*",SAISIE!$F$5:$F$204,$G$43),SAISIE!$E$5:$E$204,0)),"-"))</f>
        <v/>
      </c>
      <c r="D50" s="6" t="str">
        <f>IF(OR($G$43="",NOT(_xlfn.MAXIFS(SAISIE!$E$5:$E$204,SAISIE!$B$5:$B$204,"*Vent Av./Arr.*",SAISIE!$F$5:$F$204,$G$43)&gt;0)),"",IFERROR(_xlfn.MAXIFS(SAISIE!$E$5:$E$204,SAISIE!$B$5:$B$204,"*Vent Av./Arr.*",SAISIE!$F$5:$F$204,$G$43),"-"))</f>
        <v/>
      </c>
      <c r="E50" s="6" t="str">
        <f>IF($G$43="","",IF(OR(D50="",D50="-"),"",IF(D50&gt;0,"(soulevement)",IF(D50&lt;0,"(compression)","-"))))</f>
        <v/>
      </c>
    </row>
    <row r="51" spans="1:7" x14ac:dyDescent="0.25">
      <c r="A51" s="5" t="str">
        <f>IF(OR($G$43="",NOT(COUNTIFS(SAISIE!$B$5:$B$204,"*Vent Arr./Av.*",SAISIE!$F$5:$F$204,$G$43)&gt;0)),"","Vent Arr./Av.")</f>
        <v/>
      </c>
      <c r="B51" s="6" t="str">
        <f>IF(OR($G$43="",NOT(COUNTIFS(SAISIE!$B$5:$B$204,"*Vent Arr./Av.*",SAISIE!$F$5:$F$204,$G$43)&gt;0)),"",IFERROR(IF(_xlfn.MINIFS(SAISIE!$E$5:$E$204,SAISIE!$B$5:$B$204,"*Vent Arr./Av.*",SAISIE!$F$5:$F$204,$G$43)&gt;=0,_xlfn.MAXIFS(SAISIE!$C$5:$C$204,SAISIE!$B$5:$B$204,"*Vent Arr./Av.*",SAISIE!$F$5:$F$204,$G$43),INDEX(SAISIE!$C$5:$C$204,MATCH(_xlfn.MINIFS(SAISIE!$E$5:$E$204,SAISIE!$B$5:$B$204,"*Vent Arr./Av.*",SAISIE!$F$5:$F$204,$G$43),SAISIE!$E$5:$E$204,0))),"-"))</f>
        <v/>
      </c>
      <c r="C51" s="6" t="str">
        <f>IF(OR($G$43="",NOT(COUNTIFS(SAISIE!$B$5:$B$204,"*Vent Arr./Av.*",SAISIE!$F$5:$F$204,$G$43)&gt;0)),"",IFERROR(IF(_xlfn.MINIFS(SAISIE!$E$5:$E$204,SAISIE!$B$5:$B$204,"*Vent Arr./Av.*",SAISIE!$F$5:$F$204,$G$43)&gt;=0,INDEX(SAISIE!$D$5:$D$204,MATCH(_xlfn.MAXIFS(SAISIE!$C$5:$C$204,SAISIE!$B$5:$B$204,"*Vent Arr./Av.*",SAISIE!$F$5:$F$204,$G$43),SAISIE!$C$5:$C$204,0)),INDEX(SAISIE!$D$5:$D$204,MATCH(_xlfn.MINIFS(SAISIE!$E$5:$E$204,SAISIE!$B$5:$B$204,"*Vent Arr./Av.*",SAISIE!$F$5:$F$204,$G$43),SAISIE!$E$5:$E$204,0))),"-"))</f>
        <v/>
      </c>
      <c r="D51" s="6" t="str">
        <f>IF(OR($G$43="",NOT(COUNTIFS(SAISIE!$B$5:$B$204,"*Vent Arr./Av.*",SAISIE!$F$5:$F$204,$G$43)&gt;0)),"",IFERROR(IF(_xlfn.MINIFS(SAISIE!$E$5:$E$204,SAISIE!$B$5:$B$204,"*Vent Arr./Av.*",SAISIE!$F$5:$F$204,$G$43)&gt;=0,0,_xlfn.MINIFS(SAISIE!$E$5:$E$204,SAISIE!$B$5:$B$204,"*Vent Arr./Av.*",SAISIE!$F$5:$F$204,$G$43)),"-"))</f>
        <v/>
      </c>
      <c r="E51" s="6" t="str">
        <f>IF($G$43="","",IF(OR(D51="",D51="-"),"",IF(D51&gt;0,"(soulevement)",IF(D51&lt;0,"(compression)","-"))))</f>
        <v/>
      </c>
    </row>
    <row r="52" spans="1:7" x14ac:dyDescent="0.25">
      <c r="A52" s="5" t="str">
        <f>IF(OR($G$43="",NOT(_xlfn.MAXIFS(SAISIE!$E$5:$E$204,SAISIE!$B$5:$B$204,"*Vent Arr./Av.*",SAISIE!$F$5:$F$204,$G$43)&gt;0)),"","Vent Arr./Av.")</f>
        <v/>
      </c>
      <c r="B52" s="6" t="str">
        <f>IF(OR($G$43="",NOT(_xlfn.MAXIFS(SAISIE!$E$5:$E$204,SAISIE!$B$5:$B$204,"*Vent Arr./Av.*",SAISIE!$F$5:$F$204,$G$43)&gt;0)),"",IFERROR(INDEX(SAISIE!$C$5:$C$204,MATCH(_xlfn.MAXIFS(SAISIE!$E$5:$E$204,SAISIE!$B$5:$B$204,"*Vent Arr./Av.*",SAISIE!$F$5:$F$204,$G$43),SAISIE!$E$5:$E$204,0)),"-"))</f>
        <v/>
      </c>
      <c r="C52" s="6" t="str">
        <f>IF(OR($G$43="",NOT(_xlfn.MAXIFS(SAISIE!$E$5:$E$204,SAISIE!$B$5:$B$204,"*Vent Arr./Av.*",SAISIE!$F$5:$F$204,$G$43)&gt;0)),"",IFERROR(INDEX(SAISIE!$D$5:$D$204,MATCH(_xlfn.MAXIFS(SAISIE!$E$5:$E$204,SAISIE!$B$5:$B$204,"*Vent Arr./Av.*",SAISIE!$F$5:$F$204,$G$43),SAISIE!$E$5:$E$204,0)),"-"))</f>
        <v/>
      </c>
      <c r="D52" s="6" t="str">
        <f>IF(OR($G$43="",NOT(_xlfn.MAXIFS(SAISIE!$E$5:$E$204,SAISIE!$B$5:$B$204,"*Vent Arr./Av.*",SAISIE!$F$5:$F$204,$G$43)&gt;0)),"",IFERROR(_xlfn.MAXIFS(SAISIE!$E$5:$E$204,SAISIE!$B$5:$B$204,"*Vent Arr./Av.*",SAISIE!$F$5:$F$204,$G$43),"-"))</f>
        <v/>
      </c>
      <c r="E52" s="6" t="str">
        <f>IF($G$43="","",IF(OR(D52="",D52="-"),"",IF(D52&gt;0,"(soulevement)",IF(D52&lt;0,"(compression)","-"))))</f>
        <v/>
      </c>
    </row>
    <row r="53" spans="1:7" x14ac:dyDescent="0.25">
      <c r="A53" s="5" t="str">
        <f>IF(OR($G$43="",NOT(TRUE)),"","Neige normale")</f>
        <v/>
      </c>
      <c r="B53" s="6" t="str">
        <f>IF($G$43="","",IFERROR(INDEX(SAISIE!$C$5:$C$204,MATCH(_xlfn.MINIFS(SAISIE!$E$5:$E$204,SAISIE!$B$5:$B$204,"*Neige*",SAISIE!$B$5:$B$204,"&lt;&gt;*accidentel*",SAISIE!$F$5:$F$204,$G$43),SAISIE!$E$5:$E$204,0)),"-"))</f>
        <v/>
      </c>
      <c r="C53" s="6" t="str">
        <f>IF($G$43="","",IFERROR(INDEX(SAISIE!$D$5:$D$204,MATCH(_xlfn.MINIFS(SAISIE!$E$5:$E$204,SAISIE!$B$5:$B$204,"*Neige*",SAISIE!$B$5:$B$204,"&lt;&gt;*accidentel*",SAISIE!$F$5:$F$204,$G$43),SAISIE!$E$5:$E$204,0)),"-"))</f>
        <v/>
      </c>
      <c r="D53" s="6" t="str">
        <f>IF($G$43="","",IFERROR(INDEX(SAISIE!$E$5:$E$204,MATCH(_xlfn.MINIFS(SAISIE!$E$5:$E$204,SAISIE!$B$5:$B$204,"*Neige*",SAISIE!$B$5:$B$204,"&lt;&gt;*accidentel*",SAISIE!$F$5:$F$204,$G$43),SAISIE!$E$5:$E$204,0)),"-"))</f>
        <v/>
      </c>
      <c r="E53" s="6" t="str">
        <f>IF($G$43="","",IF(OR(D53="",D53="-"),"",IF(D53&gt;0,"(soulevement)",IF(D53&lt;0,"(compression)","-"))))</f>
        <v/>
      </c>
    </row>
    <row r="54" spans="1:7" x14ac:dyDescent="0.25">
      <c r="A54" s="5" t="str">
        <f>IF(OR($G$43="",NOT(TRUE)),"","Neige accidentelle")</f>
        <v/>
      </c>
      <c r="B54" s="6" t="str">
        <f>IF($G$43="","",IFERROR(LOOKUP(2,1/((SAISIE!$F$5:$F$204=$G$43)*(ISNUMBER(SEARCH("accidentel",SAISIE!$B$5:$B$204)))),SAISIE!$C$5:$C$204),"-"))</f>
        <v/>
      </c>
      <c r="C54" s="6" t="str">
        <f>IF($G$43="","",IFERROR(LOOKUP(2,1/((SAISIE!$F$5:$F$204=$G$43)*(ISNUMBER(SEARCH("accidentel",SAISIE!$B$5:$B$204)))),SAISIE!$D$5:$D$204),"-"))</f>
        <v/>
      </c>
      <c r="D54" s="6" t="str">
        <f>IF($G$43="","",IFERROR(LOOKUP(2,1/((SAISIE!$F$5:$F$204=$G$43)*(ISNUMBER(SEARCH("accidentel",SAISIE!$B$5:$B$204)))),SAISIE!$E$5:$E$204),"-"))</f>
        <v/>
      </c>
      <c r="E54" s="6" t="str">
        <f>IF($G$43="","",IF(OR(D54="",D54="-"),"",IF(D54&gt;0,"(soulevement)",IF(D54&lt;0,"(compression)","-"))))</f>
        <v/>
      </c>
    </row>
    <row r="55" spans="1:7" ht="15.75" x14ac:dyDescent="0.25">
      <c r="A55" s="11" t="str">
        <f>IF($G$55="","","Noeud "&amp;$G$55)</f>
        <v/>
      </c>
      <c r="B55" s="12"/>
      <c r="C55" s="12"/>
      <c r="D55" s="12"/>
      <c r="E55" s="12"/>
      <c r="G55" t="str">
        <f>IFERROR(INDEX(SAISIE!$F$5:$F$204,_xlfn.AGGREGATE(15,6,ROW(SAISIE!$F$5:$F$204)-ROW(SAISIE!$F$5)+1/(SAISIE!$F$5:$F$204&lt;&gt;"")/(COUNTIF($G$4:G54,SAISIE!$F$5:$F$204)=0),1)),"")</f>
        <v/>
      </c>
    </row>
    <row r="56" spans="1:7" x14ac:dyDescent="0.25">
      <c r="A56" s="5" t="str">
        <f>IF(OR($G$55="",NOT(TRUE)),"","Couverture")</f>
        <v/>
      </c>
      <c r="B56" s="6" t="str">
        <f>IF($G$55="","",IFERROR(IFERROR(LOOKUP(2,1/((SAISIE!$F$5:$F$204=$G$55)*(LEFT(SAISIE!$B$5:$B$204,2)="G ")),SAISIE!$C$5:$C$204),LOOKUP(2,1/((SAISIE!$F$5:$F$204=$G$55)*(ISNUMBER(SEARCH("Couverture",SAISIE!$B$5:$B$204)))),SAISIE!$C$5:$C$204)),"-"))</f>
        <v/>
      </c>
      <c r="C56" s="6" t="str">
        <f>IF($G$55="","",IFERROR(IFERROR(LOOKUP(2,1/((SAISIE!$F$5:$F$204=$G$55)*(LEFT(SAISIE!$B$5:$B$204,2)="G ")),SAISIE!$D$5:$D$204),LOOKUP(2,1/((SAISIE!$F$5:$F$204=$G$55)*(ISNUMBER(SEARCH("Couverture",SAISIE!$B$5:$B$204)))),SAISIE!$D$5:$D$204)),"-"))</f>
        <v/>
      </c>
      <c r="D56" s="6" t="str">
        <f>IF($G$55="","",IFERROR(IFERROR(LOOKUP(2,1/((SAISIE!$F$5:$F$204=$G$55)*(LEFT(SAISIE!$B$5:$B$204,2)="G ")),SAISIE!$E$5:$E$204),LOOKUP(2,1/((SAISIE!$F$5:$F$204=$G$55)*(ISNUMBER(SEARCH("Couverture",SAISIE!$B$5:$B$204)))),SAISIE!$E$5:$E$204)),"-"))</f>
        <v/>
      </c>
      <c r="E56" s="6" t="str">
        <f>IF($G$55="","",IF(OR(D56="",D56="-"),"",IF(D56&gt;0,"(soulevement)",IF(D56&lt;0,"(compression)","-"))))</f>
        <v/>
      </c>
    </row>
    <row r="57" spans="1:7" x14ac:dyDescent="0.25">
      <c r="A57" s="5" t="str">
        <f>IF(OR($G$55="",NOT(COUNTIFS(SAISIE!$B$5:$B$204,"*Vent G/D*",SAISIE!$F$5:$F$204,$G$55)&gt;0)),"","Vent G/D")</f>
        <v/>
      </c>
      <c r="B57" s="6" t="str">
        <f>IF(OR($G$55="",NOT(COUNTIFS(SAISIE!$B$5:$B$204,"*Vent G/D*",SAISIE!$F$5:$F$204,$G$55)&gt;0)),"",IFERROR(IF(_xlfn.MINIFS(SAISIE!$E$5:$E$204,SAISIE!$B$5:$B$204,"*Vent G/D*",SAISIE!$F$5:$F$204,$G$55)&gt;=0,_xlfn.MAXIFS(SAISIE!$C$5:$C$204,SAISIE!$B$5:$B$204,"*Vent G/D*",SAISIE!$F$5:$F$204,$G$55),INDEX(SAISIE!$C$5:$C$204,MATCH(_xlfn.MINIFS(SAISIE!$E$5:$E$204,SAISIE!$B$5:$B$204,"*Vent G/D*",SAISIE!$F$5:$F$204,$G$55),SAISIE!$E$5:$E$204,0))),"-"))</f>
        <v/>
      </c>
      <c r="C57" s="6" t="str">
        <f>IF(OR($G$55="",NOT(COUNTIFS(SAISIE!$B$5:$B$204,"*Vent G/D*",SAISIE!$F$5:$F$204,$G$55)&gt;0)),"",IFERROR(IF(_xlfn.MINIFS(SAISIE!$E$5:$E$204,SAISIE!$B$5:$B$204,"*Vent G/D*",SAISIE!$F$5:$F$204,$G$55)&gt;=0,INDEX(SAISIE!$D$5:$D$204,MATCH(_xlfn.MAXIFS(SAISIE!$C$5:$C$204,SAISIE!$B$5:$B$204,"*Vent G/D*",SAISIE!$F$5:$F$204,$G$55),SAISIE!$C$5:$C$204,0)),INDEX(SAISIE!$D$5:$D$204,MATCH(_xlfn.MINIFS(SAISIE!$E$5:$E$204,SAISIE!$B$5:$B$204,"*Vent G/D*",SAISIE!$F$5:$F$204,$G$55),SAISIE!$E$5:$E$204,0))),"-"))</f>
        <v/>
      </c>
      <c r="D57" s="6" t="str">
        <f>IF(OR($G$55="",NOT(COUNTIFS(SAISIE!$B$5:$B$204,"*Vent G/D*",SAISIE!$F$5:$F$204,$G$55)&gt;0)),"",IFERROR(IF(_xlfn.MINIFS(SAISIE!$E$5:$E$204,SAISIE!$B$5:$B$204,"*Vent G/D*",SAISIE!$F$5:$F$204,$G$55)&gt;=0,0,_xlfn.MINIFS(SAISIE!$E$5:$E$204,SAISIE!$B$5:$B$204,"*Vent G/D*",SAISIE!$F$5:$F$204,$G$55)),"-"))</f>
        <v/>
      </c>
      <c r="E57" s="6" t="str">
        <f>IF($G$55="","",IF(OR(D57="",D57="-"),"",IF(D57&gt;0,"(soulevement)",IF(D57&lt;0,"(compression)","-"))))</f>
        <v/>
      </c>
    </row>
    <row r="58" spans="1:7" x14ac:dyDescent="0.25">
      <c r="A58" s="5" t="str">
        <f>IF(OR($G$55="",NOT(_xlfn.MAXIFS(SAISIE!$E$5:$E$204,SAISIE!$B$5:$B$204,"*Vent G/D*",SAISIE!$F$5:$F$204,$G$55)&gt;0)),"","Vent G/D")</f>
        <v/>
      </c>
      <c r="B58" s="6" t="str">
        <f>IF(OR($G$55="",NOT(_xlfn.MAXIFS(SAISIE!$E$5:$E$204,SAISIE!$B$5:$B$204,"*Vent G/D*",SAISIE!$F$5:$F$204,$G$55)&gt;0)),"",IFERROR(INDEX(SAISIE!$C$5:$C$204,MATCH(_xlfn.MAXIFS(SAISIE!$E$5:$E$204,SAISIE!$B$5:$B$204,"*Vent G/D*",SAISIE!$F$5:$F$204,$G$55),SAISIE!$E$5:$E$204,0)),"-"))</f>
        <v/>
      </c>
      <c r="C58" s="6" t="str">
        <f>IF(OR($G$55="",NOT(_xlfn.MAXIFS(SAISIE!$E$5:$E$204,SAISIE!$B$5:$B$204,"*Vent G/D*",SAISIE!$F$5:$F$204,$G$55)&gt;0)),"",IFERROR(INDEX(SAISIE!$D$5:$D$204,MATCH(_xlfn.MAXIFS(SAISIE!$E$5:$E$204,SAISIE!$B$5:$B$204,"*Vent G/D*",SAISIE!$F$5:$F$204,$G$55),SAISIE!$E$5:$E$204,0)),"-"))</f>
        <v/>
      </c>
      <c r="D58" s="6" t="str">
        <f>IF(OR($G$55="",NOT(_xlfn.MAXIFS(SAISIE!$E$5:$E$204,SAISIE!$B$5:$B$204,"*Vent G/D*",SAISIE!$F$5:$F$204,$G$55)&gt;0)),"",IFERROR(_xlfn.MAXIFS(SAISIE!$E$5:$E$204,SAISIE!$B$5:$B$204,"*Vent G/D*",SAISIE!$F$5:$F$204,$G$55),"-"))</f>
        <v/>
      </c>
      <c r="E58" s="6" t="str">
        <f>IF($G$55="","",IF(OR(D58="",D58="-"),"",IF(D58&gt;0,"(soulevement)",IF(D58&lt;0,"(compression)","-"))))</f>
        <v/>
      </c>
    </row>
    <row r="59" spans="1:7" x14ac:dyDescent="0.25">
      <c r="A59" s="5" t="str">
        <f>IF(OR($G$55="",NOT(COUNTIFS(SAISIE!$B$5:$B$204,"*Vent D/G*",SAISIE!$F$5:$F$204,$G$55)&gt;0)),"","Vent D/G")</f>
        <v/>
      </c>
      <c r="B59" s="6" t="str">
        <f>IF(OR($G$55="",NOT(COUNTIFS(SAISIE!$B$5:$B$204,"*Vent D/G*",SAISIE!$F$5:$F$204,$G$55)&gt;0)),"",IFERROR(IF(_xlfn.MINIFS(SAISIE!$E$5:$E$204,SAISIE!$B$5:$B$204,"*Vent D/G*",SAISIE!$F$5:$F$204,$G$55)&gt;=0,_xlfn.MAXIFS(SAISIE!$C$5:$C$204,SAISIE!$B$5:$B$204,"*Vent D/G*",SAISIE!$F$5:$F$204,$G$55),INDEX(SAISIE!$C$5:$C$204,MATCH(_xlfn.MINIFS(SAISIE!$E$5:$E$204,SAISIE!$B$5:$B$204,"*Vent D/G*",SAISIE!$F$5:$F$204,$G$55),SAISIE!$E$5:$E$204,0))),"-"))</f>
        <v/>
      </c>
      <c r="C59" s="6" t="str">
        <f>IF(OR($G$55="",NOT(COUNTIFS(SAISIE!$B$5:$B$204,"*Vent D/G*",SAISIE!$F$5:$F$204,$G$55)&gt;0)),"",IFERROR(IF(_xlfn.MINIFS(SAISIE!$E$5:$E$204,SAISIE!$B$5:$B$204,"*Vent D/G*",SAISIE!$F$5:$F$204,$G$55)&gt;=0,INDEX(SAISIE!$D$5:$D$204,MATCH(_xlfn.MAXIFS(SAISIE!$C$5:$C$204,SAISIE!$B$5:$B$204,"*Vent D/G*",SAISIE!$F$5:$F$204,$G$55),SAISIE!$C$5:$C$204,0)),INDEX(SAISIE!$D$5:$D$204,MATCH(_xlfn.MINIFS(SAISIE!$E$5:$E$204,SAISIE!$B$5:$B$204,"*Vent D/G*",SAISIE!$F$5:$F$204,$G$55),SAISIE!$E$5:$E$204,0))),"-"))</f>
        <v/>
      </c>
      <c r="D59" s="6" t="str">
        <f>IF(OR($G$55="",NOT(COUNTIFS(SAISIE!$B$5:$B$204,"*Vent D/G*",SAISIE!$F$5:$F$204,$G$55)&gt;0)),"",IFERROR(IF(_xlfn.MINIFS(SAISIE!$E$5:$E$204,SAISIE!$B$5:$B$204,"*Vent D/G*",SAISIE!$F$5:$F$204,$G$55)&gt;=0,0,_xlfn.MINIFS(SAISIE!$E$5:$E$204,SAISIE!$B$5:$B$204,"*Vent D/G*",SAISIE!$F$5:$F$204,$G$55)),"-"))</f>
        <v/>
      </c>
      <c r="E59" s="6" t="str">
        <f>IF($G$55="","",IF(OR(D59="",D59="-"),"",IF(D59&gt;0,"(soulevement)",IF(D59&lt;0,"(compression)","-"))))</f>
        <v/>
      </c>
    </row>
    <row r="60" spans="1:7" x14ac:dyDescent="0.25">
      <c r="A60" s="5" t="str">
        <f>IF(OR($G$55="",NOT(_xlfn.MAXIFS(SAISIE!$E$5:$E$204,SAISIE!$B$5:$B$204,"*Vent D/G*",SAISIE!$F$5:$F$204,$G$55)&gt;0)),"","Vent D/G")</f>
        <v/>
      </c>
      <c r="B60" s="6" t="str">
        <f>IF(OR($G$55="",NOT(_xlfn.MAXIFS(SAISIE!$E$5:$E$204,SAISIE!$B$5:$B$204,"*Vent D/G*",SAISIE!$F$5:$F$204,$G$55)&gt;0)),"",IFERROR(INDEX(SAISIE!$C$5:$C$204,MATCH(_xlfn.MAXIFS(SAISIE!$E$5:$E$204,SAISIE!$B$5:$B$204,"*Vent D/G*",SAISIE!$F$5:$F$204,$G$55),SAISIE!$E$5:$E$204,0)),"-"))</f>
        <v/>
      </c>
      <c r="C60" s="6" t="str">
        <f>IF(OR($G$55="",NOT(_xlfn.MAXIFS(SAISIE!$E$5:$E$204,SAISIE!$B$5:$B$204,"*Vent D/G*",SAISIE!$F$5:$F$204,$G$55)&gt;0)),"",IFERROR(INDEX(SAISIE!$D$5:$D$204,MATCH(_xlfn.MAXIFS(SAISIE!$E$5:$E$204,SAISIE!$B$5:$B$204,"*Vent D/G*",SAISIE!$F$5:$F$204,$G$55),SAISIE!$E$5:$E$204,0)),"-"))</f>
        <v/>
      </c>
      <c r="D60" s="6" t="str">
        <f>IF(OR($G$55="",NOT(_xlfn.MAXIFS(SAISIE!$E$5:$E$204,SAISIE!$B$5:$B$204,"*Vent D/G*",SAISIE!$F$5:$F$204,$G$55)&gt;0)),"",IFERROR(_xlfn.MAXIFS(SAISIE!$E$5:$E$204,SAISIE!$B$5:$B$204,"*Vent D/G*",SAISIE!$F$5:$F$204,$G$55),"-"))</f>
        <v/>
      </c>
      <c r="E60" s="6" t="str">
        <f>IF($G$55="","",IF(OR(D60="",D60="-"),"",IF(D60&gt;0,"(soulevement)",IF(D60&lt;0,"(compression)","-"))))</f>
        <v/>
      </c>
    </row>
    <row r="61" spans="1:7" x14ac:dyDescent="0.25">
      <c r="A61" s="5" t="str">
        <f>IF(OR($G$55="",NOT(COUNTIFS(SAISIE!$B$5:$B$204,"*Vent Av./Arr.*",SAISIE!$F$5:$F$204,$G$55)&gt;0)),"","Vent Av./Arr.")</f>
        <v/>
      </c>
      <c r="B61" s="6" t="str">
        <f>IF(OR($G$55="",NOT(COUNTIFS(SAISIE!$B$5:$B$204,"*Vent Av./Arr.*",SAISIE!$F$5:$F$204,$G$55)&gt;0)),"",IFERROR(IF(_xlfn.MINIFS(SAISIE!$E$5:$E$204,SAISIE!$B$5:$B$204,"*Vent Av./Arr.*",SAISIE!$F$5:$F$204,$G$55)&gt;=0,_xlfn.MAXIFS(SAISIE!$C$5:$C$204,SAISIE!$B$5:$B$204,"*Vent Av./Arr.*",SAISIE!$F$5:$F$204,$G$55),INDEX(SAISIE!$C$5:$C$204,MATCH(_xlfn.MINIFS(SAISIE!$E$5:$E$204,SAISIE!$B$5:$B$204,"*Vent Av./Arr.*",SAISIE!$F$5:$F$204,$G$55),SAISIE!$E$5:$E$204,0))),"-"))</f>
        <v/>
      </c>
      <c r="C61" s="6" t="str">
        <f>IF(OR($G$55="",NOT(COUNTIFS(SAISIE!$B$5:$B$204,"*Vent Av./Arr.*",SAISIE!$F$5:$F$204,$G$55)&gt;0)),"",IFERROR(IF(_xlfn.MINIFS(SAISIE!$E$5:$E$204,SAISIE!$B$5:$B$204,"*Vent Av./Arr.*",SAISIE!$F$5:$F$204,$G$55)&gt;=0,INDEX(SAISIE!$D$5:$D$204,MATCH(_xlfn.MAXIFS(SAISIE!$C$5:$C$204,SAISIE!$B$5:$B$204,"*Vent Av./Arr.*",SAISIE!$F$5:$F$204,$G$55),SAISIE!$C$5:$C$204,0)),INDEX(SAISIE!$D$5:$D$204,MATCH(_xlfn.MINIFS(SAISIE!$E$5:$E$204,SAISIE!$B$5:$B$204,"*Vent Av./Arr.*",SAISIE!$F$5:$F$204,$G$55),SAISIE!$E$5:$E$204,0))),"-"))</f>
        <v/>
      </c>
      <c r="D61" s="6" t="str">
        <f>IF(OR($G$55="",NOT(COUNTIFS(SAISIE!$B$5:$B$204,"*Vent Av./Arr.*",SAISIE!$F$5:$F$204,$G$55)&gt;0)),"",IFERROR(IF(_xlfn.MINIFS(SAISIE!$E$5:$E$204,SAISIE!$B$5:$B$204,"*Vent Av./Arr.*",SAISIE!$F$5:$F$204,$G$55)&gt;=0,0,_xlfn.MINIFS(SAISIE!$E$5:$E$204,SAISIE!$B$5:$B$204,"*Vent Av./Arr.*",SAISIE!$F$5:$F$204,$G$55)),"-"))</f>
        <v/>
      </c>
      <c r="E61" s="6" t="str">
        <f>IF($G$55="","",IF(OR(D61="",D61="-"),"",IF(D61&gt;0,"(soulevement)",IF(D61&lt;0,"(compression)","-"))))</f>
        <v/>
      </c>
    </row>
    <row r="62" spans="1:7" x14ac:dyDescent="0.25">
      <c r="A62" s="5" t="str">
        <f>IF(OR($G$55="",NOT(_xlfn.MAXIFS(SAISIE!$E$5:$E$204,SAISIE!$B$5:$B$204,"*Vent Av./Arr.*",SAISIE!$F$5:$F$204,$G$55)&gt;0)),"","Vent Av./Arr.")</f>
        <v/>
      </c>
      <c r="B62" s="6" t="str">
        <f>IF(OR($G$55="",NOT(_xlfn.MAXIFS(SAISIE!$E$5:$E$204,SAISIE!$B$5:$B$204,"*Vent Av./Arr.*",SAISIE!$F$5:$F$204,$G$55)&gt;0)),"",IFERROR(INDEX(SAISIE!$C$5:$C$204,MATCH(_xlfn.MAXIFS(SAISIE!$E$5:$E$204,SAISIE!$B$5:$B$204,"*Vent Av./Arr.*",SAISIE!$F$5:$F$204,$G$55),SAISIE!$E$5:$E$204,0)),"-"))</f>
        <v/>
      </c>
      <c r="C62" s="6" t="str">
        <f>IF(OR($G$55="",NOT(_xlfn.MAXIFS(SAISIE!$E$5:$E$204,SAISIE!$B$5:$B$204,"*Vent Av./Arr.*",SAISIE!$F$5:$F$204,$G$55)&gt;0)),"",IFERROR(INDEX(SAISIE!$D$5:$D$204,MATCH(_xlfn.MAXIFS(SAISIE!$E$5:$E$204,SAISIE!$B$5:$B$204,"*Vent Av./Arr.*",SAISIE!$F$5:$F$204,$G$55),SAISIE!$E$5:$E$204,0)),"-"))</f>
        <v/>
      </c>
      <c r="D62" s="6" t="str">
        <f>IF(OR($G$55="",NOT(_xlfn.MAXIFS(SAISIE!$E$5:$E$204,SAISIE!$B$5:$B$204,"*Vent Av./Arr.*",SAISIE!$F$5:$F$204,$G$55)&gt;0)),"",IFERROR(_xlfn.MAXIFS(SAISIE!$E$5:$E$204,SAISIE!$B$5:$B$204,"*Vent Av./Arr.*",SAISIE!$F$5:$F$204,$G$55),"-"))</f>
        <v/>
      </c>
      <c r="E62" s="6" t="str">
        <f>IF($G$55="","",IF(OR(D62="",D62="-"),"",IF(D62&gt;0,"(soulevement)",IF(D62&lt;0,"(compression)","-"))))</f>
        <v/>
      </c>
    </row>
    <row r="63" spans="1:7" x14ac:dyDescent="0.25">
      <c r="A63" s="5" t="str">
        <f>IF(OR($G$55="",NOT(COUNTIFS(SAISIE!$B$5:$B$204,"*Vent Arr./Av.*",SAISIE!$F$5:$F$204,$G$55)&gt;0)),"","Vent Arr./Av.")</f>
        <v/>
      </c>
      <c r="B63" s="6" t="str">
        <f>IF(OR($G$55="",NOT(COUNTIFS(SAISIE!$B$5:$B$204,"*Vent Arr./Av.*",SAISIE!$F$5:$F$204,$G$55)&gt;0)),"",IFERROR(IF(_xlfn.MINIFS(SAISIE!$E$5:$E$204,SAISIE!$B$5:$B$204,"*Vent Arr./Av.*",SAISIE!$F$5:$F$204,$G$55)&gt;=0,_xlfn.MAXIFS(SAISIE!$C$5:$C$204,SAISIE!$B$5:$B$204,"*Vent Arr./Av.*",SAISIE!$F$5:$F$204,$G$55),INDEX(SAISIE!$C$5:$C$204,MATCH(_xlfn.MINIFS(SAISIE!$E$5:$E$204,SAISIE!$B$5:$B$204,"*Vent Arr./Av.*",SAISIE!$F$5:$F$204,$G$55),SAISIE!$E$5:$E$204,0))),"-"))</f>
        <v/>
      </c>
      <c r="C63" s="6" t="str">
        <f>IF(OR($G$55="",NOT(COUNTIFS(SAISIE!$B$5:$B$204,"*Vent Arr./Av.*",SAISIE!$F$5:$F$204,$G$55)&gt;0)),"",IFERROR(IF(_xlfn.MINIFS(SAISIE!$E$5:$E$204,SAISIE!$B$5:$B$204,"*Vent Arr./Av.*",SAISIE!$F$5:$F$204,$G$55)&gt;=0,INDEX(SAISIE!$D$5:$D$204,MATCH(_xlfn.MAXIFS(SAISIE!$C$5:$C$204,SAISIE!$B$5:$B$204,"*Vent Arr./Av.*",SAISIE!$F$5:$F$204,$G$55),SAISIE!$C$5:$C$204,0)),INDEX(SAISIE!$D$5:$D$204,MATCH(_xlfn.MINIFS(SAISIE!$E$5:$E$204,SAISIE!$B$5:$B$204,"*Vent Arr./Av.*",SAISIE!$F$5:$F$204,$G$55),SAISIE!$E$5:$E$204,0))),"-"))</f>
        <v/>
      </c>
      <c r="D63" s="6" t="str">
        <f>IF(OR($G$55="",NOT(COUNTIFS(SAISIE!$B$5:$B$204,"*Vent Arr./Av.*",SAISIE!$F$5:$F$204,$G$55)&gt;0)),"",IFERROR(IF(_xlfn.MINIFS(SAISIE!$E$5:$E$204,SAISIE!$B$5:$B$204,"*Vent Arr./Av.*",SAISIE!$F$5:$F$204,$G$55)&gt;=0,0,_xlfn.MINIFS(SAISIE!$E$5:$E$204,SAISIE!$B$5:$B$204,"*Vent Arr./Av.*",SAISIE!$F$5:$F$204,$G$55)),"-"))</f>
        <v/>
      </c>
      <c r="E63" s="6" t="str">
        <f>IF($G$55="","",IF(OR(D63="",D63="-"),"",IF(D63&gt;0,"(soulevement)",IF(D63&lt;0,"(compression)","-"))))</f>
        <v/>
      </c>
    </row>
    <row r="64" spans="1:7" x14ac:dyDescent="0.25">
      <c r="A64" s="5" t="str">
        <f>IF(OR($G$55="",NOT(_xlfn.MAXIFS(SAISIE!$E$5:$E$204,SAISIE!$B$5:$B$204,"*Vent Arr./Av.*",SAISIE!$F$5:$F$204,$G$55)&gt;0)),"","Vent Arr./Av.")</f>
        <v/>
      </c>
      <c r="B64" s="6" t="str">
        <f>IF(OR($G$55="",NOT(_xlfn.MAXIFS(SAISIE!$E$5:$E$204,SAISIE!$B$5:$B$204,"*Vent Arr./Av.*",SAISIE!$F$5:$F$204,$G$55)&gt;0)),"",IFERROR(INDEX(SAISIE!$C$5:$C$204,MATCH(_xlfn.MAXIFS(SAISIE!$E$5:$E$204,SAISIE!$B$5:$B$204,"*Vent Arr./Av.*",SAISIE!$F$5:$F$204,$G$55),SAISIE!$E$5:$E$204,0)),"-"))</f>
        <v/>
      </c>
      <c r="C64" s="6" t="str">
        <f>IF(OR($G$55="",NOT(_xlfn.MAXIFS(SAISIE!$E$5:$E$204,SAISIE!$B$5:$B$204,"*Vent Arr./Av.*",SAISIE!$F$5:$F$204,$G$55)&gt;0)),"",IFERROR(INDEX(SAISIE!$D$5:$D$204,MATCH(_xlfn.MAXIFS(SAISIE!$E$5:$E$204,SAISIE!$B$5:$B$204,"*Vent Arr./Av.*",SAISIE!$F$5:$F$204,$G$55),SAISIE!$E$5:$E$204,0)),"-"))</f>
        <v/>
      </c>
      <c r="D64" s="6" t="str">
        <f>IF(OR($G$55="",NOT(_xlfn.MAXIFS(SAISIE!$E$5:$E$204,SAISIE!$B$5:$B$204,"*Vent Arr./Av.*",SAISIE!$F$5:$F$204,$G$55)&gt;0)),"",IFERROR(_xlfn.MAXIFS(SAISIE!$E$5:$E$204,SAISIE!$B$5:$B$204,"*Vent Arr./Av.*",SAISIE!$F$5:$F$204,$G$55),"-"))</f>
        <v/>
      </c>
      <c r="E64" s="6" t="str">
        <f>IF($G$55="","",IF(OR(D64="",D64="-"),"",IF(D64&gt;0,"(soulevement)",IF(D64&lt;0,"(compression)","-"))))</f>
        <v/>
      </c>
    </row>
    <row r="65" spans="1:7" x14ac:dyDescent="0.25">
      <c r="A65" s="5" t="str">
        <f>IF(OR($G$55="",NOT(TRUE)),"","Neige normale")</f>
        <v/>
      </c>
      <c r="B65" s="6" t="str">
        <f>IF($G$55="","",IFERROR(INDEX(SAISIE!$C$5:$C$204,MATCH(_xlfn.MINIFS(SAISIE!$E$5:$E$204,SAISIE!$B$5:$B$204,"*Neige*",SAISIE!$B$5:$B$204,"&lt;&gt;*accidentel*",SAISIE!$F$5:$F$204,$G$55),SAISIE!$E$5:$E$204,0)),"-"))</f>
        <v/>
      </c>
      <c r="C65" s="6" t="str">
        <f>IF($G$55="","",IFERROR(INDEX(SAISIE!$D$5:$D$204,MATCH(_xlfn.MINIFS(SAISIE!$E$5:$E$204,SAISIE!$B$5:$B$204,"*Neige*",SAISIE!$B$5:$B$204,"&lt;&gt;*accidentel*",SAISIE!$F$5:$F$204,$G$55),SAISIE!$E$5:$E$204,0)),"-"))</f>
        <v/>
      </c>
      <c r="D65" s="6" t="str">
        <f>IF($G$55="","",IFERROR(INDEX(SAISIE!$E$5:$E$204,MATCH(_xlfn.MINIFS(SAISIE!$E$5:$E$204,SAISIE!$B$5:$B$204,"*Neige*",SAISIE!$B$5:$B$204,"&lt;&gt;*accidentel*",SAISIE!$F$5:$F$204,$G$55),SAISIE!$E$5:$E$204,0)),"-"))</f>
        <v/>
      </c>
      <c r="E65" s="6" t="str">
        <f>IF($G$55="","",IF(OR(D65="",D65="-"),"",IF(D65&gt;0,"(soulevement)",IF(D65&lt;0,"(compression)","-"))))</f>
        <v/>
      </c>
    </row>
    <row r="66" spans="1:7" x14ac:dyDescent="0.25">
      <c r="A66" s="5" t="str">
        <f>IF(OR($G$55="",NOT(TRUE)),"","Neige accidentelle")</f>
        <v/>
      </c>
      <c r="B66" s="6" t="str">
        <f>IF($G$55="","",IFERROR(LOOKUP(2,1/((SAISIE!$F$5:$F$204=$G$55)*(ISNUMBER(SEARCH("accidentel",SAISIE!$B$5:$B$204)))),SAISIE!$C$5:$C$204),"-"))</f>
        <v/>
      </c>
      <c r="C66" s="6" t="str">
        <f>IF($G$55="","",IFERROR(LOOKUP(2,1/((SAISIE!$F$5:$F$204=$G$55)*(ISNUMBER(SEARCH("accidentel",SAISIE!$B$5:$B$204)))),SAISIE!$D$5:$D$204),"-"))</f>
        <v/>
      </c>
      <c r="D66" s="6" t="str">
        <f>IF($G$55="","",IFERROR(LOOKUP(2,1/((SAISIE!$F$5:$F$204=$G$55)*(ISNUMBER(SEARCH("accidentel",SAISIE!$B$5:$B$204)))),SAISIE!$E$5:$E$204),"-"))</f>
        <v/>
      </c>
      <c r="E66" s="6" t="str">
        <f>IF($G$55="","",IF(OR(D66="",D66="-"),"",IF(D66&gt;0,"(soulevement)",IF(D66&lt;0,"(compression)","-"))))</f>
        <v/>
      </c>
    </row>
    <row r="67" spans="1:7" ht="15.75" x14ac:dyDescent="0.25">
      <c r="A67" s="11" t="str">
        <f>IF($G$67="","","Noeud "&amp;$G$67)</f>
        <v/>
      </c>
      <c r="B67" s="12"/>
      <c r="C67" s="12"/>
      <c r="D67" s="12"/>
      <c r="E67" s="12"/>
      <c r="G67" t="str">
        <f>IFERROR(INDEX(SAISIE!$F$5:$F$204,_xlfn.AGGREGATE(15,6,ROW(SAISIE!$F$5:$F$204)-ROW(SAISIE!$F$5)+1/(SAISIE!$F$5:$F$204&lt;&gt;"")/(COUNTIF($G$4:G66,SAISIE!$F$5:$F$204)=0),1)),"")</f>
        <v/>
      </c>
    </row>
    <row r="68" spans="1:7" x14ac:dyDescent="0.25">
      <c r="A68" s="5" t="str">
        <f>IF(OR($G$67="",NOT(TRUE)),"","Couverture")</f>
        <v/>
      </c>
      <c r="B68" s="6" t="str">
        <f>IF($G$67="","",IFERROR(IFERROR(LOOKUP(2,1/((SAISIE!$F$5:$F$204=$G$67)*(LEFT(SAISIE!$B$5:$B$204,2)="G ")),SAISIE!$C$5:$C$204),LOOKUP(2,1/((SAISIE!$F$5:$F$204=$G$67)*(ISNUMBER(SEARCH("Couverture",SAISIE!$B$5:$B$204)))),SAISIE!$C$5:$C$204)),"-"))</f>
        <v/>
      </c>
      <c r="C68" s="6" t="str">
        <f>IF($G$67="","",IFERROR(IFERROR(LOOKUP(2,1/((SAISIE!$F$5:$F$204=$G$67)*(LEFT(SAISIE!$B$5:$B$204,2)="G ")),SAISIE!$D$5:$D$204),LOOKUP(2,1/((SAISIE!$F$5:$F$204=$G$67)*(ISNUMBER(SEARCH("Couverture",SAISIE!$B$5:$B$204)))),SAISIE!$D$5:$D$204)),"-"))</f>
        <v/>
      </c>
      <c r="D68" s="6" t="str">
        <f>IF($G$67="","",IFERROR(IFERROR(LOOKUP(2,1/((SAISIE!$F$5:$F$204=$G$67)*(LEFT(SAISIE!$B$5:$B$204,2)="G ")),SAISIE!$E$5:$E$204),LOOKUP(2,1/((SAISIE!$F$5:$F$204=$G$67)*(ISNUMBER(SEARCH("Couverture",SAISIE!$B$5:$B$204)))),SAISIE!$E$5:$E$204)),"-"))</f>
        <v/>
      </c>
      <c r="E68" s="6" t="str">
        <f>IF($G$67="","",IF(OR(D68="",D68="-"),"",IF(D68&gt;0,"(soulevement)",IF(D68&lt;0,"(compression)","-"))))</f>
        <v/>
      </c>
    </row>
    <row r="69" spans="1:7" x14ac:dyDescent="0.25">
      <c r="A69" s="5" t="str">
        <f>IF(OR($G$67="",NOT(COUNTIFS(SAISIE!$B$5:$B$204,"*Vent G/D*",SAISIE!$F$5:$F$204,$G$67)&gt;0)),"","Vent G/D")</f>
        <v/>
      </c>
      <c r="B69" s="6" t="str">
        <f>IF(OR($G$67="",NOT(COUNTIFS(SAISIE!$B$5:$B$204,"*Vent G/D*",SAISIE!$F$5:$F$204,$G$67)&gt;0)),"",IFERROR(IF(_xlfn.MINIFS(SAISIE!$E$5:$E$204,SAISIE!$B$5:$B$204,"*Vent G/D*",SAISIE!$F$5:$F$204,$G$67)&gt;=0,_xlfn.MAXIFS(SAISIE!$C$5:$C$204,SAISIE!$B$5:$B$204,"*Vent G/D*",SAISIE!$F$5:$F$204,$G$67),INDEX(SAISIE!$C$5:$C$204,MATCH(_xlfn.MINIFS(SAISIE!$E$5:$E$204,SAISIE!$B$5:$B$204,"*Vent G/D*",SAISIE!$F$5:$F$204,$G$67),SAISIE!$E$5:$E$204,0))),"-"))</f>
        <v/>
      </c>
      <c r="C69" s="6" t="str">
        <f>IF(OR($G$67="",NOT(COUNTIFS(SAISIE!$B$5:$B$204,"*Vent G/D*",SAISIE!$F$5:$F$204,$G$67)&gt;0)),"",IFERROR(IF(_xlfn.MINIFS(SAISIE!$E$5:$E$204,SAISIE!$B$5:$B$204,"*Vent G/D*",SAISIE!$F$5:$F$204,$G$67)&gt;=0,INDEX(SAISIE!$D$5:$D$204,MATCH(_xlfn.MAXIFS(SAISIE!$C$5:$C$204,SAISIE!$B$5:$B$204,"*Vent G/D*",SAISIE!$F$5:$F$204,$G$67),SAISIE!$C$5:$C$204,0)),INDEX(SAISIE!$D$5:$D$204,MATCH(_xlfn.MINIFS(SAISIE!$E$5:$E$204,SAISIE!$B$5:$B$204,"*Vent G/D*",SAISIE!$F$5:$F$204,$G$67),SAISIE!$E$5:$E$204,0))),"-"))</f>
        <v/>
      </c>
      <c r="D69" s="6" t="str">
        <f>IF(OR($G$67="",NOT(COUNTIFS(SAISIE!$B$5:$B$204,"*Vent G/D*",SAISIE!$F$5:$F$204,$G$67)&gt;0)),"",IFERROR(IF(_xlfn.MINIFS(SAISIE!$E$5:$E$204,SAISIE!$B$5:$B$204,"*Vent G/D*",SAISIE!$F$5:$F$204,$G$67)&gt;=0,0,_xlfn.MINIFS(SAISIE!$E$5:$E$204,SAISIE!$B$5:$B$204,"*Vent G/D*",SAISIE!$F$5:$F$204,$G$67)),"-"))</f>
        <v/>
      </c>
      <c r="E69" s="6" t="str">
        <f>IF($G$67="","",IF(OR(D69="",D69="-"),"",IF(D69&gt;0,"(soulevement)",IF(D69&lt;0,"(compression)","-"))))</f>
        <v/>
      </c>
    </row>
    <row r="70" spans="1:7" x14ac:dyDescent="0.25">
      <c r="A70" s="5" t="str">
        <f>IF(OR($G$67="",NOT(_xlfn.MAXIFS(SAISIE!$E$5:$E$204,SAISIE!$B$5:$B$204,"*Vent G/D*",SAISIE!$F$5:$F$204,$G$67)&gt;0)),"","Vent G/D")</f>
        <v/>
      </c>
      <c r="B70" s="6" t="str">
        <f>IF(OR($G$67="",NOT(_xlfn.MAXIFS(SAISIE!$E$5:$E$204,SAISIE!$B$5:$B$204,"*Vent G/D*",SAISIE!$F$5:$F$204,$G$67)&gt;0)),"",IFERROR(INDEX(SAISIE!$C$5:$C$204,MATCH(_xlfn.MAXIFS(SAISIE!$E$5:$E$204,SAISIE!$B$5:$B$204,"*Vent G/D*",SAISIE!$F$5:$F$204,$G$67),SAISIE!$E$5:$E$204,0)),"-"))</f>
        <v/>
      </c>
      <c r="C70" s="6" t="str">
        <f>IF(OR($G$67="",NOT(_xlfn.MAXIFS(SAISIE!$E$5:$E$204,SAISIE!$B$5:$B$204,"*Vent G/D*",SAISIE!$F$5:$F$204,$G$67)&gt;0)),"",IFERROR(INDEX(SAISIE!$D$5:$D$204,MATCH(_xlfn.MAXIFS(SAISIE!$E$5:$E$204,SAISIE!$B$5:$B$204,"*Vent G/D*",SAISIE!$F$5:$F$204,$G$67),SAISIE!$E$5:$E$204,0)),"-"))</f>
        <v/>
      </c>
      <c r="D70" s="6" t="str">
        <f>IF(OR($G$67="",NOT(_xlfn.MAXIFS(SAISIE!$E$5:$E$204,SAISIE!$B$5:$B$204,"*Vent G/D*",SAISIE!$F$5:$F$204,$G$67)&gt;0)),"",IFERROR(_xlfn.MAXIFS(SAISIE!$E$5:$E$204,SAISIE!$B$5:$B$204,"*Vent G/D*",SAISIE!$F$5:$F$204,$G$67),"-"))</f>
        <v/>
      </c>
      <c r="E70" s="6" t="str">
        <f>IF($G$67="","",IF(OR(D70="",D70="-"),"",IF(D70&gt;0,"(soulevement)",IF(D70&lt;0,"(compression)","-"))))</f>
        <v/>
      </c>
    </row>
    <row r="71" spans="1:7" x14ac:dyDescent="0.25">
      <c r="A71" s="5" t="str">
        <f>IF(OR($G$67="",NOT(COUNTIFS(SAISIE!$B$5:$B$204,"*Vent D/G*",SAISIE!$F$5:$F$204,$G$67)&gt;0)),"","Vent D/G")</f>
        <v/>
      </c>
      <c r="B71" s="6" t="str">
        <f>IF(OR($G$67="",NOT(COUNTIFS(SAISIE!$B$5:$B$204,"*Vent D/G*",SAISIE!$F$5:$F$204,$G$67)&gt;0)),"",IFERROR(IF(_xlfn.MINIFS(SAISIE!$E$5:$E$204,SAISIE!$B$5:$B$204,"*Vent D/G*",SAISIE!$F$5:$F$204,$G$67)&gt;=0,_xlfn.MAXIFS(SAISIE!$C$5:$C$204,SAISIE!$B$5:$B$204,"*Vent D/G*",SAISIE!$F$5:$F$204,$G$67),INDEX(SAISIE!$C$5:$C$204,MATCH(_xlfn.MINIFS(SAISIE!$E$5:$E$204,SAISIE!$B$5:$B$204,"*Vent D/G*",SAISIE!$F$5:$F$204,$G$67),SAISIE!$E$5:$E$204,0))),"-"))</f>
        <v/>
      </c>
      <c r="C71" s="6" t="str">
        <f>IF(OR($G$67="",NOT(COUNTIFS(SAISIE!$B$5:$B$204,"*Vent D/G*",SAISIE!$F$5:$F$204,$G$67)&gt;0)),"",IFERROR(IF(_xlfn.MINIFS(SAISIE!$E$5:$E$204,SAISIE!$B$5:$B$204,"*Vent D/G*",SAISIE!$F$5:$F$204,$G$67)&gt;=0,INDEX(SAISIE!$D$5:$D$204,MATCH(_xlfn.MAXIFS(SAISIE!$C$5:$C$204,SAISIE!$B$5:$B$204,"*Vent D/G*",SAISIE!$F$5:$F$204,$G$67),SAISIE!$C$5:$C$204,0)),INDEX(SAISIE!$D$5:$D$204,MATCH(_xlfn.MINIFS(SAISIE!$E$5:$E$204,SAISIE!$B$5:$B$204,"*Vent D/G*",SAISIE!$F$5:$F$204,$G$67),SAISIE!$E$5:$E$204,0))),"-"))</f>
        <v/>
      </c>
      <c r="D71" s="6" t="str">
        <f>IF(OR($G$67="",NOT(COUNTIFS(SAISIE!$B$5:$B$204,"*Vent D/G*",SAISIE!$F$5:$F$204,$G$67)&gt;0)),"",IFERROR(IF(_xlfn.MINIFS(SAISIE!$E$5:$E$204,SAISIE!$B$5:$B$204,"*Vent D/G*",SAISIE!$F$5:$F$204,$G$67)&gt;=0,0,_xlfn.MINIFS(SAISIE!$E$5:$E$204,SAISIE!$B$5:$B$204,"*Vent D/G*",SAISIE!$F$5:$F$204,$G$67)),"-"))</f>
        <v/>
      </c>
      <c r="E71" s="6" t="str">
        <f>IF($G$67="","",IF(OR(D71="",D71="-"),"",IF(D71&gt;0,"(soulevement)",IF(D71&lt;0,"(compression)","-"))))</f>
        <v/>
      </c>
    </row>
    <row r="72" spans="1:7" x14ac:dyDescent="0.25">
      <c r="A72" s="5" t="str">
        <f>IF(OR($G$67="",NOT(_xlfn.MAXIFS(SAISIE!$E$5:$E$204,SAISIE!$B$5:$B$204,"*Vent D/G*",SAISIE!$F$5:$F$204,$G$67)&gt;0)),"","Vent D/G")</f>
        <v/>
      </c>
      <c r="B72" s="6" t="str">
        <f>IF(OR($G$67="",NOT(_xlfn.MAXIFS(SAISIE!$E$5:$E$204,SAISIE!$B$5:$B$204,"*Vent D/G*",SAISIE!$F$5:$F$204,$G$67)&gt;0)),"",IFERROR(INDEX(SAISIE!$C$5:$C$204,MATCH(_xlfn.MAXIFS(SAISIE!$E$5:$E$204,SAISIE!$B$5:$B$204,"*Vent D/G*",SAISIE!$F$5:$F$204,$G$67),SAISIE!$E$5:$E$204,0)),"-"))</f>
        <v/>
      </c>
      <c r="C72" s="6" t="str">
        <f>IF(OR($G$67="",NOT(_xlfn.MAXIFS(SAISIE!$E$5:$E$204,SAISIE!$B$5:$B$204,"*Vent D/G*",SAISIE!$F$5:$F$204,$G$67)&gt;0)),"",IFERROR(INDEX(SAISIE!$D$5:$D$204,MATCH(_xlfn.MAXIFS(SAISIE!$E$5:$E$204,SAISIE!$B$5:$B$204,"*Vent D/G*",SAISIE!$F$5:$F$204,$G$67),SAISIE!$E$5:$E$204,0)),"-"))</f>
        <v/>
      </c>
      <c r="D72" s="6" t="str">
        <f>IF(OR($G$67="",NOT(_xlfn.MAXIFS(SAISIE!$E$5:$E$204,SAISIE!$B$5:$B$204,"*Vent D/G*",SAISIE!$F$5:$F$204,$G$67)&gt;0)),"",IFERROR(_xlfn.MAXIFS(SAISIE!$E$5:$E$204,SAISIE!$B$5:$B$204,"*Vent D/G*",SAISIE!$F$5:$F$204,$G$67),"-"))</f>
        <v/>
      </c>
      <c r="E72" s="6" t="str">
        <f>IF($G$67="","",IF(OR(D72="",D72="-"),"",IF(D72&gt;0,"(soulevement)",IF(D72&lt;0,"(compression)","-"))))</f>
        <v/>
      </c>
    </row>
    <row r="73" spans="1:7" x14ac:dyDescent="0.25">
      <c r="A73" s="5" t="str">
        <f>IF(OR($G$67="",NOT(COUNTIFS(SAISIE!$B$5:$B$204,"*Vent Av./Arr.*",SAISIE!$F$5:$F$204,$G$67)&gt;0)),"","Vent Av./Arr.")</f>
        <v/>
      </c>
      <c r="B73" s="6" t="str">
        <f>IF(OR($G$67="",NOT(COUNTIFS(SAISIE!$B$5:$B$204,"*Vent Av./Arr.*",SAISIE!$F$5:$F$204,$G$67)&gt;0)),"",IFERROR(IF(_xlfn.MINIFS(SAISIE!$E$5:$E$204,SAISIE!$B$5:$B$204,"*Vent Av./Arr.*",SAISIE!$F$5:$F$204,$G$67)&gt;=0,_xlfn.MAXIFS(SAISIE!$C$5:$C$204,SAISIE!$B$5:$B$204,"*Vent Av./Arr.*",SAISIE!$F$5:$F$204,$G$67),INDEX(SAISIE!$C$5:$C$204,MATCH(_xlfn.MINIFS(SAISIE!$E$5:$E$204,SAISIE!$B$5:$B$204,"*Vent Av./Arr.*",SAISIE!$F$5:$F$204,$G$67),SAISIE!$E$5:$E$204,0))),"-"))</f>
        <v/>
      </c>
      <c r="C73" s="6" t="str">
        <f>IF(OR($G$67="",NOT(COUNTIFS(SAISIE!$B$5:$B$204,"*Vent Av./Arr.*",SAISIE!$F$5:$F$204,$G$67)&gt;0)),"",IFERROR(IF(_xlfn.MINIFS(SAISIE!$E$5:$E$204,SAISIE!$B$5:$B$204,"*Vent Av./Arr.*",SAISIE!$F$5:$F$204,$G$67)&gt;=0,INDEX(SAISIE!$D$5:$D$204,MATCH(_xlfn.MAXIFS(SAISIE!$C$5:$C$204,SAISIE!$B$5:$B$204,"*Vent Av./Arr.*",SAISIE!$F$5:$F$204,$G$67),SAISIE!$C$5:$C$204,0)),INDEX(SAISIE!$D$5:$D$204,MATCH(_xlfn.MINIFS(SAISIE!$E$5:$E$204,SAISIE!$B$5:$B$204,"*Vent Av./Arr.*",SAISIE!$F$5:$F$204,$G$67),SAISIE!$E$5:$E$204,0))),"-"))</f>
        <v/>
      </c>
      <c r="D73" s="6" t="str">
        <f>IF(OR($G$67="",NOT(COUNTIFS(SAISIE!$B$5:$B$204,"*Vent Av./Arr.*",SAISIE!$F$5:$F$204,$G$67)&gt;0)),"",IFERROR(IF(_xlfn.MINIFS(SAISIE!$E$5:$E$204,SAISIE!$B$5:$B$204,"*Vent Av./Arr.*",SAISIE!$F$5:$F$204,$G$67)&gt;=0,0,_xlfn.MINIFS(SAISIE!$E$5:$E$204,SAISIE!$B$5:$B$204,"*Vent Av./Arr.*",SAISIE!$F$5:$F$204,$G$67)),"-"))</f>
        <v/>
      </c>
      <c r="E73" s="6" t="str">
        <f>IF($G$67="","",IF(OR(D73="",D73="-"),"",IF(D73&gt;0,"(soulevement)",IF(D73&lt;0,"(compression)","-"))))</f>
        <v/>
      </c>
    </row>
    <row r="74" spans="1:7" x14ac:dyDescent="0.25">
      <c r="A74" s="5" t="str">
        <f>IF(OR($G$67="",NOT(_xlfn.MAXIFS(SAISIE!$E$5:$E$204,SAISIE!$B$5:$B$204,"*Vent Av./Arr.*",SAISIE!$F$5:$F$204,$G$67)&gt;0)),"","Vent Av./Arr.")</f>
        <v/>
      </c>
      <c r="B74" s="6" t="str">
        <f>IF(OR($G$67="",NOT(_xlfn.MAXIFS(SAISIE!$E$5:$E$204,SAISIE!$B$5:$B$204,"*Vent Av./Arr.*",SAISIE!$F$5:$F$204,$G$67)&gt;0)),"",IFERROR(INDEX(SAISIE!$C$5:$C$204,MATCH(_xlfn.MAXIFS(SAISIE!$E$5:$E$204,SAISIE!$B$5:$B$204,"*Vent Av./Arr.*",SAISIE!$F$5:$F$204,$G$67),SAISIE!$E$5:$E$204,0)),"-"))</f>
        <v/>
      </c>
      <c r="C74" s="6" t="str">
        <f>IF(OR($G$67="",NOT(_xlfn.MAXIFS(SAISIE!$E$5:$E$204,SAISIE!$B$5:$B$204,"*Vent Av./Arr.*",SAISIE!$F$5:$F$204,$G$67)&gt;0)),"",IFERROR(INDEX(SAISIE!$D$5:$D$204,MATCH(_xlfn.MAXIFS(SAISIE!$E$5:$E$204,SAISIE!$B$5:$B$204,"*Vent Av./Arr.*",SAISIE!$F$5:$F$204,$G$67),SAISIE!$E$5:$E$204,0)),"-"))</f>
        <v/>
      </c>
      <c r="D74" s="6" t="str">
        <f>IF(OR($G$67="",NOT(_xlfn.MAXIFS(SAISIE!$E$5:$E$204,SAISIE!$B$5:$B$204,"*Vent Av./Arr.*",SAISIE!$F$5:$F$204,$G$67)&gt;0)),"",IFERROR(_xlfn.MAXIFS(SAISIE!$E$5:$E$204,SAISIE!$B$5:$B$204,"*Vent Av./Arr.*",SAISIE!$F$5:$F$204,$G$67),"-"))</f>
        <v/>
      </c>
      <c r="E74" s="6" t="str">
        <f>IF($G$67="","",IF(OR(D74="",D74="-"),"",IF(D74&gt;0,"(soulevement)",IF(D74&lt;0,"(compression)","-"))))</f>
        <v/>
      </c>
    </row>
    <row r="75" spans="1:7" x14ac:dyDescent="0.25">
      <c r="A75" s="5" t="str">
        <f>IF(OR($G$67="",NOT(COUNTIFS(SAISIE!$B$5:$B$204,"*Vent Arr./Av.*",SAISIE!$F$5:$F$204,$G$67)&gt;0)),"","Vent Arr./Av.")</f>
        <v/>
      </c>
      <c r="B75" s="6" t="str">
        <f>IF(OR($G$67="",NOT(COUNTIFS(SAISIE!$B$5:$B$204,"*Vent Arr./Av.*",SAISIE!$F$5:$F$204,$G$67)&gt;0)),"",IFERROR(IF(_xlfn.MINIFS(SAISIE!$E$5:$E$204,SAISIE!$B$5:$B$204,"*Vent Arr./Av.*",SAISIE!$F$5:$F$204,$G$67)&gt;=0,_xlfn.MAXIFS(SAISIE!$C$5:$C$204,SAISIE!$B$5:$B$204,"*Vent Arr./Av.*",SAISIE!$F$5:$F$204,$G$67),INDEX(SAISIE!$C$5:$C$204,MATCH(_xlfn.MINIFS(SAISIE!$E$5:$E$204,SAISIE!$B$5:$B$204,"*Vent Arr./Av.*",SAISIE!$F$5:$F$204,$G$67),SAISIE!$E$5:$E$204,0))),"-"))</f>
        <v/>
      </c>
      <c r="C75" s="6" t="str">
        <f>IF(OR($G$67="",NOT(COUNTIFS(SAISIE!$B$5:$B$204,"*Vent Arr./Av.*",SAISIE!$F$5:$F$204,$G$67)&gt;0)),"",IFERROR(IF(_xlfn.MINIFS(SAISIE!$E$5:$E$204,SAISIE!$B$5:$B$204,"*Vent Arr./Av.*",SAISIE!$F$5:$F$204,$G$67)&gt;=0,INDEX(SAISIE!$D$5:$D$204,MATCH(_xlfn.MAXIFS(SAISIE!$C$5:$C$204,SAISIE!$B$5:$B$204,"*Vent Arr./Av.*",SAISIE!$F$5:$F$204,$G$67),SAISIE!$C$5:$C$204,0)),INDEX(SAISIE!$D$5:$D$204,MATCH(_xlfn.MINIFS(SAISIE!$E$5:$E$204,SAISIE!$B$5:$B$204,"*Vent Arr./Av.*",SAISIE!$F$5:$F$204,$G$67),SAISIE!$E$5:$E$204,0))),"-"))</f>
        <v/>
      </c>
      <c r="D75" s="6" t="str">
        <f>IF(OR($G$67="",NOT(COUNTIFS(SAISIE!$B$5:$B$204,"*Vent Arr./Av.*",SAISIE!$F$5:$F$204,$G$67)&gt;0)),"",IFERROR(IF(_xlfn.MINIFS(SAISIE!$E$5:$E$204,SAISIE!$B$5:$B$204,"*Vent Arr./Av.*",SAISIE!$F$5:$F$204,$G$67)&gt;=0,0,_xlfn.MINIFS(SAISIE!$E$5:$E$204,SAISIE!$B$5:$B$204,"*Vent Arr./Av.*",SAISIE!$F$5:$F$204,$G$67)),"-"))</f>
        <v/>
      </c>
      <c r="E75" s="6" t="str">
        <f>IF($G$67="","",IF(OR(D75="",D75="-"),"",IF(D75&gt;0,"(soulevement)",IF(D75&lt;0,"(compression)","-"))))</f>
        <v/>
      </c>
    </row>
    <row r="76" spans="1:7" x14ac:dyDescent="0.25">
      <c r="A76" s="5" t="str">
        <f>IF(OR($G$67="",NOT(_xlfn.MAXIFS(SAISIE!$E$5:$E$204,SAISIE!$B$5:$B$204,"*Vent Arr./Av.*",SAISIE!$F$5:$F$204,$G$67)&gt;0)),"","Vent Arr./Av.")</f>
        <v/>
      </c>
      <c r="B76" s="6" t="str">
        <f>IF(OR($G$67="",NOT(_xlfn.MAXIFS(SAISIE!$E$5:$E$204,SAISIE!$B$5:$B$204,"*Vent Arr./Av.*",SAISIE!$F$5:$F$204,$G$67)&gt;0)),"",IFERROR(INDEX(SAISIE!$C$5:$C$204,MATCH(_xlfn.MAXIFS(SAISIE!$E$5:$E$204,SAISIE!$B$5:$B$204,"*Vent Arr./Av.*",SAISIE!$F$5:$F$204,$G$67),SAISIE!$E$5:$E$204,0)),"-"))</f>
        <v/>
      </c>
      <c r="C76" s="6" t="str">
        <f>IF(OR($G$67="",NOT(_xlfn.MAXIFS(SAISIE!$E$5:$E$204,SAISIE!$B$5:$B$204,"*Vent Arr./Av.*",SAISIE!$F$5:$F$204,$G$67)&gt;0)),"",IFERROR(INDEX(SAISIE!$D$5:$D$204,MATCH(_xlfn.MAXIFS(SAISIE!$E$5:$E$204,SAISIE!$B$5:$B$204,"*Vent Arr./Av.*",SAISIE!$F$5:$F$204,$G$67),SAISIE!$E$5:$E$204,0)),"-"))</f>
        <v/>
      </c>
      <c r="D76" s="6" t="str">
        <f>IF(OR($G$67="",NOT(_xlfn.MAXIFS(SAISIE!$E$5:$E$204,SAISIE!$B$5:$B$204,"*Vent Arr./Av.*",SAISIE!$F$5:$F$204,$G$67)&gt;0)),"",IFERROR(_xlfn.MAXIFS(SAISIE!$E$5:$E$204,SAISIE!$B$5:$B$204,"*Vent Arr./Av.*",SAISIE!$F$5:$F$204,$G$67),"-"))</f>
        <v/>
      </c>
      <c r="E76" s="6" t="str">
        <f>IF($G$67="","",IF(OR(D76="",D76="-"),"",IF(D76&gt;0,"(soulevement)",IF(D76&lt;0,"(compression)","-"))))</f>
        <v/>
      </c>
    </row>
    <row r="77" spans="1:7" x14ac:dyDescent="0.25">
      <c r="A77" s="5" t="str">
        <f>IF(OR($G$67="",NOT(TRUE)),"","Neige normale")</f>
        <v/>
      </c>
      <c r="B77" s="6" t="str">
        <f>IF($G$67="","",IFERROR(INDEX(SAISIE!$C$5:$C$204,MATCH(_xlfn.MINIFS(SAISIE!$E$5:$E$204,SAISIE!$B$5:$B$204,"*Neige*",SAISIE!$B$5:$B$204,"&lt;&gt;*accidentel*",SAISIE!$F$5:$F$204,$G$67),SAISIE!$E$5:$E$204,0)),"-"))</f>
        <v/>
      </c>
      <c r="C77" s="6" t="str">
        <f>IF($G$67="","",IFERROR(INDEX(SAISIE!$D$5:$D$204,MATCH(_xlfn.MINIFS(SAISIE!$E$5:$E$204,SAISIE!$B$5:$B$204,"*Neige*",SAISIE!$B$5:$B$204,"&lt;&gt;*accidentel*",SAISIE!$F$5:$F$204,$G$67),SAISIE!$E$5:$E$204,0)),"-"))</f>
        <v/>
      </c>
      <c r="D77" s="6" t="str">
        <f>IF($G$67="","",IFERROR(INDEX(SAISIE!$E$5:$E$204,MATCH(_xlfn.MINIFS(SAISIE!$E$5:$E$204,SAISIE!$B$5:$B$204,"*Neige*",SAISIE!$B$5:$B$204,"&lt;&gt;*accidentel*",SAISIE!$F$5:$F$204,$G$67),SAISIE!$E$5:$E$204,0)),"-"))</f>
        <v/>
      </c>
      <c r="E77" s="6" t="str">
        <f>IF($G$67="","",IF(OR(D77="",D77="-"),"",IF(D77&gt;0,"(soulevement)",IF(D77&lt;0,"(compression)","-"))))</f>
        <v/>
      </c>
    </row>
    <row r="78" spans="1:7" x14ac:dyDescent="0.25">
      <c r="A78" s="5" t="str">
        <f>IF(OR($G$67="",NOT(TRUE)),"","Neige accidentelle")</f>
        <v/>
      </c>
      <c r="B78" s="6" t="str">
        <f>IF($G$67="","",IFERROR(LOOKUP(2,1/((SAISIE!$F$5:$F$204=$G$67)*(ISNUMBER(SEARCH("accidentel",SAISIE!$B$5:$B$204)))),SAISIE!$C$5:$C$204),"-"))</f>
        <v/>
      </c>
      <c r="C78" s="6" t="str">
        <f>IF($G$67="","",IFERROR(LOOKUP(2,1/((SAISIE!$F$5:$F$204=$G$67)*(ISNUMBER(SEARCH("accidentel",SAISIE!$B$5:$B$204)))),SAISIE!$D$5:$D$204),"-"))</f>
        <v/>
      </c>
      <c r="D78" s="6" t="str">
        <f>IF($G$67="","",IFERROR(LOOKUP(2,1/((SAISIE!$F$5:$F$204=$G$67)*(ISNUMBER(SEARCH("accidentel",SAISIE!$B$5:$B$204)))),SAISIE!$E$5:$E$204),"-"))</f>
        <v/>
      </c>
      <c r="E78" s="6" t="str">
        <f>IF($G$67="","",IF(OR(D78="",D78="-"),"",IF(D78&gt;0,"(soulevement)",IF(D78&lt;0,"(compression)","-"))))</f>
        <v/>
      </c>
    </row>
    <row r="79" spans="1:7" ht="15.75" x14ac:dyDescent="0.25">
      <c r="A79" s="11" t="str">
        <f>IF($G$79="","","Noeud "&amp;$G$79)</f>
        <v/>
      </c>
      <c r="B79" s="12"/>
      <c r="C79" s="12"/>
      <c r="D79" s="12"/>
      <c r="E79" s="12"/>
      <c r="G79" t="str">
        <f>IFERROR(INDEX(SAISIE!$F$5:$F$204,_xlfn.AGGREGATE(15,6,ROW(SAISIE!$F$5:$F$204)-ROW(SAISIE!$F$5)+1/(SAISIE!$F$5:$F$204&lt;&gt;"")/(COUNTIF($G$4:G78,SAISIE!$F$5:$F$204)=0),1)),"")</f>
        <v/>
      </c>
    </row>
    <row r="80" spans="1:7" x14ac:dyDescent="0.25">
      <c r="A80" s="5" t="str">
        <f>IF(OR($G$79="",NOT(TRUE)),"","Couverture")</f>
        <v/>
      </c>
      <c r="B80" s="6" t="str">
        <f>IF($G$79="","",IFERROR(IFERROR(LOOKUP(2,1/((SAISIE!$F$5:$F$204=$G$79)*(LEFT(SAISIE!$B$5:$B$204,2)="G ")),SAISIE!$C$5:$C$204),LOOKUP(2,1/((SAISIE!$F$5:$F$204=$G$79)*(ISNUMBER(SEARCH("Couverture",SAISIE!$B$5:$B$204)))),SAISIE!$C$5:$C$204)),"-"))</f>
        <v/>
      </c>
      <c r="C80" s="6" t="str">
        <f>IF($G$79="","",IFERROR(IFERROR(LOOKUP(2,1/((SAISIE!$F$5:$F$204=$G$79)*(LEFT(SAISIE!$B$5:$B$204,2)="G ")),SAISIE!$D$5:$D$204),LOOKUP(2,1/((SAISIE!$F$5:$F$204=$G$79)*(ISNUMBER(SEARCH("Couverture",SAISIE!$B$5:$B$204)))),SAISIE!$D$5:$D$204)),"-"))</f>
        <v/>
      </c>
      <c r="D80" s="6" t="str">
        <f>IF($G$79="","",IFERROR(IFERROR(LOOKUP(2,1/((SAISIE!$F$5:$F$204=$G$79)*(LEFT(SAISIE!$B$5:$B$204,2)="G ")),SAISIE!$E$5:$E$204),LOOKUP(2,1/((SAISIE!$F$5:$F$204=$G$79)*(ISNUMBER(SEARCH("Couverture",SAISIE!$B$5:$B$204)))),SAISIE!$E$5:$E$204)),"-"))</f>
        <v/>
      </c>
      <c r="E80" s="6" t="str">
        <f>IF($G$79="","",IF(OR(D80="",D80="-"),"",IF(D80&gt;0,"(soulevement)",IF(D80&lt;0,"(compression)","-"))))</f>
        <v/>
      </c>
    </row>
    <row r="81" spans="1:7" x14ac:dyDescent="0.25">
      <c r="A81" s="5" t="str">
        <f>IF(OR($G$79="",NOT(COUNTIFS(SAISIE!$B$5:$B$204,"*Vent G/D*",SAISIE!$F$5:$F$204,$G$79)&gt;0)),"","Vent G/D")</f>
        <v/>
      </c>
      <c r="B81" s="6" t="str">
        <f>IF(OR($G$79="",NOT(COUNTIFS(SAISIE!$B$5:$B$204,"*Vent G/D*",SAISIE!$F$5:$F$204,$G$79)&gt;0)),"",IFERROR(IF(_xlfn.MINIFS(SAISIE!$E$5:$E$204,SAISIE!$B$5:$B$204,"*Vent G/D*",SAISIE!$F$5:$F$204,$G$79)&gt;=0,_xlfn.MAXIFS(SAISIE!$C$5:$C$204,SAISIE!$B$5:$B$204,"*Vent G/D*",SAISIE!$F$5:$F$204,$G$79),INDEX(SAISIE!$C$5:$C$204,MATCH(_xlfn.MINIFS(SAISIE!$E$5:$E$204,SAISIE!$B$5:$B$204,"*Vent G/D*",SAISIE!$F$5:$F$204,$G$79),SAISIE!$E$5:$E$204,0))),"-"))</f>
        <v/>
      </c>
      <c r="C81" s="6" t="str">
        <f>IF(OR($G$79="",NOT(COUNTIFS(SAISIE!$B$5:$B$204,"*Vent G/D*",SAISIE!$F$5:$F$204,$G$79)&gt;0)),"",IFERROR(IF(_xlfn.MINIFS(SAISIE!$E$5:$E$204,SAISIE!$B$5:$B$204,"*Vent G/D*",SAISIE!$F$5:$F$204,$G$79)&gt;=0,INDEX(SAISIE!$D$5:$D$204,MATCH(_xlfn.MAXIFS(SAISIE!$C$5:$C$204,SAISIE!$B$5:$B$204,"*Vent G/D*",SAISIE!$F$5:$F$204,$G$79),SAISIE!$C$5:$C$204,0)),INDEX(SAISIE!$D$5:$D$204,MATCH(_xlfn.MINIFS(SAISIE!$E$5:$E$204,SAISIE!$B$5:$B$204,"*Vent G/D*",SAISIE!$F$5:$F$204,$G$79),SAISIE!$E$5:$E$204,0))),"-"))</f>
        <v/>
      </c>
      <c r="D81" s="6" t="str">
        <f>IF(OR($G$79="",NOT(COUNTIFS(SAISIE!$B$5:$B$204,"*Vent G/D*",SAISIE!$F$5:$F$204,$G$79)&gt;0)),"",IFERROR(IF(_xlfn.MINIFS(SAISIE!$E$5:$E$204,SAISIE!$B$5:$B$204,"*Vent G/D*",SAISIE!$F$5:$F$204,$G$79)&gt;=0,0,_xlfn.MINIFS(SAISIE!$E$5:$E$204,SAISIE!$B$5:$B$204,"*Vent G/D*",SAISIE!$F$5:$F$204,$G$79)),"-"))</f>
        <v/>
      </c>
      <c r="E81" s="6" t="str">
        <f>IF($G$79="","",IF(OR(D81="",D81="-"),"",IF(D81&gt;0,"(soulevement)",IF(D81&lt;0,"(compression)","-"))))</f>
        <v/>
      </c>
    </row>
    <row r="82" spans="1:7" x14ac:dyDescent="0.25">
      <c r="A82" s="5" t="str">
        <f>IF(OR($G$79="",NOT(_xlfn.MAXIFS(SAISIE!$E$5:$E$204,SAISIE!$B$5:$B$204,"*Vent G/D*",SAISIE!$F$5:$F$204,$G$79)&gt;0)),"","Vent G/D")</f>
        <v/>
      </c>
      <c r="B82" s="6" t="str">
        <f>IF(OR($G$79="",NOT(_xlfn.MAXIFS(SAISIE!$E$5:$E$204,SAISIE!$B$5:$B$204,"*Vent G/D*",SAISIE!$F$5:$F$204,$G$79)&gt;0)),"",IFERROR(INDEX(SAISIE!$C$5:$C$204,MATCH(_xlfn.MAXIFS(SAISIE!$E$5:$E$204,SAISIE!$B$5:$B$204,"*Vent G/D*",SAISIE!$F$5:$F$204,$G$79),SAISIE!$E$5:$E$204,0)),"-"))</f>
        <v/>
      </c>
      <c r="C82" s="6" t="str">
        <f>IF(OR($G$79="",NOT(_xlfn.MAXIFS(SAISIE!$E$5:$E$204,SAISIE!$B$5:$B$204,"*Vent G/D*",SAISIE!$F$5:$F$204,$G$79)&gt;0)),"",IFERROR(INDEX(SAISIE!$D$5:$D$204,MATCH(_xlfn.MAXIFS(SAISIE!$E$5:$E$204,SAISIE!$B$5:$B$204,"*Vent G/D*",SAISIE!$F$5:$F$204,$G$79),SAISIE!$E$5:$E$204,0)),"-"))</f>
        <v/>
      </c>
      <c r="D82" s="6" t="str">
        <f>IF(OR($G$79="",NOT(_xlfn.MAXIFS(SAISIE!$E$5:$E$204,SAISIE!$B$5:$B$204,"*Vent G/D*",SAISIE!$F$5:$F$204,$G$79)&gt;0)),"",IFERROR(_xlfn.MAXIFS(SAISIE!$E$5:$E$204,SAISIE!$B$5:$B$204,"*Vent G/D*",SAISIE!$F$5:$F$204,$G$79),"-"))</f>
        <v/>
      </c>
      <c r="E82" s="6" t="str">
        <f>IF($G$79="","",IF(OR(D82="",D82="-"),"",IF(D82&gt;0,"(soulevement)",IF(D82&lt;0,"(compression)","-"))))</f>
        <v/>
      </c>
    </row>
    <row r="83" spans="1:7" x14ac:dyDescent="0.25">
      <c r="A83" s="5" t="str">
        <f>IF(OR($G$79="",NOT(COUNTIFS(SAISIE!$B$5:$B$204,"*Vent D/G*",SAISIE!$F$5:$F$204,$G$79)&gt;0)),"","Vent D/G")</f>
        <v/>
      </c>
      <c r="B83" s="6" t="str">
        <f>IF(OR($G$79="",NOT(COUNTIFS(SAISIE!$B$5:$B$204,"*Vent D/G*",SAISIE!$F$5:$F$204,$G$79)&gt;0)),"",IFERROR(IF(_xlfn.MINIFS(SAISIE!$E$5:$E$204,SAISIE!$B$5:$B$204,"*Vent D/G*",SAISIE!$F$5:$F$204,$G$79)&gt;=0,_xlfn.MAXIFS(SAISIE!$C$5:$C$204,SAISIE!$B$5:$B$204,"*Vent D/G*",SAISIE!$F$5:$F$204,$G$79),INDEX(SAISIE!$C$5:$C$204,MATCH(_xlfn.MINIFS(SAISIE!$E$5:$E$204,SAISIE!$B$5:$B$204,"*Vent D/G*",SAISIE!$F$5:$F$204,$G$79),SAISIE!$E$5:$E$204,0))),"-"))</f>
        <v/>
      </c>
      <c r="C83" s="6" t="str">
        <f>IF(OR($G$79="",NOT(COUNTIFS(SAISIE!$B$5:$B$204,"*Vent D/G*",SAISIE!$F$5:$F$204,$G$79)&gt;0)),"",IFERROR(IF(_xlfn.MINIFS(SAISIE!$E$5:$E$204,SAISIE!$B$5:$B$204,"*Vent D/G*",SAISIE!$F$5:$F$204,$G$79)&gt;=0,INDEX(SAISIE!$D$5:$D$204,MATCH(_xlfn.MAXIFS(SAISIE!$C$5:$C$204,SAISIE!$B$5:$B$204,"*Vent D/G*",SAISIE!$F$5:$F$204,$G$79),SAISIE!$C$5:$C$204,0)),INDEX(SAISIE!$D$5:$D$204,MATCH(_xlfn.MINIFS(SAISIE!$E$5:$E$204,SAISIE!$B$5:$B$204,"*Vent D/G*",SAISIE!$F$5:$F$204,$G$79),SAISIE!$E$5:$E$204,0))),"-"))</f>
        <v/>
      </c>
      <c r="D83" s="6" t="str">
        <f>IF(OR($G$79="",NOT(COUNTIFS(SAISIE!$B$5:$B$204,"*Vent D/G*",SAISIE!$F$5:$F$204,$G$79)&gt;0)),"",IFERROR(IF(_xlfn.MINIFS(SAISIE!$E$5:$E$204,SAISIE!$B$5:$B$204,"*Vent D/G*",SAISIE!$F$5:$F$204,$G$79)&gt;=0,0,_xlfn.MINIFS(SAISIE!$E$5:$E$204,SAISIE!$B$5:$B$204,"*Vent D/G*",SAISIE!$F$5:$F$204,$G$79)),"-"))</f>
        <v/>
      </c>
      <c r="E83" s="6" t="str">
        <f>IF($G$79="","",IF(OR(D83="",D83="-"),"",IF(D83&gt;0,"(soulevement)",IF(D83&lt;0,"(compression)","-"))))</f>
        <v/>
      </c>
    </row>
    <row r="84" spans="1:7" x14ac:dyDescent="0.25">
      <c r="A84" s="5" t="str">
        <f>IF(OR($G$79="",NOT(_xlfn.MAXIFS(SAISIE!$E$5:$E$204,SAISIE!$B$5:$B$204,"*Vent D/G*",SAISIE!$F$5:$F$204,$G$79)&gt;0)),"","Vent D/G")</f>
        <v/>
      </c>
      <c r="B84" s="6" t="str">
        <f>IF(OR($G$79="",NOT(_xlfn.MAXIFS(SAISIE!$E$5:$E$204,SAISIE!$B$5:$B$204,"*Vent D/G*",SAISIE!$F$5:$F$204,$G$79)&gt;0)),"",IFERROR(INDEX(SAISIE!$C$5:$C$204,MATCH(_xlfn.MAXIFS(SAISIE!$E$5:$E$204,SAISIE!$B$5:$B$204,"*Vent D/G*",SAISIE!$F$5:$F$204,$G$79),SAISIE!$E$5:$E$204,0)),"-"))</f>
        <v/>
      </c>
      <c r="C84" s="6" t="str">
        <f>IF(OR($G$79="",NOT(_xlfn.MAXIFS(SAISIE!$E$5:$E$204,SAISIE!$B$5:$B$204,"*Vent D/G*",SAISIE!$F$5:$F$204,$G$79)&gt;0)),"",IFERROR(INDEX(SAISIE!$D$5:$D$204,MATCH(_xlfn.MAXIFS(SAISIE!$E$5:$E$204,SAISIE!$B$5:$B$204,"*Vent D/G*",SAISIE!$F$5:$F$204,$G$79),SAISIE!$E$5:$E$204,0)),"-"))</f>
        <v/>
      </c>
      <c r="D84" s="6" t="str">
        <f>IF(OR($G$79="",NOT(_xlfn.MAXIFS(SAISIE!$E$5:$E$204,SAISIE!$B$5:$B$204,"*Vent D/G*",SAISIE!$F$5:$F$204,$G$79)&gt;0)),"",IFERROR(_xlfn.MAXIFS(SAISIE!$E$5:$E$204,SAISIE!$B$5:$B$204,"*Vent D/G*",SAISIE!$F$5:$F$204,$G$79),"-"))</f>
        <v/>
      </c>
      <c r="E84" s="6" t="str">
        <f>IF($G$79="","",IF(OR(D84="",D84="-"),"",IF(D84&gt;0,"(soulevement)",IF(D84&lt;0,"(compression)","-"))))</f>
        <v/>
      </c>
    </row>
    <row r="85" spans="1:7" x14ac:dyDescent="0.25">
      <c r="A85" s="5" t="str">
        <f>IF(OR($G$79="",NOT(COUNTIFS(SAISIE!$B$5:$B$204,"*Vent Av./Arr.*",SAISIE!$F$5:$F$204,$G$79)&gt;0)),"","Vent Av./Arr.")</f>
        <v/>
      </c>
      <c r="B85" s="6" t="str">
        <f>IF(OR($G$79="",NOT(COUNTIFS(SAISIE!$B$5:$B$204,"*Vent Av./Arr.*",SAISIE!$F$5:$F$204,$G$79)&gt;0)),"",IFERROR(IF(_xlfn.MINIFS(SAISIE!$E$5:$E$204,SAISIE!$B$5:$B$204,"*Vent Av./Arr.*",SAISIE!$F$5:$F$204,$G$79)&gt;=0,_xlfn.MAXIFS(SAISIE!$C$5:$C$204,SAISIE!$B$5:$B$204,"*Vent Av./Arr.*",SAISIE!$F$5:$F$204,$G$79),INDEX(SAISIE!$C$5:$C$204,MATCH(_xlfn.MINIFS(SAISIE!$E$5:$E$204,SAISIE!$B$5:$B$204,"*Vent Av./Arr.*",SAISIE!$F$5:$F$204,$G$79),SAISIE!$E$5:$E$204,0))),"-"))</f>
        <v/>
      </c>
      <c r="C85" s="6" t="str">
        <f>IF(OR($G$79="",NOT(COUNTIFS(SAISIE!$B$5:$B$204,"*Vent Av./Arr.*",SAISIE!$F$5:$F$204,$G$79)&gt;0)),"",IFERROR(IF(_xlfn.MINIFS(SAISIE!$E$5:$E$204,SAISIE!$B$5:$B$204,"*Vent Av./Arr.*",SAISIE!$F$5:$F$204,$G$79)&gt;=0,INDEX(SAISIE!$D$5:$D$204,MATCH(_xlfn.MAXIFS(SAISIE!$C$5:$C$204,SAISIE!$B$5:$B$204,"*Vent Av./Arr.*",SAISIE!$F$5:$F$204,$G$79),SAISIE!$C$5:$C$204,0)),INDEX(SAISIE!$D$5:$D$204,MATCH(_xlfn.MINIFS(SAISIE!$E$5:$E$204,SAISIE!$B$5:$B$204,"*Vent Av./Arr.*",SAISIE!$F$5:$F$204,$G$79),SAISIE!$E$5:$E$204,0))),"-"))</f>
        <v/>
      </c>
      <c r="D85" s="6" t="str">
        <f>IF(OR($G$79="",NOT(COUNTIFS(SAISIE!$B$5:$B$204,"*Vent Av./Arr.*",SAISIE!$F$5:$F$204,$G$79)&gt;0)),"",IFERROR(IF(_xlfn.MINIFS(SAISIE!$E$5:$E$204,SAISIE!$B$5:$B$204,"*Vent Av./Arr.*",SAISIE!$F$5:$F$204,$G$79)&gt;=0,0,_xlfn.MINIFS(SAISIE!$E$5:$E$204,SAISIE!$B$5:$B$204,"*Vent Av./Arr.*",SAISIE!$F$5:$F$204,$G$79)),"-"))</f>
        <v/>
      </c>
      <c r="E85" s="6" t="str">
        <f>IF($G$79="","",IF(OR(D85="",D85="-"),"",IF(D85&gt;0,"(soulevement)",IF(D85&lt;0,"(compression)","-"))))</f>
        <v/>
      </c>
    </row>
    <row r="86" spans="1:7" x14ac:dyDescent="0.25">
      <c r="A86" s="5" t="str">
        <f>IF(OR($G$79="",NOT(_xlfn.MAXIFS(SAISIE!$E$5:$E$204,SAISIE!$B$5:$B$204,"*Vent Av./Arr.*",SAISIE!$F$5:$F$204,$G$79)&gt;0)),"","Vent Av./Arr.")</f>
        <v/>
      </c>
      <c r="B86" s="6" t="str">
        <f>IF(OR($G$79="",NOT(_xlfn.MAXIFS(SAISIE!$E$5:$E$204,SAISIE!$B$5:$B$204,"*Vent Av./Arr.*",SAISIE!$F$5:$F$204,$G$79)&gt;0)),"",IFERROR(INDEX(SAISIE!$C$5:$C$204,MATCH(_xlfn.MAXIFS(SAISIE!$E$5:$E$204,SAISIE!$B$5:$B$204,"*Vent Av./Arr.*",SAISIE!$F$5:$F$204,$G$79),SAISIE!$E$5:$E$204,0)),"-"))</f>
        <v/>
      </c>
      <c r="C86" s="6" t="str">
        <f>IF(OR($G$79="",NOT(_xlfn.MAXIFS(SAISIE!$E$5:$E$204,SAISIE!$B$5:$B$204,"*Vent Av./Arr.*",SAISIE!$F$5:$F$204,$G$79)&gt;0)),"",IFERROR(INDEX(SAISIE!$D$5:$D$204,MATCH(_xlfn.MAXIFS(SAISIE!$E$5:$E$204,SAISIE!$B$5:$B$204,"*Vent Av./Arr.*",SAISIE!$F$5:$F$204,$G$79),SAISIE!$E$5:$E$204,0)),"-"))</f>
        <v/>
      </c>
      <c r="D86" s="6" t="str">
        <f>IF(OR($G$79="",NOT(_xlfn.MAXIFS(SAISIE!$E$5:$E$204,SAISIE!$B$5:$B$204,"*Vent Av./Arr.*",SAISIE!$F$5:$F$204,$G$79)&gt;0)),"",IFERROR(_xlfn.MAXIFS(SAISIE!$E$5:$E$204,SAISIE!$B$5:$B$204,"*Vent Av./Arr.*",SAISIE!$F$5:$F$204,$G$79),"-"))</f>
        <v/>
      </c>
      <c r="E86" s="6" t="str">
        <f>IF($G$79="","",IF(OR(D86="",D86="-"),"",IF(D86&gt;0,"(soulevement)",IF(D86&lt;0,"(compression)","-"))))</f>
        <v/>
      </c>
    </row>
    <row r="87" spans="1:7" x14ac:dyDescent="0.25">
      <c r="A87" s="5" t="str">
        <f>IF(OR($G$79="",NOT(COUNTIFS(SAISIE!$B$5:$B$204,"*Vent Arr./Av.*",SAISIE!$F$5:$F$204,$G$79)&gt;0)),"","Vent Arr./Av.")</f>
        <v/>
      </c>
      <c r="B87" s="6" t="str">
        <f>IF(OR($G$79="",NOT(COUNTIFS(SAISIE!$B$5:$B$204,"*Vent Arr./Av.*",SAISIE!$F$5:$F$204,$G$79)&gt;0)),"",IFERROR(IF(_xlfn.MINIFS(SAISIE!$E$5:$E$204,SAISIE!$B$5:$B$204,"*Vent Arr./Av.*",SAISIE!$F$5:$F$204,$G$79)&gt;=0,_xlfn.MAXIFS(SAISIE!$C$5:$C$204,SAISIE!$B$5:$B$204,"*Vent Arr./Av.*",SAISIE!$F$5:$F$204,$G$79),INDEX(SAISIE!$C$5:$C$204,MATCH(_xlfn.MINIFS(SAISIE!$E$5:$E$204,SAISIE!$B$5:$B$204,"*Vent Arr./Av.*",SAISIE!$F$5:$F$204,$G$79),SAISIE!$E$5:$E$204,0))),"-"))</f>
        <v/>
      </c>
      <c r="C87" s="6" t="str">
        <f>IF(OR($G$79="",NOT(COUNTIFS(SAISIE!$B$5:$B$204,"*Vent Arr./Av.*",SAISIE!$F$5:$F$204,$G$79)&gt;0)),"",IFERROR(IF(_xlfn.MINIFS(SAISIE!$E$5:$E$204,SAISIE!$B$5:$B$204,"*Vent Arr./Av.*",SAISIE!$F$5:$F$204,$G$79)&gt;=0,INDEX(SAISIE!$D$5:$D$204,MATCH(_xlfn.MAXIFS(SAISIE!$C$5:$C$204,SAISIE!$B$5:$B$204,"*Vent Arr./Av.*",SAISIE!$F$5:$F$204,$G$79),SAISIE!$C$5:$C$204,0)),INDEX(SAISIE!$D$5:$D$204,MATCH(_xlfn.MINIFS(SAISIE!$E$5:$E$204,SAISIE!$B$5:$B$204,"*Vent Arr./Av.*",SAISIE!$F$5:$F$204,$G$79),SAISIE!$E$5:$E$204,0))),"-"))</f>
        <v/>
      </c>
      <c r="D87" s="6" t="str">
        <f>IF(OR($G$79="",NOT(COUNTIFS(SAISIE!$B$5:$B$204,"*Vent Arr./Av.*",SAISIE!$F$5:$F$204,$G$79)&gt;0)),"",IFERROR(IF(_xlfn.MINIFS(SAISIE!$E$5:$E$204,SAISIE!$B$5:$B$204,"*Vent Arr./Av.*",SAISIE!$F$5:$F$204,$G$79)&gt;=0,0,_xlfn.MINIFS(SAISIE!$E$5:$E$204,SAISIE!$B$5:$B$204,"*Vent Arr./Av.*",SAISIE!$F$5:$F$204,$G$79)),"-"))</f>
        <v/>
      </c>
      <c r="E87" s="6" t="str">
        <f>IF($G$79="","",IF(OR(D87="",D87="-"),"",IF(D87&gt;0,"(soulevement)",IF(D87&lt;0,"(compression)","-"))))</f>
        <v/>
      </c>
    </row>
    <row r="88" spans="1:7" x14ac:dyDescent="0.25">
      <c r="A88" s="5" t="str">
        <f>IF(OR($G$79="",NOT(_xlfn.MAXIFS(SAISIE!$E$5:$E$204,SAISIE!$B$5:$B$204,"*Vent Arr./Av.*",SAISIE!$F$5:$F$204,$G$79)&gt;0)),"","Vent Arr./Av.")</f>
        <v/>
      </c>
      <c r="B88" s="6" t="str">
        <f>IF(OR($G$79="",NOT(_xlfn.MAXIFS(SAISIE!$E$5:$E$204,SAISIE!$B$5:$B$204,"*Vent Arr./Av.*",SAISIE!$F$5:$F$204,$G$79)&gt;0)),"",IFERROR(INDEX(SAISIE!$C$5:$C$204,MATCH(_xlfn.MAXIFS(SAISIE!$E$5:$E$204,SAISIE!$B$5:$B$204,"*Vent Arr./Av.*",SAISIE!$F$5:$F$204,$G$79),SAISIE!$E$5:$E$204,0)),"-"))</f>
        <v/>
      </c>
      <c r="C88" s="6" t="str">
        <f>IF(OR($G$79="",NOT(_xlfn.MAXIFS(SAISIE!$E$5:$E$204,SAISIE!$B$5:$B$204,"*Vent Arr./Av.*",SAISIE!$F$5:$F$204,$G$79)&gt;0)),"",IFERROR(INDEX(SAISIE!$D$5:$D$204,MATCH(_xlfn.MAXIFS(SAISIE!$E$5:$E$204,SAISIE!$B$5:$B$204,"*Vent Arr./Av.*",SAISIE!$F$5:$F$204,$G$79),SAISIE!$E$5:$E$204,0)),"-"))</f>
        <v/>
      </c>
      <c r="D88" s="6" t="str">
        <f>IF(OR($G$79="",NOT(_xlfn.MAXIFS(SAISIE!$E$5:$E$204,SAISIE!$B$5:$B$204,"*Vent Arr./Av.*",SAISIE!$F$5:$F$204,$G$79)&gt;0)),"",IFERROR(_xlfn.MAXIFS(SAISIE!$E$5:$E$204,SAISIE!$B$5:$B$204,"*Vent Arr./Av.*",SAISIE!$F$5:$F$204,$G$79),"-"))</f>
        <v/>
      </c>
      <c r="E88" s="6" t="str">
        <f>IF($G$79="","",IF(OR(D88="",D88="-"),"",IF(D88&gt;0,"(soulevement)",IF(D88&lt;0,"(compression)","-"))))</f>
        <v/>
      </c>
    </row>
    <row r="89" spans="1:7" x14ac:dyDescent="0.25">
      <c r="A89" s="5" t="str">
        <f>IF(OR($G$79="",NOT(TRUE)),"","Neige normale")</f>
        <v/>
      </c>
      <c r="B89" s="6" t="str">
        <f>IF($G$79="","",IFERROR(INDEX(SAISIE!$C$5:$C$204,MATCH(_xlfn.MINIFS(SAISIE!$E$5:$E$204,SAISIE!$B$5:$B$204,"*Neige*",SAISIE!$B$5:$B$204,"&lt;&gt;*accidentel*",SAISIE!$F$5:$F$204,$G$79),SAISIE!$E$5:$E$204,0)),"-"))</f>
        <v/>
      </c>
      <c r="C89" s="6" t="str">
        <f>IF($G$79="","",IFERROR(INDEX(SAISIE!$D$5:$D$204,MATCH(_xlfn.MINIFS(SAISIE!$E$5:$E$204,SAISIE!$B$5:$B$204,"*Neige*",SAISIE!$B$5:$B$204,"&lt;&gt;*accidentel*",SAISIE!$F$5:$F$204,$G$79),SAISIE!$E$5:$E$204,0)),"-"))</f>
        <v/>
      </c>
      <c r="D89" s="6" t="str">
        <f>IF($G$79="","",IFERROR(INDEX(SAISIE!$E$5:$E$204,MATCH(_xlfn.MINIFS(SAISIE!$E$5:$E$204,SAISIE!$B$5:$B$204,"*Neige*",SAISIE!$B$5:$B$204,"&lt;&gt;*accidentel*",SAISIE!$F$5:$F$204,$G$79),SAISIE!$E$5:$E$204,0)),"-"))</f>
        <v/>
      </c>
      <c r="E89" s="6" t="str">
        <f>IF($G$79="","",IF(OR(D89="",D89="-"),"",IF(D89&gt;0,"(soulevement)",IF(D89&lt;0,"(compression)","-"))))</f>
        <v/>
      </c>
    </row>
    <row r="90" spans="1:7" x14ac:dyDescent="0.25">
      <c r="A90" s="5" t="str">
        <f>IF(OR($G$79="",NOT(TRUE)),"","Neige accidentelle")</f>
        <v/>
      </c>
      <c r="B90" s="6" t="str">
        <f>IF($G$79="","",IFERROR(LOOKUP(2,1/((SAISIE!$F$5:$F$204=$G$79)*(ISNUMBER(SEARCH("accidentel",SAISIE!$B$5:$B$204)))),SAISIE!$C$5:$C$204),"-"))</f>
        <v/>
      </c>
      <c r="C90" s="6" t="str">
        <f>IF($G$79="","",IFERROR(LOOKUP(2,1/((SAISIE!$F$5:$F$204=$G$79)*(ISNUMBER(SEARCH("accidentel",SAISIE!$B$5:$B$204)))),SAISIE!$D$5:$D$204),"-"))</f>
        <v/>
      </c>
      <c r="D90" s="6" t="str">
        <f>IF($G$79="","",IFERROR(LOOKUP(2,1/((SAISIE!$F$5:$F$204=$G$79)*(ISNUMBER(SEARCH("accidentel",SAISIE!$B$5:$B$204)))),SAISIE!$E$5:$E$204),"-"))</f>
        <v/>
      </c>
      <c r="E90" s="6" t="str">
        <f>IF($G$79="","",IF(OR(D90="",D90="-"),"",IF(D90&gt;0,"(soulevement)",IF(D90&lt;0,"(compression)","-"))))</f>
        <v/>
      </c>
    </row>
    <row r="91" spans="1:7" ht="15.75" x14ac:dyDescent="0.25">
      <c r="A91" s="11" t="str">
        <f>IF($G$91="","","Noeud "&amp;$G$91)</f>
        <v/>
      </c>
      <c r="B91" s="12"/>
      <c r="C91" s="12"/>
      <c r="D91" s="12"/>
      <c r="E91" s="12"/>
      <c r="G91" t="str">
        <f>IFERROR(INDEX(SAISIE!$F$5:$F$204,_xlfn.AGGREGATE(15,6,ROW(SAISIE!$F$5:$F$204)-ROW(SAISIE!$F$5)+1/(SAISIE!$F$5:$F$204&lt;&gt;"")/(COUNTIF($G$4:G90,SAISIE!$F$5:$F$204)=0),1)),"")</f>
        <v/>
      </c>
    </row>
    <row r="92" spans="1:7" x14ac:dyDescent="0.25">
      <c r="A92" s="5" t="str">
        <f>IF(OR($G$91="",NOT(TRUE)),"","Couverture")</f>
        <v/>
      </c>
      <c r="B92" s="6" t="str">
        <f>IF($G$91="","",IFERROR(IFERROR(LOOKUP(2,1/((SAISIE!$F$5:$F$204=$G$91)*(LEFT(SAISIE!$B$5:$B$204,2)="G ")),SAISIE!$C$5:$C$204),LOOKUP(2,1/((SAISIE!$F$5:$F$204=$G$91)*(ISNUMBER(SEARCH("Couverture",SAISIE!$B$5:$B$204)))),SAISIE!$C$5:$C$204)),"-"))</f>
        <v/>
      </c>
      <c r="C92" s="6" t="str">
        <f>IF($G$91="","",IFERROR(IFERROR(LOOKUP(2,1/((SAISIE!$F$5:$F$204=$G$91)*(LEFT(SAISIE!$B$5:$B$204,2)="G ")),SAISIE!$D$5:$D$204),LOOKUP(2,1/((SAISIE!$F$5:$F$204=$G$91)*(ISNUMBER(SEARCH("Couverture",SAISIE!$B$5:$B$204)))),SAISIE!$D$5:$D$204)),"-"))</f>
        <v/>
      </c>
      <c r="D92" s="6" t="str">
        <f>IF($G$91="","",IFERROR(IFERROR(LOOKUP(2,1/((SAISIE!$F$5:$F$204=$G$91)*(LEFT(SAISIE!$B$5:$B$204,2)="G ")),SAISIE!$E$5:$E$204),LOOKUP(2,1/((SAISIE!$F$5:$F$204=$G$91)*(ISNUMBER(SEARCH("Couverture",SAISIE!$B$5:$B$204)))),SAISIE!$E$5:$E$204)),"-"))</f>
        <v/>
      </c>
      <c r="E92" s="6" t="str">
        <f>IF($G$91="","",IF(OR(D92="",D92="-"),"",IF(D92&gt;0,"(soulevement)",IF(D92&lt;0,"(compression)","-"))))</f>
        <v/>
      </c>
    </row>
    <row r="93" spans="1:7" x14ac:dyDescent="0.25">
      <c r="A93" s="5" t="str">
        <f>IF(OR($G$91="",NOT(COUNTIFS(SAISIE!$B$5:$B$204,"*Vent G/D*",SAISIE!$F$5:$F$204,$G$91)&gt;0)),"","Vent G/D")</f>
        <v/>
      </c>
      <c r="B93" s="6" t="str">
        <f>IF(OR($G$91="",NOT(COUNTIFS(SAISIE!$B$5:$B$204,"*Vent G/D*",SAISIE!$F$5:$F$204,$G$91)&gt;0)),"",IFERROR(IF(_xlfn.MINIFS(SAISIE!$E$5:$E$204,SAISIE!$B$5:$B$204,"*Vent G/D*",SAISIE!$F$5:$F$204,$G$91)&gt;=0,_xlfn.MAXIFS(SAISIE!$C$5:$C$204,SAISIE!$B$5:$B$204,"*Vent G/D*",SAISIE!$F$5:$F$204,$G$91),INDEX(SAISIE!$C$5:$C$204,MATCH(_xlfn.MINIFS(SAISIE!$E$5:$E$204,SAISIE!$B$5:$B$204,"*Vent G/D*",SAISIE!$F$5:$F$204,$G$91),SAISIE!$E$5:$E$204,0))),"-"))</f>
        <v/>
      </c>
      <c r="C93" s="6" t="str">
        <f>IF(OR($G$91="",NOT(COUNTIFS(SAISIE!$B$5:$B$204,"*Vent G/D*",SAISIE!$F$5:$F$204,$G$91)&gt;0)),"",IFERROR(IF(_xlfn.MINIFS(SAISIE!$E$5:$E$204,SAISIE!$B$5:$B$204,"*Vent G/D*",SAISIE!$F$5:$F$204,$G$91)&gt;=0,INDEX(SAISIE!$D$5:$D$204,MATCH(_xlfn.MAXIFS(SAISIE!$C$5:$C$204,SAISIE!$B$5:$B$204,"*Vent G/D*",SAISIE!$F$5:$F$204,$G$91),SAISIE!$C$5:$C$204,0)),INDEX(SAISIE!$D$5:$D$204,MATCH(_xlfn.MINIFS(SAISIE!$E$5:$E$204,SAISIE!$B$5:$B$204,"*Vent G/D*",SAISIE!$F$5:$F$204,$G$91),SAISIE!$E$5:$E$204,0))),"-"))</f>
        <v/>
      </c>
      <c r="D93" s="6" t="str">
        <f>IF(OR($G$91="",NOT(COUNTIFS(SAISIE!$B$5:$B$204,"*Vent G/D*",SAISIE!$F$5:$F$204,$G$91)&gt;0)),"",IFERROR(IF(_xlfn.MINIFS(SAISIE!$E$5:$E$204,SAISIE!$B$5:$B$204,"*Vent G/D*",SAISIE!$F$5:$F$204,$G$91)&gt;=0,0,_xlfn.MINIFS(SAISIE!$E$5:$E$204,SAISIE!$B$5:$B$204,"*Vent G/D*",SAISIE!$F$5:$F$204,$G$91)),"-"))</f>
        <v/>
      </c>
      <c r="E93" s="6" t="str">
        <f>IF($G$91="","",IF(OR(D93="",D93="-"),"",IF(D93&gt;0,"(soulevement)",IF(D93&lt;0,"(compression)","-"))))</f>
        <v/>
      </c>
    </row>
    <row r="94" spans="1:7" x14ac:dyDescent="0.25">
      <c r="A94" s="5" t="str">
        <f>IF(OR($G$91="",NOT(_xlfn.MAXIFS(SAISIE!$E$5:$E$204,SAISIE!$B$5:$B$204,"*Vent G/D*",SAISIE!$F$5:$F$204,$G$91)&gt;0)),"","Vent G/D")</f>
        <v/>
      </c>
      <c r="B94" s="6" t="str">
        <f>IF(OR($G$91="",NOT(_xlfn.MAXIFS(SAISIE!$E$5:$E$204,SAISIE!$B$5:$B$204,"*Vent G/D*",SAISIE!$F$5:$F$204,$G$91)&gt;0)),"",IFERROR(INDEX(SAISIE!$C$5:$C$204,MATCH(_xlfn.MAXIFS(SAISIE!$E$5:$E$204,SAISIE!$B$5:$B$204,"*Vent G/D*",SAISIE!$F$5:$F$204,$G$91),SAISIE!$E$5:$E$204,0)),"-"))</f>
        <v/>
      </c>
      <c r="C94" s="6" t="str">
        <f>IF(OR($G$91="",NOT(_xlfn.MAXIFS(SAISIE!$E$5:$E$204,SAISIE!$B$5:$B$204,"*Vent G/D*",SAISIE!$F$5:$F$204,$G$91)&gt;0)),"",IFERROR(INDEX(SAISIE!$D$5:$D$204,MATCH(_xlfn.MAXIFS(SAISIE!$E$5:$E$204,SAISIE!$B$5:$B$204,"*Vent G/D*",SAISIE!$F$5:$F$204,$G$91),SAISIE!$E$5:$E$204,0)),"-"))</f>
        <v/>
      </c>
      <c r="D94" s="6" t="str">
        <f>IF(OR($G$91="",NOT(_xlfn.MAXIFS(SAISIE!$E$5:$E$204,SAISIE!$B$5:$B$204,"*Vent G/D*",SAISIE!$F$5:$F$204,$G$91)&gt;0)),"",IFERROR(_xlfn.MAXIFS(SAISIE!$E$5:$E$204,SAISIE!$B$5:$B$204,"*Vent G/D*",SAISIE!$F$5:$F$204,$G$91),"-"))</f>
        <v/>
      </c>
      <c r="E94" s="6" t="str">
        <f>IF($G$91="","",IF(OR(D94="",D94="-"),"",IF(D94&gt;0,"(soulevement)",IF(D94&lt;0,"(compression)","-"))))</f>
        <v/>
      </c>
    </row>
    <row r="95" spans="1:7" x14ac:dyDescent="0.25">
      <c r="A95" s="5" t="str">
        <f>IF(OR($G$91="",NOT(COUNTIFS(SAISIE!$B$5:$B$204,"*Vent D/G*",SAISIE!$F$5:$F$204,$G$91)&gt;0)),"","Vent D/G")</f>
        <v/>
      </c>
      <c r="B95" s="6" t="str">
        <f>IF(OR($G$91="",NOT(COUNTIFS(SAISIE!$B$5:$B$204,"*Vent D/G*",SAISIE!$F$5:$F$204,$G$91)&gt;0)),"",IFERROR(IF(_xlfn.MINIFS(SAISIE!$E$5:$E$204,SAISIE!$B$5:$B$204,"*Vent D/G*",SAISIE!$F$5:$F$204,$G$91)&gt;=0,_xlfn.MAXIFS(SAISIE!$C$5:$C$204,SAISIE!$B$5:$B$204,"*Vent D/G*",SAISIE!$F$5:$F$204,$G$91),INDEX(SAISIE!$C$5:$C$204,MATCH(_xlfn.MINIFS(SAISIE!$E$5:$E$204,SAISIE!$B$5:$B$204,"*Vent D/G*",SAISIE!$F$5:$F$204,$G$91),SAISIE!$E$5:$E$204,0))),"-"))</f>
        <v/>
      </c>
      <c r="C95" s="6" t="str">
        <f>IF(OR($G$91="",NOT(COUNTIFS(SAISIE!$B$5:$B$204,"*Vent D/G*",SAISIE!$F$5:$F$204,$G$91)&gt;0)),"",IFERROR(IF(_xlfn.MINIFS(SAISIE!$E$5:$E$204,SAISIE!$B$5:$B$204,"*Vent D/G*",SAISIE!$F$5:$F$204,$G$91)&gt;=0,INDEX(SAISIE!$D$5:$D$204,MATCH(_xlfn.MAXIFS(SAISIE!$C$5:$C$204,SAISIE!$B$5:$B$204,"*Vent D/G*",SAISIE!$F$5:$F$204,$G$91),SAISIE!$C$5:$C$204,0)),INDEX(SAISIE!$D$5:$D$204,MATCH(_xlfn.MINIFS(SAISIE!$E$5:$E$204,SAISIE!$B$5:$B$204,"*Vent D/G*",SAISIE!$F$5:$F$204,$G$91),SAISIE!$E$5:$E$204,0))),"-"))</f>
        <v/>
      </c>
      <c r="D95" s="6" t="str">
        <f>IF(OR($G$91="",NOT(COUNTIFS(SAISIE!$B$5:$B$204,"*Vent D/G*",SAISIE!$F$5:$F$204,$G$91)&gt;0)),"",IFERROR(IF(_xlfn.MINIFS(SAISIE!$E$5:$E$204,SAISIE!$B$5:$B$204,"*Vent D/G*",SAISIE!$F$5:$F$204,$G$91)&gt;=0,0,_xlfn.MINIFS(SAISIE!$E$5:$E$204,SAISIE!$B$5:$B$204,"*Vent D/G*",SAISIE!$F$5:$F$204,$G$91)),"-"))</f>
        <v/>
      </c>
      <c r="E95" s="6" t="str">
        <f>IF($G$91="","",IF(OR(D95="",D95="-"),"",IF(D95&gt;0,"(soulevement)",IF(D95&lt;0,"(compression)","-"))))</f>
        <v/>
      </c>
    </row>
    <row r="96" spans="1:7" x14ac:dyDescent="0.25">
      <c r="A96" s="5" t="str">
        <f>IF(OR($G$91="",NOT(_xlfn.MAXIFS(SAISIE!$E$5:$E$204,SAISIE!$B$5:$B$204,"*Vent D/G*",SAISIE!$F$5:$F$204,$G$91)&gt;0)),"","Vent D/G")</f>
        <v/>
      </c>
      <c r="B96" s="6" t="str">
        <f>IF(OR($G$91="",NOT(_xlfn.MAXIFS(SAISIE!$E$5:$E$204,SAISIE!$B$5:$B$204,"*Vent D/G*",SAISIE!$F$5:$F$204,$G$91)&gt;0)),"",IFERROR(INDEX(SAISIE!$C$5:$C$204,MATCH(_xlfn.MAXIFS(SAISIE!$E$5:$E$204,SAISIE!$B$5:$B$204,"*Vent D/G*",SAISIE!$F$5:$F$204,$G$91),SAISIE!$E$5:$E$204,0)),"-"))</f>
        <v/>
      </c>
      <c r="C96" s="6" t="str">
        <f>IF(OR($G$91="",NOT(_xlfn.MAXIFS(SAISIE!$E$5:$E$204,SAISIE!$B$5:$B$204,"*Vent D/G*",SAISIE!$F$5:$F$204,$G$91)&gt;0)),"",IFERROR(INDEX(SAISIE!$D$5:$D$204,MATCH(_xlfn.MAXIFS(SAISIE!$E$5:$E$204,SAISIE!$B$5:$B$204,"*Vent D/G*",SAISIE!$F$5:$F$204,$G$91),SAISIE!$E$5:$E$204,0)),"-"))</f>
        <v/>
      </c>
      <c r="D96" s="6" t="str">
        <f>IF(OR($G$91="",NOT(_xlfn.MAXIFS(SAISIE!$E$5:$E$204,SAISIE!$B$5:$B$204,"*Vent D/G*",SAISIE!$F$5:$F$204,$G$91)&gt;0)),"",IFERROR(_xlfn.MAXIFS(SAISIE!$E$5:$E$204,SAISIE!$B$5:$B$204,"*Vent D/G*",SAISIE!$F$5:$F$204,$G$91),"-"))</f>
        <v/>
      </c>
      <c r="E96" s="6" t="str">
        <f>IF($G$91="","",IF(OR(D96="",D96="-"),"",IF(D96&gt;0,"(soulevement)",IF(D96&lt;0,"(compression)","-"))))</f>
        <v/>
      </c>
    </row>
    <row r="97" spans="1:7" x14ac:dyDescent="0.25">
      <c r="A97" s="5" t="str">
        <f>IF(OR($G$91="",NOT(COUNTIFS(SAISIE!$B$5:$B$204,"*Vent Av./Arr.*",SAISIE!$F$5:$F$204,$G$91)&gt;0)),"","Vent Av./Arr.")</f>
        <v/>
      </c>
      <c r="B97" s="6" t="str">
        <f>IF(OR($G$91="",NOT(COUNTIFS(SAISIE!$B$5:$B$204,"*Vent Av./Arr.*",SAISIE!$F$5:$F$204,$G$91)&gt;0)),"",IFERROR(IF(_xlfn.MINIFS(SAISIE!$E$5:$E$204,SAISIE!$B$5:$B$204,"*Vent Av./Arr.*",SAISIE!$F$5:$F$204,$G$91)&gt;=0,_xlfn.MAXIFS(SAISIE!$C$5:$C$204,SAISIE!$B$5:$B$204,"*Vent Av./Arr.*",SAISIE!$F$5:$F$204,$G$91),INDEX(SAISIE!$C$5:$C$204,MATCH(_xlfn.MINIFS(SAISIE!$E$5:$E$204,SAISIE!$B$5:$B$204,"*Vent Av./Arr.*",SAISIE!$F$5:$F$204,$G$91),SAISIE!$E$5:$E$204,0))),"-"))</f>
        <v/>
      </c>
      <c r="C97" s="6" t="str">
        <f>IF(OR($G$91="",NOT(COUNTIFS(SAISIE!$B$5:$B$204,"*Vent Av./Arr.*",SAISIE!$F$5:$F$204,$G$91)&gt;0)),"",IFERROR(IF(_xlfn.MINIFS(SAISIE!$E$5:$E$204,SAISIE!$B$5:$B$204,"*Vent Av./Arr.*",SAISIE!$F$5:$F$204,$G$91)&gt;=0,INDEX(SAISIE!$D$5:$D$204,MATCH(_xlfn.MAXIFS(SAISIE!$C$5:$C$204,SAISIE!$B$5:$B$204,"*Vent Av./Arr.*",SAISIE!$F$5:$F$204,$G$91),SAISIE!$C$5:$C$204,0)),INDEX(SAISIE!$D$5:$D$204,MATCH(_xlfn.MINIFS(SAISIE!$E$5:$E$204,SAISIE!$B$5:$B$204,"*Vent Av./Arr.*",SAISIE!$F$5:$F$204,$G$91),SAISIE!$E$5:$E$204,0))),"-"))</f>
        <v/>
      </c>
      <c r="D97" s="6" t="str">
        <f>IF(OR($G$91="",NOT(COUNTIFS(SAISIE!$B$5:$B$204,"*Vent Av./Arr.*",SAISIE!$F$5:$F$204,$G$91)&gt;0)),"",IFERROR(IF(_xlfn.MINIFS(SAISIE!$E$5:$E$204,SAISIE!$B$5:$B$204,"*Vent Av./Arr.*",SAISIE!$F$5:$F$204,$G$91)&gt;=0,0,_xlfn.MINIFS(SAISIE!$E$5:$E$204,SAISIE!$B$5:$B$204,"*Vent Av./Arr.*",SAISIE!$F$5:$F$204,$G$91)),"-"))</f>
        <v/>
      </c>
      <c r="E97" s="6" t="str">
        <f>IF($G$91="","",IF(OR(D97="",D97="-"),"",IF(D97&gt;0,"(soulevement)",IF(D97&lt;0,"(compression)","-"))))</f>
        <v/>
      </c>
    </row>
    <row r="98" spans="1:7" x14ac:dyDescent="0.25">
      <c r="A98" s="5" t="str">
        <f>IF(OR($G$91="",NOT(_xlfn.MAXIFS(SAISIE!$E$5:$E$204,SAISIE!$B$5:$B$204,"*Vent Av./Arr.*",SAISIE!$F$5:$F$204,$G$91)&gt;0)),"","Vent Av./Arr.")</f>
        <v/>
      </c>
      <c r="B98" s="6" t="str">
        <f>IF(OR($G$91="",NOT(_xlfn.MAXIFS(SAISIE!$E$5:$E$204,SAISIE!$B$5:$B$204,"*Vent Av./Arr.*",SAISIE!$F$5:$F$204,$G$91)&gt;0)),"",IFERROR(INDEX(SAISIE!$C$5:$C$204,MATCH(_xlfn.MAXIFS(SAISIE!$E$5:$E$204,SAISIE!$B$5:$B$204,"*Vent Av./Arr.*",SAISIE!$F$5:$F$204,$G$91),SAISIE!$E$5:$E$204,0)),"-"))</f>
        <v/>
      </c>
      <c r="C98" s="6" t="str">
        <f>IF(OR($G$91="",NOT(_xlfn.MAXIFS(SAISIE!$E$5:$E$204,SAISIE!$B$5:$B$204,"*Vent Av./Arr.*",SAISIE!$F$5:$F$204,$G$91)&gt;0)),"",IFERROR(INDEX(SAISIE!$D$5:$D$204,MATCH(_xlfn.MAXIFS(SAISIE!$E$5:$E$204,SAISIE!$B$5:$B$204,"*Vent Av./Arr.*",SAISIE!$F$5:$F$204,$G$91),SAISIE!$E$5:$E$204,0)),"-"))</f>
        <v/>
      </c>
      <c r="D98" s="6" t="str">
        <f>IF(OR($G$91="",NOT(_xlfn.MAXIFS(SAISIE!$E$5:$E$204,SAISIE!$B$5:$B$204,"*Vent Av./Arr.*",SAISIE!$F$5:$F$204,$G$91)&gt;0)),"",IFERROR(_xlfn.MAXIFS(SAISIE!$E$5:$E$204,SAISIE!$B$5:$B$204,"*Vent Av./Arr.*",SAISIE!$F$5:$F$204,$G$91),"-"))</f>
        <v/>
      </c>
      <c r="E98" s="6" t="str">
        <f>IF($G$91="","",IF(OR(D98="",D98="-"),"",IF(D98&gt;0,"(soulevement)",IF(D98&lt;0,"(compression)","-"))))</f>
        <v/>
      </c>
    </row>
    <row r="99" spans="1:7" x14ac:dyDescent="0.25">
      <c r="A99" s="5" t="str">
        <f>IF(OR($G$91="",NOT(COUNTIFS(SAISIE!$B$5:$B$204,"*Vent Arr./Av.*",SAISIE!$F$5:$F$204,$G$91)&gt;0)),"","Vent Arr./Av.")</f>
        <v/>
      </c>
      <c r="B99" s="6" t="str">
        <f>IF(OR($G$91="",NOT(COUNTIFS(SAISIE!$B$5:$B$204,"*Vent Arr./Av.*",SAISIE!$F$5:$F$204,$G$91)&gt;0)),"",IFERROR(IF(_xlfn.MINIFS(SAISIE!$E$5:$E$204,SAISIE!$B$5:$B$204,"*Vent Arr./Av.*",SAISIE!$F$5:$F$204,$G$91)&gt;=0,_xlfn.MAXIFS(SAISIE!$C$5:$C$204,SAISIE!$B$5:$B$204,"*Vent Arr./Av.*",SAISIE!$F$5:$F$204,$G$91),INDEX(SAISIE!$C$5:$C$204,MATCH(_xlfn.MINIFS(SAISIE!$E$5:$E$204,SAISIE!$B$5:$B$204,"*Vent Arr./Av.*",SAISIE!$F$5:$F$204,$G$91),SAISIE!$E$5:$E$204,0))),"-"))</f>
        <v/>
      </c>
      <c r="C99" s="6" t="str">
        <f>IF(OR($G$91="",NOT(COUNTIFS(SAISIE!$B$5:$B$204,"*Vent Arr./Av.*",SAISIE!$F$5:$F$204,$G$91)&gt;0)),"",IFERROR(IF(_xlfn.MINIFS(SAISIE!$E$5:$E$204,SAISIE!$B$5:$B$204,"*Vent Arr./Av.*",SAISIE!$F$5:$F$204,$G$91)&gt;=0,INDEX(SAISIE!$D$5:$D$204,MATCH(_xlfn.MAXIFS(SAISIE!$C$5:$C$204,SAISIE!$B$5:$B$204,"*Vent Arr./Av.*",SAISIE!$F$5:$F$204,$G$91),SAISIE!$C$5:$C$204,0)),INDEX(SAISIE!$D$5:$D$204,MATCH(_xlfn.MINIFS(SAISIE!$E$5:$E$204,SAISIE!$B$5:$B$204,"*Vent Arr./Av.*",SAISIE!$F$5:$F$204,$G$91),SAISIE!$E$5:$E$204,0))),"-"))</f>
        <v/>
      </c>
      <c r="D99" s="6" t="str">
        <f>IF(OR($G$91="",NOT(COUNTIFS(SAISIE!$B$5:$B$204,"*Vent Arr./Av.*",SAISIE!$F$5:$F$204,$G$91)&gt;0)),"",IFERROR(IF(_xlfn.MINIFS(SAISIE!$E$5:$E$204,SAISIE!$B$5:$B$204,"*Vent Arr./Av.*",SAISIE!$F$5:$F$204,$G$91)&gt;=0,0,_xlfn.MINIFS(SAISIE!$E$5:$E$204,SAISIE!$B$5:$B$204,"*Vent Arr./Av.*",SAISIE!$F$5:$F$204,$G$91)),"-"))</f>
        <v/>
      </c>
      <c r="E99" s="6" t="str">
        <f>IF($G$91="","",IF(OR(D99="",D99="-"),"",IF(D99&gt;0,"(soulevement)",IF(D99&lt;0,"(compression)","-"))))</f>
        <v/>
      </c>
    </row>
    <row r="100" spans="1:7" x14ac:dyDescent="0.25">
      <c r="A100" s="5" t="str">
        <f>IF(OR($G$91="",NOT(_xlfn.MAXIFS(SAISIE!$E$5:$E$204,SAISIE!$B$5:$B$204,"*Vent Arr./Av.*",SAISIE!$F$5:$F$204,$G$91)&gt;0)),"","Vent Arr./Av.")</f>
        <v/>
      </c>
      <c r="B100" s="6" t="str">
        <f>IF(OR($G$91="",NOT(_xlfn.MAXIFS(SAISIE!$E$5:$E$204,SAISIE!$B$5:$B$204,"*Vent Arr./Av.*",SAISIE!$F$5:$F$204,$G$91)&gt;0)),"",IFERROR(INDEX(SAISIE!$C$5:$C$204,MATCH(_xlfn.MAXIFS(SAISIE!$E$5:$E$204,SAISIE!$B$5:$B$204,"*Vent Arr./Av.*",SAISIE!$F$5:$F$204,$G$91),SAISIE!$E$5:$E$204,0)),"-"))</f>
        <v/>
      </c>
      <c r="C100" s="6" t="str">
        <f>IF(OR($G$91="",NOT(_xlfn.MAXIFS(SAISIE!$E$5:$E$204,SAISIE!$B$5:$B$204,"*Vent Arr./Av.*",SAISIE!$F$5:$F$204,$G$91)&gt;0)),"",IFERROR(INDEX(SAISIE!$D$5:$D$204,MATCH(_xlfn.MAXIFS(SAISIE!$E$5:$E$204,SAISIE!$B$5:$B$204,"*Vent Arr./Av.*",SAISIE!$F$5:$F$204,$G$91),SAISIE!$E$5:$E$204,0)),"-"))</f>
        <v/>
      </c>
      <c r="D100" s="6" t="str">
        <f>IF(OR($G$91="",NOT(_xlfn.MAXIFS(SAISIE!$E$5:$E$204,SAISIE!$B$5:$B$204,"*Vent Arr./Av.*",SAISIE!$F$5:$F$204,$G$91)&gt;0)),"",IFERROR(_xlfn.MAXIFS(SAISIE!$E$5:$E$204,SAISIE!$B$5:$B$204,"*Vent Arr./Av.*",SAISIE!$F$5:$F$204,$G$91),"-"))</f>
        <v/>
      </c>
      <c r="E100" s="6" t="str">
        <f>IF($G$91="","",IF(OR(D100="",D100="-"),"",IF(D100&gt;0,"(soulevement)",IF(D100&lt;0,"(compression)","-"))))</f>
        <v/>
      </c>
    </row>
    <row r="101" spans="1:7" x14ac:dyDescent="0.25">
      <c r="A101" s="5" t="str">
        <f>IF(OR($G$91="",NOT(TRUE)),"","Neige normale")</f>
        <v/>
      </c>
      <c r="B101" s="6" t="str">
        <f>IF($G$91="","",IFERROR(INDEX(SAISIE!$C$5:$C$204,MATCH(_xlfn.MINIFS(SAISIE!$E$5:$E$204,SAISIE!$B$5:$B$204,"*Neige*",SAISIE!$B$5:$B$204,"&lt;&gt;*accidentel*",SAISIE!$F$5:$F$204,$G$91),SAISIE!$E$5:$E$204,0)),"-"))</f>
        <v/>
      </c>
      <c r="C101" s="6" t="str">
        <f>IF($G$91="","",IFERROR(INDEX(SAISIE!$D$5:$D$204,MATCH(_xlfn.MINIFS(SAISIE!$E$5:$E$204,SAISIE!$B$5:$B$204,"*Neige*",SAISIE!$B$5:$B$204,"&lt;&gt;*accidentel*",SAISIE!$F$5:$F$204,$G$91),SAISIE!$E$5:$E$204,0)),"-"))</f>
        <v/>
      </c>
      <c r="D101" s="6" t="str">
        <f>IF($G$91="","",IFERROR(INDEX(SAISIE!$E$5:$E$204,MATCH(_xlfn.MINIFS(SAISIE!$E$5:$E$204,SAISIE!$B$5:$B$204,"*Neige*",SAISIE!$B$5:$B$204,"&lt;&gt;*accidentel*",SAISIE!$F$5:$F$204,$G$91),SAISIE!$E$5:$E$204,0)),"-"))</f>
        <v/>
      </c>
      <c r="E101" s="6" t="str">
        <f>IF($G$91="","",IF(OR(D101="",D101="-"),"",IF(D101&gt;0,"(soulevement)",IF(D101&lt;0,"(compression)","-"))))</f>
        <v/>
      </c>
    </row>
    <row r="102" spans="1:7" x14ac:dyDescent="0.25">
      <c r="A102" s="5" t="str">
        <f>IF(OR($G$91="",NOT(TRUE)),"","Neige accidentelle")</f>
        <v/>
      </c>
      <c r="B102" s="6" t="str">
        <f>IF($G$91="","",IFERROR(LOOKUP(2,1/((SAISIE!$F$5:$F$204=$G$91)*(ISNUMBER(SEARCH("accidentel",SAISIE!$B$5:$B$204)))),SAISIE!$C$5:$C$204),"-"))</f>
        <v/>
      </c>
      <c r="C102" s="6" t="str">
        <f>IF($G$91="","",IFERROR(LOOKUP(2,1/((SAISIE!$F$5:$F$204=$G$91)*(ISNUMBER(SEARCH("accidentel",SAISIE!$B$5:$B$204)))),SAISIE!$D$5:$D$204),"-"))</f>
        <v/>
      </c>
      <c r="D102" s="6" t="str">
        <f>IF($G$91="","",IFERROR(LOOKUP(2,1/((SAISIE!$F$5:$F$204=$G$91)*(ISNUMBER(SEARCH("accidentel",SAISIE!$B$5:$B$204)))),SAISIE!$E$5:$E$204),"-"))</f>
        <v/>
      </c>
      <c r="E102" s="6" t="str">
        <f>IF($G$91="","",IF(OR(D102="",D102="-"),"",IF(D102&gt;0,"(soulevement)",IF(D102&lt;0,"(compression)","-"))))</f>
        <v/>
      </c>
    </row>
    <row r="103" spans="1:7" ht="15.75" x14ac:dyDescent="0.25">
      <c r="A103" s="11" t="str">
        <f>IF($G$103="","","Noeud "&amp;$G$103)</f>
        <v/>
      </c>
      <c r="B103" s="12"/>
      <c r="C103" s="12"/>
      <c r="D103" s="12"/>
      <c r="E103" s="12"/>
      <c r="G103" t="str">
        <f>IFERROR(INDEX(SAISIE!$F$5:$F$204,_xlfn.AGGREGATE(15,6,ROW(SAISIE!$F$5:$F$204)-ROW(SAISIE!$F$5)+1/(SAISIE!$F$5:$F$204&lt;&gt;"")/(COUNTIF($G$4:G102,SAISIE!$F$5:$F$204)=0),1)),"")</f>
        <v/>
      </c>
    </row>
    <row r="104" spans="1:7" x14ac:dyDescent="0.25">
      <c r="A104" s="5" t="str">
        <f>IF(OR($G$103="",NOT(TRUE)),"","Couverture")</f>
        <v/>
      </c>
      <c r="B104" s="6" t="str">
        <f>IF($G$103="","",IFERROR(IFERROR(LOOKUP(2,1/((SAISIE!$F$5:$F$204=$G$103)*(LEFT(SAISIE!$B$5:$B$204,2)="G ")),SAISIE!$C$5:$C$204),LOOKUP(2,1/((SAISIE!$F$5:$F$204=$G$103)*(ISNUMBER(SEARCH("Couverture",SAISIE!$B$5:$B$204)))),SAISIE!$C$5:$C$204)),"-"))</f>
        <v/>
      </c>
      <c r="C104" s="6" t="str">
        <f>IF($G$103="","",IFERROR(IFERROR(LOOKUP(2,1/((SAISIE!$F$5:$F$204=$G$103)*(LEFT(SAISIE!$B$5:$B$204,2)="G ")),SAISIE!$D$5:$D$204),LOOKUP(2,1/((SAISIE!$F$5:$F$204=$G$103)*(ISNUMBER(SEARCH("Couverture",SAISIE!$B$5:$B$204)))),SAISIE!$D$5:$D$204)),"-"))</f>
        <v/>
      </c>
      <c r="D104" s="6" t="str">
        <f>IF($G$103="","",IFERROR(IFERROR(LOOKUP(2,1/((SAISIE!$F$5:$F$204=$G$103)*(LEFT(SAISIE!$B$5:$B$204,2)="G ")),SAISIE!$E$5:$E$204),LOOKUP(2,1/((SAISIE!$F$5:$F$204=$G$103)*(ISNUMBER(SEARCH("Couverture",SAISIE!$B$5:$B$204)))),SAISIE!$E$5:$E$204)),"-"))</f>
        <v/>
      </c>
      <c r="E104" s="6" t="str">
        <f>IF($G$103="","",IF(OR(D104="",D104="-"),"",IF(D104&gt;0,"(soulevement)",IF(D104&lt;0,"(compression)","-"))))</f>
        <v/>
      </c>
    </row>
    <row r="105" spans="1:7" x14ac:dyDescent="0.25">
      <c r="A105" s="5" t="str">
        <f>IF(OR($G$103="",NOT(COUNTIFS(SAISIE!$B$5:$B$204,"*Vent G/D*",SAISIE!$F$5:$F$204,$G$103)&gt;0)),"","Vent G/D")</f>
        <v/>
      </c>
      <c r="B105" s="6" t="str">
        <f>IF(OR($G$103="",NOT(COUNTIFS(SAISIE!$B$5:$B$204,"*Vent G/D*",SAISIE!$F$5:$F$204,$G$103)&gt;0)),"",IFERROR(IF(_xlfn.MINIFS(SAISIE!$E$5:$E$204,SAISIE!$B$5:$B$204,"*Vent G/D*",SAISIE!$F$5:$F$204,$G$103)&gt;=0,_xlfn.MAXIFS(SAISIE!$C$5:$C$204,SAISIE!$B$5:$B$204,"*Vent G/D*",SAISIE!$F$5:$F$204,$G$103),INDEX(SAISIE!$C$5:$C$204,MATCH(_xlfn.MINIFS(SAISIE!$E$5:$E$204,SAISIE!$B$5:$B$204,"*Vent G/D*",SAISIE!$F$5:$F$204,$G$103),SAISIE!$E$5:$E$204,0))),"-"))</f>
        <v/>
      </c>
      <c r="C105" s="6" t="str">
        <f>IF(OR($G$103="",NOT(COUNTIFS(SAISIE!$B$5:$B$204,"*Vent G/D*",SAISIE!$F$5:$F$204,$G$103)&gt;0)),"",IFERROR(IF(_xlfn.MINIFS(SAISIE!$E$5:$E$204,SAISIE!$B$5:$B$204,"*Vent G/D*",SAISIE!$F$5:$F$204,$G$103)&gt;=0,INDEX(SAISIE!$D$5:$D$204,MATCH(_xlfn.MAXIFS(SAISIE!$C$5:$C$204,SAISIE!$B$5:$B$204,"*Vent G/D*",SAISIE!$F$5:$F$204,$G$103),SAISIE!$C$5:$C$204,0)),INDEX(SAISIE!$D$5:$D$204,MATCH(_xlfn.MINIFS(SAISIE!$E$5:$E$204,SAISIE!$B$5:$B$204,"*Vent G/D*",SAISIE!$F$5:$F$204,$G$103),SAISIE!$E$5:$E$204,0))),"-"))</f>
        <v/>
      </c>
      <c r="D105" s="6" t="str">
        <f>IF(OR($G$103="",NOT(COUNTIFS(SAISIE!$B$5:$B$204,"*Vent G/D*",SAISIE!$F$5:$F$204,$G$103)&gt;0)),"",IFERROR(IF(_xlfn.MINIFS(SAISIE!$E$5:$E$204,SAISIE!$B$5:$B$204,"*Vent G/D*",SAISIE!$F$5:$F$204,$G$103)&gt;=0,0,_xlfn.MINIFS(SAISIE!$E$5:$E$204,SAISIE!$B$5:$B$204,"*Vent G/D*",SAISIE!$F$5:$F$204,$G$103)),"-"))</f>
        <v/>
      </c>
      <c r="E105" s="6" t="str">
        <f>IF($G$103="","",IF(OR(D105="",D105="-"),"",IF(D105&gt;0,"(soulevement)",IF(D105&lt;0,"(compression)","-"))))</f>
        <v/>
      </c>
    </row>
    <row r="106" spans="1:7" x14ac:dyDescent="0.25">
      <c r="A106" s="5" t="str">
        <f>IF(OR($G$103="",NOT(_xlfn.MAXIFS(SAISIE!$E$5:$E$204,SAISIE!$B$5:$B$204,"*Vent G/D*",SAISIE!$F$5:$F$204,$G$103)&gt;0)),"","Vent G/D")</f>
        <v/>
      </c>
      <c r="B106" s="6" t="str">
        <f>IF(OR($G$103="",NOT(_xlfn.MAXIFS(SAISIE!$E$5:$E$204,SAISIE!$B$5:$B$204,"*Vent G/D*",SAISIE!$F$5:$F$204,$G$103)&gt;0)),"",IFERROR(INDEX(SAISIE!$C$5:$C$204,MATCH(_xlfn.MAXIFS(SAISIE!$E$5:$E$204,SAISIE!$B$5:$B$204,"*Vent G/D*",SAISIE!$F$5:$F$204,$G$103),SAISIE!$E$5:$E$204,0)),"-"))</f>
        <v/>
      </c>
      <c r="C106" s="6" t="str">
        <f>IF(OR($G$103="",NOT(_xlfn.MAXIFS(SAISIE!$E$5:$E$204,SAISIE!$B$5:$B$204,"*Vent G/D*",SAISIE!$F$5:$F$204,$G$103)&gt;0)),"",IFERROR(INDEX(SAISIE!$D$5:$D$204,MATCH(_xlfn.MAXIFS(SAISIE!$E$5:$E$204,SAISIE!$B$5:$B$204,"*Vent G/D*",SAISIE!$F$5:$F$204,$G$103),SAISIE!$E$5:$E$204,0)),"-"))</f>
        <v/>
      </c>
      <c r="D106" s="6" t="str">
        <f>IF(OR($G$103="",NOT(_xlfn.MAXIFS(SAISIE!$E$5:$E$204,SAISIE!$B$5:$B$204,"*Vent G/D*",SAISIE!$F$5:$F$204,$G$103)&gt;0)),"",IFERROR(_xlfn.MAXIFS(SAISIE!$E$5:$E$204,SAISIE!$B$5:$B$204,"*Vent G/D*",SAISIE!$F$5:$F$204,$G$103),"-"))</f>
        <v/>
      </c>
      <c r="E106" s="6" t="str">
        <f>IF($G$103="","",IF(OR(D106="",D106="-"),"",IF(D106&gt;0,"(soulevement)",IF(D106&lt;0,"(compression)","-"))))</f>
        <v/>
      </c>
    </row>
    <row r="107" spans="1:7" x14ac:dyDescent="0.25">
      <c r="A107" s="5" t="str">
        <f>IF(OR($G$103="",NOT(COUNTIFS(SAISIE!$B$5:$B$204,"*Vent D/G*",SAISIE!$F$5:$F$204,$G$103)&gt;0)),"","Vent D/G")</f>
        <v/>
      </c>
      <c r="B107" s="6" t="str">
        <f>IF(OR($G$103="",NOT(COUNTIFS(SAISIE!$B$5:$B$204,"*Vent D/G*",SAISIE!$F$5:$F$204,$G$103)&gt;0)),"",IFERROR(IF(_xlfn.MINIFS(SAISIE!$E$5:$E$204,SAISIE!$B$5:$B$204,"*Vent D/G*",SAISIE!$F$5:$F$204,$G$103)&gt;=0,_xlfn.MAXIFS(SAISIE!$C$5:$C$204,SAISIE!$B$5:$B$204,"*Vent D/G*",SAISIE!$F$5:$F$204,$G$103),INDEX(SAISIE!$C$5:$C$204,MATCH(_xlfn.MINIFS(SAISIE!$E$5:$E$204,SAISIE!$B$5:$B$204,"*Vent D/G*",SAISIE!$F$5:$F$204,$G$103),SAISIE!$E$5:$E$204,0))),"-"))</f>
        <v/>
      </c>
      <c r="C107" s="6" t="str">
        <f>IF(OR($G$103="",NOT(COUNTIFS(SAISIE!$B$5:$B$204,"*Vent D/G*",SAISIE!$F$5:$F$204,$G$103)&gt;0)),"",IFERROR(IF(_xlfn.MINIFS(SAISIE!$E$5:$E$204,SAISIE!$B$5:$B$204,"*Vent D/G*",SAISIE!$F$5:$F$204,$G$103)&gt;=0,INDEX(SAISIE!$D$5:$D$204,MATCH(_xlfn.MAXIFS(SAISIE!$C$5:$C$204,SAISIE!$B$5:$B$204,"*Vent D/G*",SAISIE!$F$5:$F$204,$G$103),SAISIE!$C$5:$C$204,0)),INDEX(SAISIE!$D$5:$D$204,MATCH(_xlfn.MINIFS(SAISIE!$E$5:$E$204,SAISIE!$B$5:$B$204,"*Vent D/G*",SAISIE!$F$5:$F$204,$G$103),SAISIE!$E$5:$E$204,0))),"-"))</f>
        <v/>
      </c>
      <c r="D107" s="6" t="str">
        <f>IF(OR($G$103="",NOT(COUNTIFS(SAISIE!$B$5:$B$204,"*Vent D/G*",SAISIE!$F$5:$F$204,$G$103)&gt;0)),"",IFERROR(IF(_xlfn.MINIFS(SAISIE!$E$5:$E$204,SAISIE!$B$5:$B$204,"*Vent D/G*",SAISIE!$F$5:$F$204,$G$103)&gt;=0,0,_xlfn.MINIFS(SAISIE!$E$5:$E$204,SAISIE!$B$5:$B$204,"*Vent D/G*",SAISIE!$F$5:$F$204,$G$103)),"-"))</f>
        <v/>
      </c>
      <c r="E107" s="6" t="str">
        <f>IF($G$103="","",IF(OR(D107="",D107="-"),"",IF(D107&gt;0,"(soulevement)",IF(D107&lt;0,"(compression)","-"))))</f>
        <v/>
      </c>
    </row>
    <row r="108" spans="1:7" x14ac:dyDescent="0.25">
      <c r="A108" s="5" t="str">
        <f>IF(OR($G$103="",NOT(_xlfn.MAXIFS(SAISIE!$E$5:$E$204,SAISIE!$B$5:$B$204,"*Vent D/G*",SAISIE!$F$5:$F$204,$G$103)&gt;0)),"","Vent D/G")</f>
        <v/>
      </c>
      <c r="B108" s="6" t="str">
        <f>IF(OR($G$103="",NOT(_xlfn.MAXIFS(SAISIE!$E$5:$E$204,SAISIE!$B$5:$B$204,"*Vent D/G*",SAISIE!$F$5:$F$204,$G$103)&gt;0)),"",IFERROR(INDEX(SAISIE!$C$5:$C$204,MATCH(_xlfn.MAXIFS(SAISIE!$E$5:$E$204,SAISIE!$B$5:$B$204,"*Vent D/G*",SAISIE!$F$5:$F$204,$G$103),SAISIE!$E$5:$E$204,0)),"-"))</f>
        <v/>
      </c>
      <c r="C108" s="6" t="str">
        <f>IF(OR($G$103="",NOT(_xlfn.MAXIFS(SAISIE!$E$5:$E$204,SAISIE!$B$5:$B$204,"*Vent D/G*",SAISIE!$F$5:$F$204,$G$103)&gt;0)),"",IFERROR(INDEX(SAISIE!$D$5:$D$204,MATCH(_xlfn.MAXIFS(SAISIE!$E$5:$E$204,SAISIE!$B$5:$B$204,"*Vent D/G*",SAISIE!$F$5:$F$204,$G$103),SAISIE!$E$5:$E$204,0)),"-"))</f>
        <v/>
      </c>
      <c r="D108" s="6" t="str">
        <f>IF(OR($G$103="",NOT(_xlfn.MAXIFS(SAISIE!$E$5:$E$204,SAISIE!$B$5:$B$204,"*Vent D/G*",SAISIE!$F$5:$F$204,$G$103)&gt;0)),"",IFERROR(_xlfn.MAXIFS(SAISIE!$E$5:$E$204,SAISIE!$B$5:$B$204,"*Vent D/G*",SAISIE!$F$5:$F$204,$G$103),"-"))</f>
        <v/>
      </c>
      <c r="E108" s="6" t="str">
        <f>IF($G$103="","",IF(OR(D108="",D108="-"),"",IF(D108&gt;0,"(soulevement)",IF(D108&lt;0,"(compression)","-"))))</f>
        <v/>
      </c>
    </row>
    <row r="109" spans="1:7" x14ac:dyDescent="0.25">
      <c r="A109" s="5" t="str">
        <f>IF(OR($G$103="",NOT(COUNTIFS(SAISIE!$B$5:$B$204,"*Vent Av./Arr.*",SAISIE!$F$5:$F$204,$G$103)&gt;0)),"","Vent Av./Arr.")</f>
        <v/>
      </c>
      <c r="B109" s="6" t="str">
        <f>IF(OR($G$103="",NOT(COUNTIFS(SAISIE!$B$5:$B$204,"*Vent Av./Arr.*",SAISIE!$F$5:$F$204,$G$103)&gt;0)),"",IFERROR(IF(_xlfn.MINIFS(SAISIE!$E$5:$E$204,SAISIE!$B$5:$B$204,"*Vent Av./Arr.*",SAISIE!$F$5:$F$204,$G$103)&gt;=0,_xlfn.MAXIFS(SAISIE!$C$5:$C$204,SAISIE!$B$5:$B$204,"*Vent Av./Arr.*",SAISIE!$F$5:$F$204,$G$103),INDEX(SAISIE!$C$5:$C$204,MATCH(_xlfn.MINIFS(SAISIE!$E$5:$E$204,SAISIE!$B$5:$B$204,"*Vent Av./Arr.*",SAISIE!$F$5:$F$204,$G$103),SAISIE!$E$5:$E$204,0))),"-"))</f>
        <v/>
      </c>
      <c r="C109" s="6" t="str">
        <f>IF(OR($G$103="",NOT(COUNTIFS(SAISIE!$B$5:$B$204,"*Vent Av./Arr.*",SAISIE!$F$5:$F$204,$G$103)&gt;0)),"",IFERROR(IF(_xlfn.MINIFS(SAISIE!$E$5:$E$204,SAISIE!$B$5:$B$204,"*Vent Av./Arr.*",SAISIE!$F$5:$F$204,$G$103)&gt;=0,INDEX(SAISIE!$D$5:$D$204,MATCH(_xlfn.MAXIFS(SAISIE!$C$5:$C$204,SAISIE!$B$5:$B$204,"*Vent Av./Arr.*",SAISIE!$F$5:$F$204,$G$103),SAISIE!$C$5:$C$204,0)),INDEX(SAISIE!$D$5:$D$204,MATCH(_xlfn.MINIFS(SAISIE!$E$5:$E$204,SAISIE!$B$5:$B$204,"*Vent Av./Arr.*",SAISIE!$F$5:$F$204,$G$103),SAISIE!$E$5:$E$204,0))),"-"))</f>
        <v/>
      </c>
      <c r="D109" s="6" t="str">
        <f>IF(OR($G$103="",NOT(COUNTIFS(SAISIE!$B$5:$B$204,"*Vent Av./Arr.*",SAISIE!$F$5:$F$204,$G$103)&gt;0)),"",IFERROR(IF(_xlfn.MINIFS(SAISIE!$E$5:$E$204,SAISIE!$B$5:$B$204,"*Vent Av./Arr.*",SAISIE!$F$5:$F$204,$G$103)&gt;=0,0,_xlfn.MINIFS(SAISIE!$E$5:$E$204,SAISIE!$B$5:$B$204,"*Vent Av./Arr.*",SAISIE!$F$5:$F$204,$G$103)),"-"))</f>
        <v/>
      </c>
      <c r="E109" s="6" t="str">
        <f>IF($G$103="","",IF(OR(D109="",D109="-"),"",IF(D109&gt;0,"(soulevement)",IF(D109&lt;0,"(compression)","-"))))</f>
        <v/>
      </c>
    </row>
    <row r="110" spans="1:7" x14ac:dyDescent="0.25">
      <c r="A110" s="5" t="str">
        <f>IF(OR($G$103="",NOT(_xlfn.MAXIFS(SAISIE!$E$5:$E$204,SAISIE!$B$5:$B$204,"*Vent Av./Arr.*",SAISIE!$F$5:$F$204,$G$103)&gt;0)),"","Vent Av./Arr.")</f>
        <v/>
      </c>
      <c r="B110" s="6" t="str">
        <f>IF(OR($G$103="",NOT(_xlfn.MAXIFS(SAISIE!$E$5:$E$204,SAISIE!$B$5:$B$204,"*Vent Av./Arr.*",SAISIE!$F$5:$F$204,$G$103)&gt;0)),"",IFERROR(INDEX(SAISIE!$C$5:$C$204,MATCH(_xlfn.MAXIFS(SAISIE!$E$5:$E$204,SAISIE!$B$5:$B$204,"*Vent Av./Arr.*",SAISIE!$F$5:$F$204,$G$103),SAISIE!$E$5:$E$204,0)),"-"))</f>
        <v/>
      </c>
      <c r="C110" s="6" t="str">
        <f>IF(OR($G$103="",NOT(_xlfn.MAXIFS(SAISIE!$E$5:$E$204,SAISIE!$B$5:$B$204,"*Vent Av./Arr.*",SAISIE!$F$5:$F$204,$G$103)&gt;0)),"",IFERROR(INDEX(SAISIE!$D$5:$D$204,MATCH(_xlfn.MAXIFS(SAISIE!$E$5:$E$204,SAISIE!$B$5:$B$204,"*Vent Av./Arr.*",SAISIE!$F$5:$F$204,$G$103),SAISIE!$E$5:$E$204,0)),"-"))</f>
        <v/>
      </c>
      <c r="D110" s="6" t="str">
        <f>IF(OR($G$103="",NOT(_xlfn.MAXIFS(SAISIE!$E$5:$E$204,SAISIE!$B$5:$B$204,"*Vent Av./Arr.*",SAISIE!$F$5:$F$204,$G$103)&gt;0)),"",IFERROR(_xlfn.MAXIFS(SAISIE!$E$5:$E$204,SAISIE!$B$5:$B$204,"*Vent Av./Arr.*",SAISIE!$F$5:$F$204,$G$103),"-"))</f>
        <v/>
      </c>
      <c r="E110" s="6" t="str">
        <f>IF($G$103="","",IF(OR(D110="",D110="-"),"",IF(D110&gt;0,"(soulevement)",IF(D110&lt;0,"(compression)","-"))))</f>
        <v/>
      </c>
    </row>
    <row r="111" spans="1:7" x14ac:dyDescent="0.25">
      <c r="A111" s="5" t="str">
        <f>IF(OR($G$103="",NOT(COUNTIFS(SAISIE!$B$5:$B$204,"*Vent Arr./Av.*",SAISIE!$F$5:$F$204,$G$103)&gt;0)),"","Vent Arr./Av.")</f>
        <v/>
      </c>
      <c r="B111" s="6" t="str">
        <f>IF(OR($G$103="",NOT(COUNTIFS(SAISIE!$B$5:$B$204,"*Vent Arr./Av.*",SAISIE!$F$5:$F$204,$G$103)&gt;0)),"",IFERROR(IF(_xlfn.MINIFS(SAISIE!$E$5:$E$204,SAISIE!$B$5:$B$204,"*Vent Arr./Av.*",SAISIE!$F$5:$F$204,$G$103)&gt;=0,_xlfn.MAXIFS(SAISIE!$C$5:$C$204,SAISIE!$B$5:$B$204,"*Vent Arr./Av.*",SAISIE!$F$5:$F$204,$G$103),INDEX(SAISIE!$C$5:$C$204,MATCH(_xlfn.MINIFS(SAISIE!$E$5:$E$204,SAISIE!$B$5:$B$204,"*Vent Arr./Av.*",SAISIE!$F$5:$F$204,$G$103),SAISIE!$E$5:$E$204,0))),"-"))</f>
        <v/>
      </c>
      <c r="C111" s="6" t="str">
        <f>IF(OR($G$103="",NOT(COUNTIFS(SAISIE!$B$5:$B$204,"*Vent Arr./Av.*",SAISIE!$F$5:$F$204,$G$103)&gt;0)),"",IFERROR(IF(_xlfn.MINIFS(SAISIE!$E$5:$E$204,SAISIE!$B$5:$B$204,"*Vent Arr./Av.*",SAISIE!$F$5:$F$204,$G$103)&gt;=0,INDEX(SAISIE!$D$5:$D$204,MATCH(_xlfn.MAXIFS(SAISIE!$C$5:$C$204,SAISIE!$B$5:$B$204,"*Vent Arr./Av.*",SAISIE!$F$5:$F$204,$G$103),SAISIE!$C$5:$C$204,0)),INDEX(SAISIE!$D$5:$D$204,MATCH(_xlfn.MINIFS(SAISIE!$E$5:$E$204,SAISIE!$B$5:$B$204,"*Vent Arr./Av.*",SAISIE!$F$5:$F$204,$G$103),SAISIE!$E$5:$E$204,0))),"-"))</f>
        <v/>
      </c>
      <c r="D111" s="6" t="str">
        <f>IF(OR($G$103="",NOT(COUNTIFS(SAISIE!$B$5:$B$204,"*Vent Arr./Av.*",SAISIE!$F$5:$F$204,$G$103)&gt;0)),"",IFERROR(IF(_xlfn.MINIFS(SAISIE!$E$5:$E$204,SAISIE!$B$5:$B$204,"*Vent Arr./Av.*",SAISIE!$F$5:$F$204,$G$103)&gt;=0,0,_xlfn.MINIFS(SAISIE!$E$5:$E$204,SAISIE!$B$5:$B$204,"*Vent Arr./Av.*",SAISIE!$F$5:$F$204,$G$103)),"-"))</f>
        <v/>
      </c>
      <c r="E111" s="6" t="str">
        <f>IF($G$103="","",IF(OR(D111="",D111="-"),"",IF(D111&gt;0,"(soulevement)",IF(D111&lt;0,"(compression)","-"))))</f>
        <v/>
      </c>
    </row>
    <row r="112" spans="1:7" x14ac:dyDescent="0.25">
      <c r="A112" s="5" t="str">
        <f>IF(OR($G$103="",NOT(_xlfn.MAXIFS(SAISIE!$E$5:$E$204,SAISIE!$B$5:$B$204,"*Vent Arr./Av.*",SAISIE!$F$5:$F$204,$G$103)&gt;0)),"","Vent Arr./Av.")</f>
        <v/>
      </c>
      <c r="B112" s="6" t="str">
        <f>IF(OR($G$103="",NOT(_xlfn.MAXIFS(SAISIE!$E$5:$E$204,SAISIE!$B$5:$B$204,"*Vent Arr./Av.*",SAISIE!$F$5:$F$204,$G$103)&gt;0)),"",IFERROR(INDEX(SAISIE!$C$5:$C$204,MATCH(_xlfn.MAXIFS(SAISIE!$E$5:$E$204,SAISIE!$B$5:$B$204,"*Vent Arr./Av.*",SAISIE!$F$5:$F$204,$G$103),SAISIE!$E$5:$E$204,0)),"-"))</f>
        <v/>
      </c>
      <c r="C112" s="6" t="str">
        <f>IF(OR($G$103="",NOT(_xlfn.MAXIFS(SAISIE!$E$5:$E$204,SAISIE!$B$5:$B$204,"*Vent Arr./Av.*",SAISIE!$F$5:$F$204,$G$103)&gt;0)),"",IFERROR(INDEX(SAISIE!$D$5:$D$204,MATCH(_xlfn.MAXIFS(SAISIE!$E$5:$E$204,SAISIE!$B$5:$B$204,"*Vent Arr./Av.*",SAISIE!$F$5:$F$204,$G$103),SAISIE!$E$5:$E$204,0)),"-"))</f>
        <v/>
      </c>
      <c r="D112" s="6" t="str">
        <f>IF(OR($G$103="",NOT(_xlfn.MAXIFS(SAISIE!$E$5:$E$204,SAISIE!$B$5:$B$204,"*Vent Arr./Av.*",SAISIE!$F$5:$F$204,$G$103)&gt;0)),"",IFERROR(_xlfn.MAXIFS(SAISIE!$E$5:$E$204,SAISIE!$B$5:$B$204,"*Vent Arr./Av.*",SAISIE!$F$5:$F$204,$G$103),"-"))</f>
        <v/>
      </c>
      <c r="E112" s="6" t="str">
        <f>IF($G$103="","",IF(OR(D112="",D112="-"),"",IF(D112&gt;0,"(soulevement)",IF(D112&lt;0,"(compression)","-"))))</f>
        <v/>
      </c>
    </row>
    <row r="113" spans="1:7" x14ac:dyDescent="0.25">
      <c r="A113" s="5" t="str">
        <f>IF(OR($G$103="",NOT(TRUE)),"","Neige normale")</f>
        <v/>
      </c>
      <c r="B113" s="6" t="str">
        <f>IF($G$103="","",IFERROR(INDEX(SAISIE!$C$5:$C$204,MATCH(_xlfn.MINIFS(SAISIE!$E$5:$E$204,SAISIE!$B$5:$B$204,"*Neige*",SAISIE!$B$5:$B$204,"&lt;&gt;*accidentel*",SAISIE!$F$5:$F$204,$G$103),SAISIE!$E$5:$E$204,0)),"-"))</f>
        <v/>
      </c>
      <c r="C113" s="6" t="str">
        <f>IF($G$103="","",IFERROR(INDEX(SAISIE!$D$5:$D$204,MATCH(_xlfn.MINIFS(SAISIE!$E$5:$E$204,SAISIE!$B$5:$B$204,"*Neige*",SAISIE!$B$5:$B$204,"&lt;&gt;*accidentel*",SAISIE!$F$5:$F$204,$G$103),SAISIE!$E$5:$E$204,0)),"-"))</f>
        <v/>
      </c>
      <c r="D113" s="6" t="str">
        <f>IF($G$103="","",IFERROR(INDEX(SAISIE!$E$5:$E$204,MATCH(_xlfn.MINIFS(SAISIE!$E$5:$E$204,SAISIE!$B$5:$B$204,"*Neige*",SAISIE!$B$5:$B$204,"&lt;&gt;*accidentel*",SAISIE!$F$5:$F$204,$G$103),SAISIE!$E$5:$E$204,0)),"-"))</f>
        <v/>
      </c>
      <c r="E113" s="6" t="str">
        <f>IF($G$103="","",IF(OR(D113="",D113="-"),"",IF(D113&gt;0,"(soulevement)",IF(D113&lt;0,"(compression)","-"))))</f>
        <v/>
      </c>
    </row>
    <row r="114" spans="1:7" x14ac:dyDescent="0.25">
      <c r="A114" s="5" t="str">
        <f>IF(OR($G$103="",NOT(TRUE)),"","Neige accidentelle")</f>
        <v/>
      </c>
      <c r="B114" s="6" t="str">
        <f>IF($G$103="","",IFERROR(LOOKUP(2,1/((SAISIE!$F$5:$F$204=$G$103)*(ISNUMBER(SEARCH("accidentel",SAISIE!$B$5:$B$204)))),SAISIE!$C$5:$C$204),"-"))</f>
        <v/>
      </c>
      <c r="C114" s="6" t="str">
        <f>IF($G$103="","",IFERROR(LOOKUP(2,1/((SAISIE!$F$5:$F$204=$G$103)*(ISNUMBER(SEARCH("accidentel",SAISIE!$B$5:$B$204)))),SAISIE!$D$5:$D$204),"-"))</f>
        <v/>
      </c>
      <c r="D114" s="6" t="str">
        <f>IF($G$103="","",IFERROR(LOOKUP(2,1/((SAISIE!$F$5:$F$204=$G$103)*(ISNUMBER(SEARCH("accidentel",SAISIE!$B$5:$B$204)))),SAISIE!$E$5:$E$204),"-"))</f>
        <v/>
      </c>
      <c r="E114" s="6" t="str">
        <f>IF($G$103="","",IF(OR(D114="",D114="-"),"",IF(D114&gt;0,"(soulevement)",IF(D114&lt;0,"(compression)","-"))))</f>
        <v/>
      </c>
    </row>
    <row r="115" spans="1:7" ht="15.75" x14ac:dyDescent="0.25">
      <c r="A115" s="11" t="str">
        <f>IF($G$115="","","Noeud "&amp;$G$115)</f>
        <v/>
      </c>
      <c r="B115" s="12"/>
      <c r="C115" s="12"/>
      <c r="D115" s="12"/>
      <c r="E115" s="12"/>
      <c r="G115" t="str">
        <f>IFERROR(INDEX(SAISIE!$F$5:$F$204,_xlfn.AGGREGATE(15,6,ROW(SAISIE!$F$5:$F$204)-ROW(SAISIE!$F$5)+1/(SAISIE!$F$5:$F$204&lt;&gt;"")/(COUNTIF($G$4:G114,SAISIE!$F$5:$F$204)=0),1)),"")</f>
        <v/>
      </c>
    </row>
    <row r="116" spans="1:7" x14ac:dyDescent="0.25">
      <c r="A116" s="5" t="str">
        <f>IF(OR($G$115="",NOT(TRUE)),"","Couverture")</f>
        <v/>
      </c>
      <c r="B116" s="6" t="str">
        <f>IF($G$115="","",IFERROR(IFERROR(LOOKUP(2,1/((SAISIE!$F$5:$F$204=$G$115)*(LEFT(SAISIE!$B$5:$B$204,2)="G ")),SAISIE!$C$5:$C$204),LOOKUP(2,1/((SAISIE!$F$5:$F$204=$G$115)*(ISNUMBER(SEARCH("Couverture",SAISIE!$B$5:$B$204)))),SAISIE!$C$5:$C$204)),"-"))</f>
        <v/>
      </c>
      <c r="C116" s="6" t="str">
        <f>IF($G$115="","",IFERROR(IFERROR(LOOKUP(2,1/((SAISIE!$F$5:$F$204=$G$115)*(LEFT(SAISIE!$B$5:$B$204,2)="G ")),SAISIE!$D$5:$D$204),LOOKUP(2,1/((SAISIE!$F$5:$F$204=$G$115)*(ISNUMBER(SEARCH("Couverture",SAISIE!$B$5:$B$204)))),SAISIE!$D$5:$D$204)),"-"))</f>
        <v/>
      </c>
      <c r="D116" s="6" t="str">
        <f>IF($G$115="","",IFERROR(IFERROR(LOOKUP(2,1/((SAISIE!$F$5:$F$204=$G$115)*(LEFT(SAISIE!$B$5:$B$204,2)="G ")),SAISIE!$E$5:$E$204),LOOKUP(2,1/((SAISIE!$F$5:$F$204=$G$115)*(ISNUMBER(SEARCH("Couverture",SAISIE!$B$5:$B$204)))),SAISIE!$E$5:$E$204)),"-"))</f>
        <v/>
      </c>
      <c r="E116" s="6" t="str">
        <f>IF($G$115="","",IF(OR(D116="",D116="-"),"",IF(D116&gt;0,"(soulevement)",IF(D116&lt;0,"(compression)","-"))))</f>
        <v/>
      </c>
    </row>
    <row r="117" spans="1:7" x14ac:dyDescent="0.25">
      <c r="A117" s="5" t="str">
        <f>IF(OR($G$115="",NOT(COUNTIFS(SAISIE!$B$5:$B$204,"*Vent G/D*",SAISIE!$F$5:$F$204,$G$115)&gt;0)),"","Vent G/D")</f>
        <v/>
      </c>
      <c r="B117" s="6" t="str">
        <f>IF(OR($G$115="",NOT(COUNTIFS(SAISIE!$B$5:$B$204,"*Vent G/D*",SAISIE!$F$5:$F$204,$G$115)&gt;0)),"",IFERROR(IF(_xlfn.MINIFS(SAISIE!$E$5:$E$204,SAISIE!$B$5:$B$204,"*Vent G/D*",SAISIE!$F$5:$F$204,$G$115)&gt;=0,_xlfn.MAXIFS(SAISIE!$C$5:$C$204,SAISIE!$B$5:$B$204,"*Vent G/D*",SAISIE!$F$5:$F$204,$G$115),INDEX(SAISIE!$C$5:$C$204,MATCH(_xlfn.MINIFS(SAISIE!$E$5:$E$204,SAISIE!$B$5:$B$204,"*Vent G/D*",SAISIE!$F$5:$F$204,$G$115),SAISIE!$E$5:$E$204,0))),"-"))</f>
        <v/>
      </c>
      <c r="C117" s="6" t="str">
        <f>IF(OR($G$115="",NOT(COUNTIFS(SAISIE!$B$5:$B$204,"*Vent G/D*",SAISIE!$F$5:$F$204,$G$115)&gt;0)),"",IFERROR(IF(_xlfn.MINIFS(SAISIE!$E$5:$E$204,SAISIE!$B$5:$B$204,"*Vent G/D*",SAISIE!$F$5:$F$204,$G$115)&gt;=0,INDEX(SAISIE!$D$5:$D$204,MATCH(_xlfn.MAXIFS(SAISIE!$C$5:$C$204,SAISIE!$B$5:$B$204,"*Vent G/D*",SAISIE!$F$5:$F$204,$G$115),SAISIE!$C$5:$C$204,0)),INDEX(SAISIE!$D$5:$D$204,MATCH(_xlfn.MINIFS(SAISIE!$E$5:$E$204,SAISIE!$B$5:$B$204,"*Vent G/D*",SAISIE!$F$5:$F$204,$G$115),SAISIE!$E$5:$E$204,0))),"-"))</f>
        <v/>
      </c>
      <c r="D117" s="6" t="str">
        <f>IF(OR($G$115="",NOT(COUNTIFS(SAISIE!$B$5:$B$204,"*Vent G/D*",SAISIE!$F$5:$F$204,$G$115)&gt;0)),"",IFERROR(IF(_xlfn.MINIFS(SAISIE!$E$5:$E$204,SAISIE!$B$5:$B$204,"*Vent G/D*",SAISIE!$F$5:$F$204,$G$115)&gt;=0,0,_xlfn.MINIFS(SAISIE!$E$5:$E$204,SAISIE!$B$5:$B$204,"*Vent G/D*",SAISIE!$F$5:$F$204,$G$115)),"-"))</f>
        <v/>
      </c>
      <c r="E117" s="6" t="str">
        <f>IF($G$115="","",IF(OR(D117="",D117="-"),"",IF(D117&gt;0,"(soulevement)",IF(D117&lt;0,"(compression)","-"))))</f>
        <v/>
      </c>
    </row>
    <row r="118" spans="1:7" x14ac:dyDescent="0.25">
      <c r="A118" s="5" t="str">
        <f>IF(OR($G$115="",NOT(_xlfn.MAXIFS(SAISIE!$E$5:$E$204,SAISIE!$B$5:$B$204,"*Vent G/D*",SAISIE!$F$5:$F$204,$G$115)&gt;0)),"","Vent G/D")</f>
        <v/>
      </c>
      <c r="B118" s="6" t="str">
        <f>IF(OR($G$115="",NOT(_xlfn.MAXIFS(SAISIE!$E$5:$E$204,SAISIE!$B$5:$B$204,"*Vent G/D*",SAISIE!$F$5:$F$204,$G$115)&gt;0)),"",IFERROR(INDEX(SAISIE!$C$5:$C$204,MATCH(_xlfn.MAXIFS(SAISIE!$E$5:$E$204,SAISIE!$B$5:$B$204,"*Vent G/D*",SAISIE!$F$5:$F$204,$G$115),SAISIE!$E$5:$E$204,0)),"-"))</f>
        <v/>
      </c>
      <c r="C118" s="6" t="str">
        <f>IF(OR($G$115="",NOT(_xlfn.MAXIFS(SAISIE!$E$5:$E$204,SAISIE!$B$5:$B$204,"*Vent G/D*",SAISIE!$F$5:$F$204,$G$115)&gt;0)),"",IFERROR(INDEX(SAISIE!$D$5:$D$204,MATCH(_xlfn.MAXIFS(SAISIE!$E$5:$E$204,SAISIE!$B$5:$B$204,"*Vent G/D*",SAISIE!$F$5:$F$204,$G$115),SAISIE!$E$5:$E$204,0)),"-"))</f>
        <v/>
      </c>
      <c r="D118" s="6" t="str">
        <f>IF(OR($G$115="",NOT(_xlfn.MAXIFS(SAISIE!$E$5:$E$204,SAISIE!$B$5:$B$204,"*Vent G/D*",SAISIE!$F$5:$F$204,$G$115)&gt;0)),"",IFERROR(_xlfn.MAXIFS(SAISIE!$E$5:$E$204,SAISIE!$B$5:$B$204,"*Vent G/D*",SAISIE!$F$5:$F$204,$G$115),"-"))</f>
        <v/>
      </c>
      <c r="E118" s="6" t="str">
        <f>IF($G$115="","",IF(OR(D118="",D118="-"),"",IF(D118&gt;0,"(soulevement)",IF(D118&lt;0,"(compression)","-"))))</f>
        <v/>
      </c>
    </row>
    <row r="119" spans="1:7" x14ac:dyDescent="0.25">
      <c r="A119" s="5" t="str">
        <f>IF(OR($G$115="",NOT(COUNTIFS(SAISIE!$B$5:$B$204,"*Vent D/G*",SAISIE!$F$5:$F$204,$G$115)&gt;0)),"","Vent D/G")</f>
        <v/>
      </c>
      <c r="B119" s="6" t="str">
        <f>IF(OR($G$115="",NOT(COUNTIFS(SAISIE!$B$5:$B$204,"*Vent D/G*",SAISIE!$F$5:$F$204,$G$115)&gt;0)),"",IFERROR(IF(_xlfn.MINIFS(SAISIE!$E$5:$E$204,SAISIE!$B$5:$B$204,"*Vent D/G*",SAISIE!$F$5:$F$204,$G$115)&gt;=0,_xlfn.MAXIFS(SAISIE!$C$5:$C$204,SAISIE!$B$5:$B$204,"*Vent D/G*",SAISIE!$F$5:$F$204,$G$115),INDEX(SAISIE!$C$5:$C$204,MATCH(_xlfn.MINIFS(SAISIE!$E$5:$E$204,SAISIE!$B$5:$B$204,"*Vent D/G*",SAISIE!$F$5:$F$204,$G$115),SAISIE!$E$5:$E$204,0))),"-"))</f>
        <v/>
      </c>
      <c r="C119" s="6" t="str">
        <f>IF(OR($G$115="",NOT(COUNTIFS(SAISIE!$B$5:$B$204,"*Vent D/G*",SAISIE!$F$5:$F$204,$G$115)&gt;0)),"",IFERROR(IF(_xlfn.MINIFS(SAISIE!$E$5:$E$204,SAISIE!$B$5:$B$204,"*Vent D/G*",SAISIE!$F$5:$F$204,$G$115)&gt;=0,INDEX(SAISIE!$D$5:$D$204,MATCH(_xlfn.MAXIFS(SAISIE!$C$5:$C$204,SAISIE!$B$5:$B$204,"*Vent D/G*",SAISIE!$F$5:$F$204,$G$115),SAISIE!$C$5:$C$204,0)),INDEX(SAISIE!$D$5:$D$204,MATCH(_xlfn.MINIFS(SAISIE!$E$5:$E$204,SAISIE!$B$5:$B$204,"*Vent D/G*",SAISIE!$F$5:$F$204,$G$115),SAISIE!$E$5:$E$204,0))),"-"))</f>
        <v/>
      </c>
      <c r="D119" s="6" t="str">
        <f>IF(OR($G$115="",NOT(COUNTIFS(SAISIE!$B$5:$B$204,"*Vent D/G*",SAISIE!$F$5:$F$204,$G$115)&gt;0)),"",IFERROR(IF(_xlfn.MINIFS(SAISIE!$E$5:$E$204,SAISIE!$B$5:$B$204,"*Vent D/G*",SAISIE!$F$5:$F$204,$G$115)&gt;=0,0,_xlfn.MINIFS(SAISIE!$E$5:$E$204,SAISIE!$B$5:$B$204,"*Vent D/G*",SAISIE!$F$5:$F$204,$G$115)),"-"))</f>
        <v/>
      </c>
      <c r="E119" s="6" t="str">
        <f>IF($G$115="","",IF(OR(D119="",D119="-"),"",IF(D119&gt;0,"(soulevement)",IF(D119&lt;0,"(compression)","-"))))</f>
        <v/>
      </c>
    </row>
    <row r="120" spans="1:7" x14ac:dyDescent="0.25">
      <c r="A120" s="5" t="str">
        <f>IF(OR($G$115="",NOT(_xlfn.MAXIFS(SAISIE!$E$5:$E$204,SAISIE!$B$5:$B$204,"*Vent D/G*",SAISIE!$F$5:$F$204,$G$115)&gt;0)),"","Vent D/G")</f>
        <v/>
      </c>
      <c r="B120" s="6" t="str">
        <f>IF(OR($G$115="",NOT(_xlfn.MAXIFS(SAISIE!$E$5:$E$204,SAISIE!$B$5:$B$204,"*Vent D/G*",SAISIE!$F$5:$F$204,$G$115)&gt;0)),"",IFERROR(INDEX(SAISIE!$C$5:$C$204,MATCH(_xlfn.MAXIFS(SAISIE!$E$5:$E$204,SAISIE!$B$5:$B$204,"*Vent D/G*",SAISIE!$F$5:$F$204,$G$115),SAISIE!$E$5:$E$204,0)),"-"))</f>
        <v/>
      </c>
      <c r="C120" s="6" t="str">
        <f>IF(OR($G$115="",NOT(_xlfn.MAXIFS(SAISIE!$E$5:$E$204,SAISIE!$B$5:$B$204,"*Vent D/G*",SAISIE!$F$5:$F$204,$G$115)&gt;0)),"",IFERROR(INDEX(SAISIE!$D$5:$D$204,MATCH(_xlfn.MAXIFS(SAISIE!$E$5:$E$204,SAISIE!$B$5:$B$204,"*Vent D/G*",SAISIE!$F$5:$F$204,$G$115),SAISIE!$E$5:$E$204,0)),"-"))</f>
        <v/>
      </c>
      <c r="D120" s="6" t="str">
        <f>IF(OR($G$115="",NOT(_xlfn.MAXIFS(SAISIE!$E$5:$E$204,SAISIE!$B$5:$B$204,"*Vent D/G*",SAISIE!$F$5:$F$204,$G$115)&gt;0)),"",IFERROR(_xlfn.MAXIFS(SAISIE!$E$5:$E$204,SAISIE!$B$5:$B$204,"*Vent D/G*",SAISIE!$F$5:$F$204,$G$115),"-"))</f>
        <v/>
      </c>
      <c r="E120" s="6" t="str">
        <f>IF($G$115="","",IF(OR(D120="",D120="-"),"",IF(D120&gt;0,"(soulevement)",IF(D120&lt;0,"(compression)","-"))))</f>
        <v/>
      </c>
    </row>
    <row r="121" spans="1:7" x14ac:dyDescent="0.25">
      <c r="A121" s="5" t="str">
        <f>IF(OR($G$115="",NOT(COUNTIFS(SAISIE!$B$5:$B$204,"*Vent Av./Arr.*",SAISIE!$F$5:$F$204,$G$115)&gt;0)),"","Vent Av./Arr.")</f>
        <v/>
      </c>
      <c r="B121" s="6" t="str">
        <f>IF(OR($G$115="",NOT(COUNTIFS(SAISIE!$B$5:$B$204,"*Vent Av./Arr.*",SAISIE!$F$5:$F$204,$G$115)&gt;0)),"",IFERROR(IF(_xlfn.MINIFS(SAISIE!$E$5:$E$204,SAISIE!$B$5:$B$204,"*Vent Av./Arr.*",SAISIE!$F$5:$F$204,$G$115)&gt;=0,_xlfn.MAXIFS(SAISIE!$C$5:$C$204,SAISIE!$B$5:$B$204,"*Vent Av./Arr.*",SAISIE!$F$5:$F$204,$G$115),INDEX(SAISIE!$C$5:$C$204,MATCH(_xlfn.MINIFS(SAISIE!$E$5:$E$204,SAISIE!$B$5:$B$204,"*Vent Av./Arr.*",SAISIE!$F$5:$F$204,$G$115),SAISIE!$E$5:$E$204,0))),"-"))</f>
        <v/>
      </c>
      <c r="C121" s="6" t="str">
        <f>IF(OR($G$115="",NOT(COUNTIFS(SAISIE!$B$5:$B$204,"*Vent Av./Arr.*",SAISIE!$F$5:$F$204,$G$115)&gt;0)),"",IFERROR(IF(_xlfn.MINIFS(SAISIE!$E$5:$E$204,SAISIE!$B$5:$B$204,"*Vent Av./Arr.*",SAISIE!$F$5:$F$204,$G$115)&gt;=0,INDEX(SAISIE!$D$5:$D$204,MATCH(_xlfn.MAXIFS(SAISIE!$C$5:$C$204,SAISIE!$B$5:$B$204,"*Vent Av./Arr.*",SAISIE!$F$5:$F$204,$G$115),SAISIE!$C$5:$C$204,0)),INDEX(SAISIE!$D$5:$D$204,MATCH(_xlfn.MINIFS(SAISIE!$E$5:$E$204,SAISIE!$B$5:$B$204,"*Vent Av./Arr.*",SAISIE!$F$5:$F$204,$G$115),SAISIE!$E$5:$E$204,0))),"-"))</f>
        <v/>
      </c>
      <c r="D121" s="6" t="str">
        <f>IF(OR($G$115="",NOT(COUNTIFS(SAISIE!$B$5:$B$204,"*Vent Av./Arr.*",SAISIE!$F$5:$F$204,$G$115)&gt;0)),"",IFERROR(IF(_xlfn.MINIFS(SAISIE!$E$5:$E$204,SAISIE!$B$5:$B$204,"*Vent Av./Arr.*",SAISIE!$F$5:$F$204,$G$115)&gt;=0,0,_xlfn.MINIFS(SAISIE!$E$5:$E$204,SAISIE!$B$5:$B$204,"*Vent Av./Arr.*",SAISIE!$F$5:$F$204,$G$115)),"-"))</f>
        <v/>
      </c>
      <c r="E121" s="6" t="str">
        <f>IF($G$115="","",IF(OR(D121="",D121="-"),"",IF(D121&gt;0,"(soulevement)",IF(D121&lt;0,"(compression)","-"))))</f>
        <v/>
      </c>
    </row>
    <row r="122" spans="1:7" x14ac:dyDescent="0.25">
      <c r="A122" s="5" t="str">
        <f>IF(OR($G$115="",NOT(_xlfn.MAXIFS(SAISIE!$E$5:$E$204,SAISIE!$B$5:$B$204,"*Vent Av./Arr.*",SAISIE!$F$5:$F$204,$G$115)&gt;0)),"","Vent Av./Arr.")</f>
        <v/>
      </c>
      <c r="B122" s="6" t="str">
        <f>IF(OR($G$115="",NOT(_xlfn.MAXIFS(SAISIE!$E$5:$E$204,SAISIE!$B$5:$B$204,"*Vent Av./Arr.*",SAISIE!$F$5:$F$204,$G$115)&gt;0)),"",IFERROR(INDEX(SAISIE!$C$5:$C$204,MATCH(_xlfn.MAXIFS(SAISIE!$E$5:$E$204,SAISIE!$B$5:$B$204,"*Vent Av./Arr.*",SAISIE!$F$5:$F$204,$G$115),SAISIE!$E$5:$E$204,0)),"-"))</f>
        <v/>
      </c>
      <c r="C122" s="6" t="str">
        <f>IF(OR($G$115="",NOT(_xlfn.MAXIFS(SAISIE!$E$5:$E$204,SAISIE!$B$5:$B$204,"*Vent Av./Arr.*",SAISIE!$F$5:$F$204,$G$115)&gt;0)),"",IFERROR(INDEX(SAISIE!$D$5:$D$204,MATCH(_xlfn.MAXIFS(SAISIE!$E$5:$E$204,SAISIE!$B$5:$B$204,"*Vent Av./Arr.*",SAISIE!$F$5:$F$204,$G$115),SAISIE!$E$5:$E$204,0)),"-"))</f>
        <v/>
      </c>
      <c r="D122" s="6" t="str">
        <f>IF(OR($G$115="",NOT(_xlfn.MAXIFS(SAISIE!$E$5:$E$204,SAISIE!$B$5:$B$204,"*Vent Av./Arr.*",SAISIE!$F$5:$F$204,$G$115)&gt;0)),"",IFERROR(_xlfn.MAXIFS(SAISIE!$E$5:$E$204,SAISIE!$B$5:$B$204,"*Vent Av./Arr.*",SAISIE!$F$5:$F$204,$G$115),"-"))</f>
        <v/>
      </c>
      <c r="E122" s="6" t="str">
        <f>IF($G$115="","",IF(OR(D122="",D122="-"),"",IF(D122&gt;0,"(soulevement)",IF(D122&lt;0,"(compression)","-"))))</f>
        <v/>
      </c>
    </row>
    <row r="123" spans="1:7" x14ac:dyDescent="0.25">
      <c r="A123" s="5" t="str">
        <f>IF(OR($G$115="",NOT(COUNTIFS(SAISIE!$B$5:$B$204,"*Vent Arr./Av.*",SAISIE!$F$5:$F$204,$G$115)&gt;0)),"","Vent Arr./Av.")</f>
        <v/>
      </c>
      <c r="B123" s="6" t="str">
        <f>IF(OR($G$115="",NOT(COUNTIFS(SAISIE!$B$5:$B$204,"*Vent Arr./Av.*",SAISIE!$F$5:$F$204,$G$115)&gt;0)),"",IFERROR(IF(_xlfn.MINIFS(SAISIE!$E$5:$E$204,SAISIE!$B$5:$B$204,"*Vent Arr./Av.*",SAISIE!$F$5:$F$204,$G$115)&gt;=0,_xlfn.MAXIFS(SAISIE!$C$5:$C$204,SAISIE!$B$5:$B$204,"*Vent Arr./Av.*",SAISIE!$F$5:$F$204,$G$115),INDEX(SAISIE!$C$5:$C$204,MATCH(_xlfn.MINIFS(SAISIE!$E$5:$E$204,SAISIE!$B$5:$B$204,"*Vent Arr./Av.*",SAISIE!$F$5:$F$204,$G$115),SAISIE!$E$5:$E$204,0))),"-"))</f>
        <v/>
      </c>
      <c r="C123" s="6" t="str">
        <f>IF(OR($G$115="",NOT(COUNTIFS(SAISIE!$B$5:$B$204,"*Vent Arr./Av.*",SAISIE!$F$5:$F$204,$G$115)&gt;0)),"",IFERROR(IF(_xlfn.MINIFS(SAISIE!$E$5:$E$204,SAISIE!$B$5:$B$204,"*Vent Arr./Av.*",SAISIE!$F$5:$F$204,$G$115)&gt;=0,INDEX(SAISIE!$D$5:$D$204,MATCH(_xlfn.MAXIFS(SAISIE!$C$5:$C$204,SAISIE!$B$5:$B$204,"*Vent Arr./Av.*",SAISIE!$F$5:$F$204,$G$115),SAISIE!$C$5:$C$204,0)),INDEX(SAISIE!$D$5:$D$204,MATCH(_xlfn.MINIFS(SAISIE!$E$5:$E$204,SAISIE!$B$5:$B$204,"*Vent Arr./Av.*",SAISIE!$F$5:$F$204,$G$115),SAISIE!$E$5:$E$204,0))),"-"))</f>
        <v/>
      </c>
      <c r="D123" s="6" t="str">
        <f>IF(OR($G$115="",NOT(COUNTIFS(SAISIE!$B$5:$B$204,"*Vent Arr./Av.*",SAISIE!$F$5:$F$204,$G$115)&gt;0)),"",IFERROR(IF(_xlfn.MINIFS(SAISIE!$E$5:$E$204,SAISIE!$B$5:$B$204,"*Vent Arr./Av.*",SAISIE!$F$5:$F$204,$G$115)&gt;=0,0,_xlfn.MINIFS(SAISIE!$E$5:$E$204,SAISIE!$B$5:$B$204,"*Vent Arr./Av.*",SAISIE!$F$5:$F$204,$G$115)),"-"))</f>
        <v/>
      </c>
      <c r="E123" s="6" t="str">
        <f>IF($G$115="","",IF(OR(D123="",D123="-"),"",IF(D123&gt;0,"(soulevement)",IF(D123&lt;0,"(compression)","-"))))</f>
        <v/>
      </c>
    </row>
    <row r="124" spans="1:7" x14ac:dyDescent="0.25">
      <c r="A124" s="5" t="str">
        <f>IF(OR($G$115="",NOT(_xlfn.MAXIFS(SAISIE!$E$5:$E$204,SAISIE!$B$5:$B$204,"*Vent Arr./Av.*",SAISIE!$F$5:$F$204,$G$115)&gt;0)),"","Vent Arr./Av.")</f>
        <v/>
      </c>
      <c r="B124" s="6" t="str">
        <f>IF(OR($G$115="",NOT(_xlfn.MAXIFS(SAISIE!$E$5:$E$204,SAISIE!$B$5:$B$204,"*Vent Arr./Av.*",SAISIE!$F$5:$F$204,$G$115)&gt;0)),"",IFERROR(INDEX(SAISIE!$C$5:$C$204,MATCH(_xlfn.MAXIFS(SAISIE!$E$5:$E$204,SAISIE!$B$5:$B$204,"*Vent Arr./Av.*",SAISIE!$F$5:$F$204,$G$115),SAISIE!$E$5:$E$204,0)),"-"))</f>
        <v/>
      </c>
      <c r="C124" s="6" t="str">
        <f>IF(OR($G$115="",NOT(_xlfn.MAXIFS(SAISIE!$E$5:$E$204,SAISIE!$B$5:$B$204,"*Vent Arr./Av.*",SAISIE!$F$5:$F$204,$G$115)&gt;0)),"",IFERROR(INDEX(SAISIE!$D$5:$D$204,MATCH(_xlfn.MAXIFS(SAISIE!$E$5:$E$204,SAISIE!$B$5:$B$204,"*Vent Arr./Av.*",SAISIE!$F$5:$F$204,$G$115),SAISIE!$E$5:$E$204,0)),"-"))</f>
        <v/>
      </c>
      <c r="D124" s="6" t="str">
        <f>IF(OR($G$115="",NOT(_xlfn.MAXIFS(SAISIE!$E$5:$E$204,SAISIE!$B$5:$B$204,"*Vent Arr./Av.*",SAISIE!$F$5:$F$204,$G$115)&gt;0)),"",IFERROR(_xlfn.MAXIFS(SAISIE!$E$5:$E$204,SAISIE!$B$5:$B$204,"*Vent Arr./Av.*",SAISIE!$F$5:$F$204,$G$115),"-"))</f>
        <v/>
      </c>
      <c r="E124" s="6" t="str">
        <f>IF($G$115="","",IF(OR(D124="",D124="-"),"",IF(D124&gt;0,"(soulevement)",IF(D124&lt;0,"(compression)","-"))))</f>
        <v/>
      </c>
    </row>
    <row r="125" spans="1:7" x14ac:dyDescent="0.25">
      <c r="A125" s="5" t="str">
        <f>IF(OR($G$115="",NOT(TRUE)),"","Neige normale")</f>
        <v/>
      </c>
      <c r="B125" s="6" t="str">
        <f>IF($G$115="","",IFERROR(INDEX(SAISIE!$C$5:$C$204,MATCH(_xlfn.MINIFS(SAISIE!$E$5:$E$204,SAISIE!$B$5:$B$204,"*Neige*",SAISIE!$B$5:$B$204,"&lt;&gt;*accidentel*",SAISIE!$F$5:$F$204,$G$115),SAISIE!$E$5:$E$204,0)),"-"))</f>
        <v/>
      </c>
      <c r="C125" s="6" t="str">
        <f>IF($G$115="","",IFERROR(INDEX(SAISIE!$D$5:$D$204,MATCH(_xlfn.MINIFS(SAISIE!$E$5:$E$204,SAISIE!$B$5:$B$204,"*Neige*",SAISIE!$B$5:$B$204,"&lt;&gt;*accidentel*",SAISIE!$F$5:$F$204,$G$115),SAISIE!$E$5:$E$204,0)),"-"))</f>
        <v/>
      </c>
      <c r="D125" s="6" t="str">
        <f>IF($G$115="","",IFERROR(INDEX(SAISIE!$E$5:$E$204,MATCH(_xlfn.MINIFS(SAISIE!$E$5:$E$204,SAISIE!$B$5:$B$204,"*Neige*",SAISIE!$B$5:$B$204,"&lt;&gt;*accidentel*",SAISIE!$F$5:$F$204,$G$115),SAISIE!$E$5:$E$204,0)),"-"))</f>
        <v/>
      </c>
      <c r="E125" s="6" t="str">
        <f>IF($G$115="","",IF(OR(D125="",D125="-"),"",IF(D125&gt;0,"(soulevement)",IF(D125&lt;0,"(compression)","-"))))</f>
        <v/>
      </c>
    </row>
    <row r="126" spans="1:7" x14ac:dyDescent="0.25">
      <c r="A126" s="5" t="str">
        <f>IF(OR($G$115="",NOT(TRUE)),"","Neige accidentelle")</f>
        <v/>
      </c>
      <c r="B126" s="6" t="str">
        <f>IF($G$115="","",IFERROR(LOOKUP(2,1/((SAISIE!$F$5:$F$204=$G$115)*(ISNUMBER(SEARCH("accidentel",SAISIE!$B$5:$B$204)))),SAISIE!$C$5:$C$204),"-"))</f>
        <v/>
      </c>
      <c r="C126" s="6" t="str">
        <f>IF($G$115="","",IFERROR(LOOKUP(2,1/((SAISIE!$F$5:$F$204=$G$115)*(ISNUMBER(SEARCH("accidentel",SAISIE!$B$5:$B$204)))),SAISIE!$D$5:$D$204),"-"))</f>
        <v/>
      </c>
      <c r="D126" s="6" t="str">
        <f>IF($G$115="","",IFERROR(LOOKUP(2,1/((SAISIE!$F$5:$F$204=$G$115)*(ISNUMBER(SEARCH("accidentel",SAISIE!$B$5:$B$204)))),SAISIE!$E$5:$E$204),"-"))</f>
        <v/>
      </c>
      <c r="E126" s="6" t="str">
        <f>IF($G$115="","",IF(OR(D126="",D126="-"),"",IF(D126&gt;0,"(soulevement)",IF(D126&lt;0,"(compression)","-"))))</f>
        <v/>
      </c>
    </row>
    <row r="127" spans="1:7" ht="15.75" x14ac:dyDescent="0.25">
      <c r="A127" s="11" t="str">
        <f>IF($G$127="","","Noeud "&amp;$G$127)</f>
        <v/>
      </c>
      <c r="B127" s="12"/>
      <c r="C127" s="12"/>
      <c r="D127" s="12"/>
      <c r="E127" s="12"/>
      <c r="G127" t="str">
        <f>IFERROR(INDEX(SAISIE!$F$5:$F$204,_xlfn.AGGREGATE(15,6,ROW(SAISIE!$F$5:$F$204)-ROW(SAISIE!$F$5)+1/(SAISIE!$F$5:$F$204&lt;&gt;"")/(COUNTIF($G$4:G126,SAISIE!$F$5:$F$204)=0),1)),"")</f>
        <v/>
      </c>
    </row>
    <row r="128" spans="1:7" x14ac:dyDescent="0.25">
      <c r="A128" s="5" t="str">
        <f>IF(OR($G$127="",NOT(TRUE)),"","Couverture")</f>
        <v/>
      </c>
      <c r="B128" s="6" t="str">
        <f>IF($G$127="","",IFERROR(IFERROR(LOOKUP(2,1/((SAISIE!$F$5:$F$204=$G$127)*(LEFT(SAISIE!$B$5:$B$204,2)="G ")),SAISIE!$C$5:$C$204),LOOKUP(2,1/((SAISIE!$F$5:$F$204=$G$127)*(ISNUMBER(SEARCH("Couverture",SAISIE!$B$5:$B$204)))),SAISIE!$C$5:$C$204)),"-"))</f>
        <v/>
      </c>
      <c r="C128" s="6" t="str">
        <f>IF($G$127="","",IFERROR(IFERROR(LOOKUP(2,1/((SAISIE!$F$5:$F$204=$G$127)*(LEFT(SAISIE!$B$5:$B$204,2)="G ")),SAISIE!$D$5:$D$204),LOOKUP(2,1/((SAISIE!$F$5:$F$204=$G$127)*(ISNUMBER(SEARCH("Couverture",SAISIE!$B$5:$B$204)))),SAISIE!$D$5:$D$204)),"-"))</f>
        <v/>
      </c>
      <c r="D128" s="6" t="str">
        <f>IF($G$127="","",IFERROR(IFERROR(LOOKUP(2,1/((SAISIE!$F$5:$F$204=$G$127)*(LEFT(SAISIE!$B$5:$B$204,2)="G ")),SAISIE!$E$5:$E$204),LOOKUP(2,1/((SAISIE!$F$5:$F$204=$G$127)*(ISNUMBER(SEARCH("Couverture",SAISIE!$B$5:$B$204)))),SAISIE!$E$5:$E$204)),"-"))</f>
        <v/>
      </c>
      <c r="E128" s="6" t="str">
        <f>IF($G$127="","",IF(OR(D128="",D128="-"),"",IF(D128&gt;0,"(soulevement)",IF(D128&lt;0,"(compression)","-"))))</f>
        <v/>
      </c>
    </row>
    <row r="129" spans="1:7" x14ac:dyDescent="0.25">
      <c r="A129" s="5" t="str">
        <f>IF(OR($G$127="",NOT(COUNTIFS(SAISIE!$B$5:$B$204,"*Vent G/D*",SAISIE!$F$5:$F$204,$G$127)&gt;0)),"","Vent G/D")</f>
        <v/>
      </c>
      <c r="B129" s="6" t="str">
        <f>IF(OR($G$127="",NOT(COUNTIFS(SAISIE!$B$5:$B$204,"*Vent G/D*",SAISIE!$F$5:$F$204,$G$127)&gt;0)),"",IFERROR(IF(_xlfn.MINIFS(SAISIE!$E$5:$E$204,SAISIE!$B$5:$B$204,"*Vent G/D*",SAISIE!$F$5:$F$204,$G$127)&gt;=0,_xlfn.MAXIFS(SAISIE!$C$5:$C$204,SAISIE!$B$5:$B$204,"*Vent G/D*",SAISIE!$F$5:$F$204,$G$127),INDEX(SAISIE!$C$5:$C$204,MATCH(_xlfn.MINIFS(SAISIE!$E$5:$E$204,SAISIE!$B$5:$B$204,"*Vent G/D*",SAISIE!$F$5:$F$204,$G$127),SAISIE!$E$5:$E$204,0))),"-"))</f>
        <v/>
      </c>
      <c r="C129" s="6" t="str">
        <f>IF(OR($G$127="",NOT(COUNTIFS(SAISIE!$B$5:$B$204,"*Vent G/D*",SAISIE!$F$5:$F$204,$G$127)&gt;0)),"",IFERROR(IF(_xlfn.MINIFS(SAISIE!$E$5:$E$204,SAISIE!$B$5:$B$204,"*Vent G/D*",SAISIE!$F$5:$F$204,$G$127)&gt;=0,INDEX(SAISIE!$D$5:$D$204,MATCH(_xlfn.MAXIFS(SAISIE!$C$5:$C$204,SAISIE!$B$5:$B$204,"*Vent G/D*",SAISIE!$F$5:$F$204,$G$127),SAISIE!$C$5:$C$204,0)),INDEX(SAISIE!$D$5:$D$204,MATCH(_xlfn.MINIFS(SAISIE!$E$5:$E$204,SAISIE!$B$5:$B$204,"*Vent G/D*",SAISIE!$F$5:$F$204,$G$127),SAISIE!$E$5:$E$204,0))),"-"))</f>
        <v/>
      </c>
      <c r="D129" s="6" t="str">
        <f>IF(OR($G$127="",NOT(COUNTIFS(SAISIE!$B$5:$B$204,"*Vent G/D*",SAISIE!$F$5:$F$204,$G$127)&gt;0)),"",IFERROR(IF(_xlfn.MINIFS(SAISIE!$E$5:$E$204,SAISIE!$B$5:$B$204,"*Vent G/D*",SAISIE!$F$5:$F$204,$G$127)&gt;=0,0,_xlfn.MINIFS(SAISIE!$E$5:$E$204,SAISIE!$B$5:$B$204,"*Vent G/D*",SAISIE!$F$5:$F$204,$G$127)),"-"))</f>
        <v/>
      </c>
      <c r="E129" s="6" t="str">
        <f>IF($G$127="","",IF(OR(D129="",D129="-"),"",IF(D129&gt;0,"(soulevement)",IF(D129&lt;0,"(compression)","-"))))</f>
        <v/>
      </c>
    </row>
    <row r="130" spans="1:7" x14ac:dyDescent="0.25">
      <c r="A130" s="5" t="str">
        <f>IF(OR($G$127="",NOT(_xlfn.MAXIFS(SAISIE!$E$5:$E$204,SAISIE!$B$5:$B$204,"*Vent G/D*",SAISIE!$F$5:$F$204,$G$127)&gt;0)),"","Vent G/D")</f>
        <v/>
      </c>
      <c r="B130" s="6" t="str">
        <f>IF(OR($G$127="",NOT(_xlfn.MAXIFS(SAISIE!$E$5:$E$204,SAISIE!$B$5:$B$204,"*Vent G/D*",SAISIE!$F$5:$F$204,$G$127)&gt;0)),"",IFERROR(INDEX(SAISIE!$C$5:$C$204,MATCH(_xlfn.MAXIFS(SAISIE!$E$5:$E$204,SAISIE!$B$5:$B$204,"*Vent G/D*",SAISIE!$F$5:$F$204,$G$127),SAISIE!$E$5:$E$204,0)),"-"))</f>
        <v/>
      </c>
      <c r="C130" s="6" t="str">
        <f>IF(OR($G$127="",NOT(_xlfn.MAXIFS(SAISIE!$E$5:$E$204,SAISIE!$B$5:$B$204,"*Vent G/D*",SAISIE!$F$5:$F$204,$G$127)&gt;0)),"",IFERROR(INDEX(SAISIE!$D$5:$D$204,MATCH(_xlfn.MAXIFS(SAISIE!$E$5:$E$204,SAISIE!$B$5:$B$204,"*Vent G/D*",SAISIE!$F$5:$F$204,$G$127),SAISIE!$E$5:$E$204,0)),"-"))</f>
        <v/>
      </c>
      <c r="D130" s="6" t="str">
        <f>IF(OR($G$127="",NOT(_xlfn.MAXIFS(SAISIE!$E$5:$E$204,SAISIE!$B$5:$B$204,"*Vent G/D*",SAISIE!$F$5:$F$204,$G$127)&gt;0)),"",IFERROR(_xlfn.MAXIFS(SAISIE!$E$5:$E$204,SAISIE!$B$5:$B$204,"*Vent G/D*",SAISIE!$F$5:$F$204,$G$127),"-"))</f>
        <v/>
      </c>
      <c r="E130" s="6" t="str">
        <f>IF($G$127="","",IF(OR(D130="",D130="-"),"",IF(D130&gt;0,"(soulevement)",IF(D130&lt;0,"(compression)","-"))))</f>
        <v/>
      </c>
    </row>
    <row r="131" spans="1:7" x14ac:dyDescent="0.25">
      <c r="A131" s="5" t="str">
        <f>IF(OR($G$127="",NOT(COUNTIFS(SAISIE!$B$5:$B$204,"*Vent D/G*",SAISIE!$F$5:$F$204,$G$127)&gt;0)),"","Vent D/G")</f>
        <v/>
      </c>
      <c r="B131" s="6" t="str">
        <f>IF(OR($G$127="",NOT(COUNTIFS(SAISIE!$B$5:$B$204,"*Vent D/G*",SAISIE!$F$5:$F$204,$G$127)&gt;0)),"",IFERROR(IF(_xlfn.MINIFS(SAISIE!$E$5:$E$204,SAISIE!$B$5:$B$204,"*Vent D/G*",SAISIE!$F$5:$F$204,$G$127)&gt;=0,_xlfn.MAXIFS(SAISIE!$C$5:$C$204,SAISIE!$B$5:$B$204,"*Vent D/G*",SAISIE!$F$5:$F$204,$G$127),INDEX(SAISIE!$C$5:$C$204,MATCH(_xlfn.MINIFS(SAISIE!$E$5:$E$204,SAISIE!$B$5:$B$204,"*Vent D/G*",SAISIE!$F$5:$F$204,$G$127),SAISIE!$E$5:$E$204,0))),"-"))</f>
        <v/>
      </c>
      <c r="C131" s="6" t="str">
        <f>IF(OR($G$127="",NOT(COUNTIFS(SAISIE!$B$5:$B$204,"*Vent D/G*",SAISIE!$F$5:$F$204,$G$127)&gt;0)),"",IFERROR(IF(_xlfn.MINIFS(SAISIE!$E$5:$E$204,SAISIE!$B$5:$B$204,"*Vent D/G*",SAISIE!$F$5:$F$204,$G$127)&gt;=0,INDEX(SAISIE!$D$5:$D$204,MATCH(_xlfn.MAXIFS(SAISIE!$C$5:$C$204,SAISIE!$B$5:$B$204,"*Vent D/G*",SAISIE!$F$5:$F$204,$G$127),SAISIE!$C$5:$C$204,0)),INDEX(SAISIE!$D$5:$D$204,MATCH(_xlfn.MINIFS(SAISIE!$E$5:$E$204,SAISIE!$B$5:$B$204,"*Vent D/G*",SAISIE!$F$5:$F$204,$G$127),SAISIE!$E$5:$E$204,0))),"-"))</f>
        <v/>
      </c>
      <c r="D131" s="6" t="str">
        <f>IF(OR($G$127="",NOT(COUNTIFS(SAISIE!$B$5:$B$204,"*Vent D/G*",SAISIE!$F$5:$F$204,$G$127)&gt;0)),"",IFERROR(IF(_xlfn.MINIFS(SAISIE!$E$5:$E$204,SAISIE!$B$5:$B$204,"*Vent D/G*",SAISIE!$F$5:$F$204,$G$127)&gt;=0,0,_xlfn.MINIFS(SAISIE!$E$5:$E$204,SAISIE!$B$5:$B$204,"*Vent D/G*",SAISIE!$F$5:$F$204,$G$127)),"-"))</f>
        <v/>
      </c>
      <c r="E131" s="6" t="str">
        <f>IF($G$127="","",IF(OR(D131="",D131="-"),"",IF(D131&gt;0,"(soulevement)",IF(D131&lt;0,"(compression)","-"))))</f>
        <v/>
      </c>
    </row>
    <row r="132" spans="1:7" x14ac:dyDescent="0.25">
      <c r="A132" s="5" t="str">
        <f>IF(OR($G$127="",NOT(_xlfn.MAXIFS(SAISIE!$E$5:$E$204,SAISIE!$B$5:$B$204,"*Vent D/G*",SAISIE!$F$5:$F$204,$G$127)&gt;0)),"","Vent D/G")</f>
        <v/>
      </c>
      <c r="B132" s="6" t="str">
        <f>IF(OR($G$127="",NOT(_xlfn.MAXIFS(SAISIE!$E$5:$E$204,SAISIE!$B$5:$B$204,"*Vent D/G*",SAISIE!$F$5:$F$204,$G$127)&gt;0)),"",IFERROR(INDEX(SAISIE!$C$5:$C$204,MATCH(_xlfn.MAXIFS(SAISIE!$E$5:$E$204,SAISIE!$B$5:$B$204,"*Vent D/G*",SAISIE!$F$5:$F$204,$G$127),SAISIE!$E$5:$E$204,0)),"-"))</f>
        <v/>
      </c>
      <c r="C132" s="6" t="str">
        <f>IF(OR($G$127="",NOT(_xlfn.MAXIFS(SAISIE!$E$5:$E$204,SAISIE!$B$5:$B$204,"*Vent D/G*",SAISIE!$F$5:$F$204,$G$127)&gt;0)),"",IFERROR(INDEX(SAISIE!$D$5:$D$204,MATCH(_xlfn.MAXIFS(SAISIE!$E$5:$E$204,SAISIE!$B$5:$B$204,"*Vent D/G*",SAISIE!$F$5:$F$204,$G$127),SAISIE!$E$5:$E$204,0)),"-"))</f>
        <v/>
      </c>
      <c r="D132" s="6" t="str">
        <f>IF(OR($G$127="",NOT(_xlfn.MAXIFS(SAISIE!$E$5:$E$204,SAISIE!$B$5:$B$204,"*Vent D/G*",SAISIE!$F$5:$F$204,$G$127)&gt;0)),"",IFERROR(_xlfn.MAXIFS(SAISIE!$E$5:$E$204,SAISIE!$B$5:$B$204,"*Vent D/G*",SAISIE!$F$5:$F$204,$G$127),"-"))</f>
        <v/>
      </c>
      <c r="E132" s="6" t="str">
        <f>IF($G$127="","",IF(OR(D132="",D132="-"),"",IF(D132&gt;0,"(soulevement)",IF(D132&lt;0,"(compression)","-"))))</f>
        <v/>
      </c>
    </row>
    <row r="133" spans="1:7" x14ac:dyDescent="0.25">
      <c r="A133" s="5" t="str">
        <f>IF(OR($G$127="",NOT(COUNTIFS(SAISIE!$B$5:$B$204,"*Vent Av./Arr.*",SAISIE!$F$5:$F$204,$G$127)&gt;0)),"","Vent Av./Arr.")</f>
        <v/>
      </c>
      <c r="B133" s="6" t="str">
        <f>IF(OR($G$127="",NOT(COUNTIFS(SAISIE!$B$5:$B$204,"*Vent Av./Arr.*",SAISIE!$F$5:$F$204,$G$127)&gt;0)),"",IFERROR(IF(_xlfn.MINIFS(SAISIE!$E$5:$E$204,SAISIE!$B$5:$B$204,"*Vent Av./Arr.*",SAISIE!$F$5:$F$204,$G$127)&gt;=0,_xlfn.MAXIFS(SAISIE!$C$5:$C$204,SAISIE!$B$5:$B$204,"*Vent Av./Arr.*",SAISIE!$F$5:$F$204,$G$127),INDEX(SAISIE!$C$5:$C$204,MATCH(_xlfn.MINIFS(SAISIE!$E$5:$E$204,SAISIE!$B$5:$B$204,"*Vent Av./Arr.*",SAISIE!$F$5:$F$204,$G$127),SAISIE!$E$5:$E$204,0))),"-"))</f>
        <v/>
      </c>
      <c r="C133" s="6" t="str">
        <f>IF(OR($G$127="",NOT(COUNTIFS(SAISIE!$B$5:$B$204,"*Vent Av./Arr.*",SAISIE!$F$5:$F$204,$G$127)&gt;0)),"",IFERROR(IF(_xlfn.MINIFS(SAISIE!$E$5:$E$204,SAISIE!$B$5:$B$204,"*Vent Av./Arr.*",SAISIE!$F$5:$F$204,$G$127)&gt;=0,INDEX(SAISIE!$D$5:$D$204,MATCH(_xlfn.MAXIFS(SAISIE!$C$5:$C$204,SAISIE!$B$5:$B$204,"*Vent Av./Arr.*",SAISIE!$F$5:$F$204,$G$127),SAISIE!$C$5:$C$204,0)),INDEX(SAISIE!$D$5:$D$204,MATCH(_xlfn.MINIFS(SAISIE!$E$5:$E$204,SAISIE!$B$5:$B$204,"*Vent Av./Arr.*",SAISIE!$F$5:$F$204,$G$127),SAISIE!$E$5:$E$204,0))),"-"))</f>
        <v/>
      </c>
      <c r="D133" s="6" t="str">
        <f>IF(OR($G$127="",NOT(COUNTIFS(SAISIE!$B$5:$B$204,"*Vent Av./Arr.*",SAISIE!$F$5:$F$204,$G$127)&gt;0)),"",IFERROR(IF(_xlfn.MINIFS(SAISIE!$E$5:$E$204,SAISIE!$B$5:$B$204,"*Vent Av./Arr.*",SAISIE!$F$5:$F$204,$G$127)&gt;=0,0,_xlfn.MINIFS(SAISIE!$E$5:$E$204,SAISIE!$B$5:$B$204,"*Vent Av./Arr.*",SAISIE!$F$5:$F$204,$G$127)),"-"))</f>
        <v/>
      </c>
      <c r="E133" s="6" t="str">
        <f>IF($G$127="","",IF(OR(D133="",D133="-"),"",IF(D133&gt;0,"(soulevement)",IF(D133&lt;0,"(compression)","-"))))</f>
        <v/>
      </c>
    </row>
    <row r="134" spans="1:7" x14ac:dyDescent="0.25">
      <c r="A134" s="5" t="str">
        <f>IF(OR($G$127="",NOT(_xlfn.MAXIFS(SAISIE!$E$5:$E$204,SAISIE!$B$5:$B$204,"*Vent Av./Arr.*",SAISIE!$F$5:$F$204,$G$127)&gt;0)),"","Vent Av./Arr.")</f>
        <v/>
      </c>
      <c r="B134" s="6" t="str">
        <f>IF(OR($G$127="",NOT(_xlfn.MAXIFS(SAISIE!$E$5:$E$204,SAISIE!$B$5:$B$204,"*Vent Av./Arr.*",SAISIE!$F$5:$F$204,$G$127)&gt;0)),"",IFERROR(INDEX(SAISIE!$C$5:$C$204,MATCH(_xlfn.MAXIFS(SAISIE!$E$5:$E$204,SAISIE!$B$5:$B$204,"*Vent Av./Arr.*",SAISIE!$F$5:$F$204,$G$127),SAISIE!$E$5:$E$204,0)),"-"))</f>
        <v/>
      </c>
      <c r="C134" s="6" t="str">
        <f>IF(OR($G$127="",NOT(_xlfn.MAXIFS(SAISIE!$E$5:$E$204,SAISIE!$B$5:$B$204,"*Vent Av./Arr.*",SAISIE!$F$5:$F$204,$G$127)&gt;0)),"",IFERROR(INDEX(SAISIE!$D$5:$D$204,MATCH(_xlfn.MAXIFS(SAISIE!$E$5:$E$204,SAISIE!$B$5:$B$204,"*Vent Av./Arr.*",SAISIE!$F$5:$F$204,$G$127),SAISIE!$E$5:$E$204,0)),"-"))</f>
        <v/>
      </c>
      <c r="D134" s="6" t="str">
        <f>IF(OR($G$127="",NOT(_xlfn.MAXIFS(SAISIE!$E$5:$E$204,SAISIE!$B$5:$B$204,"*Vent Av./Arr.*",SAISIE!$F$5:$F$204,$G$127)&gt;0)),"",IFERROR(_xlfn.MAXIFS(SAISIE!$E$5:$E$204,SAISIE!$B$5:$B$204,"*Vent Av./Arr.*",SAISIE!$F$5:$F$204,$G$127),"-"))</f>
        <v/>
      </c>
      <c r="E134" s="6" t="str">
        <f>IF($G$127="","",IF(OR(D134="",D134="-"),"",IF(D134&gt;0,"(soulevement)",IF(D134&lt;0,"(compression)","-"))))</f>
        <v/>
      </c>
    </row>
    <row r="135" spans="1:7" x14ac:dyDescent="0.25">
      <c r="A135" s="5" t="str">
        <f>IF(OR($G$127="",NOT(COUNTIFS(SAISIE!$B$5:$B$204,"*Vent Arr./Av.*",SAISIE!$F$5:$F$204,$G$127)&gt;0)),"","Vent Arr./Av.")</f>
        <v/>
      </c>
      <c r="B135" s="6" t="str">
        <f>IF(OR($G$127="",NOT(COUNTIFS(SAISIE!$B$5:$B$204,"*Vent Arr./Av.*",SAISIE!$F$5:$F$204,$G$127)&gt;0)),"",IFERROR(IF(_xlfn.MINIFS(SAISIE!$E$5:$E$204,SAISIE!$B$5:$B$204,"*Vent Arr./Av.*",SAISIE!$F$5:$F$204,$G$127)&gt;=0,_xlfn.MAXIFS(SAISIE!$C$5:$C$204,SAISIE!$B$5:$B$204,"*Vent Arr./Av.*",SAISIE!$F$5:$F$204,$G$127),INDEX(SAISIE!$C$5:$C$204,MATCH(_xlfn.MINIFS(SAISIE!$E$5:$E$204,SAISIE!$B$5:$B$204,"*Vent Arr./Av.*",SAISIE!$F$5:$F$204,$G$127),SAISIE!$E$5:$E$204,0))),"-"))</f>
        <v/>
      </c>
      <c r="C135" s="6" t="str">
        <f>IF(OR($G$127="",NOT(COUNTIFS(SAISIE!$B$5:$B$204,"*Vent Arr./Av.*",SAISIE!$F$5:$F$204,$G$127)&gt;0)),"",IFERROR(IF(_xlfn.MINIFS(SAISIE!$E$5:$E$204,SAISIE!$B$5:$B$204,"*Vent Arr./Av.*",SAISIE!$F$5:$F$204,$G$127)&gt;=0,INDEX(SAISIE!$D$5:$D$204,MATCH(_xlfn.MAXIFS(SAISIE!$C$5:$C$204,SAISIE!$B$5:$B$204,"*Vent Arr./Av.*",SAISIE!$F$5:$F$204,$G$127),SAISIE!$C$5:$C$204,0)),INDEX(SAISIE!$D$5:$D$204,MATCH(_xlfn.MINIFS(SAISIE!$E$5:$E$204,SAISIE!$B$5:$B$204,"*Vent Arr./Av.*",SAISIE!$F$5:$F$204,$G$127),SAISIE!$E$5:$E$204,0))),"-"))</f>
        <v/>
      </c>
      <c r="D135" s="6" t="str">
        <f>IF(OR($G$127="",NOT(COUNTIFS(SAISIE!$B$5:$B$204,"*Vent Arr./Av.*",SAISIE!$F$5:$F$204,$G$127)&gt;0)),"",IFERROR(IF(_xlfn.MINIFS(SAISIE!$E$5:$E$204,SAISIE!$B$5:$B$204,"*Vent Arr./Av.*",SAISIE!$F$5:$F$204,$G$127)&gt;=0,0,_xlfn.MINIFS(SAISIE!$E$5:$E$204,SAISIE!$B$5:$B$204,"*Vent Arr./Av.*",SAISIE!$F$5:$F$204,$G$127)),"-"))</f>
        <v/>
      </c>
      <c r="E135" s="6" t="str">
        <f>IF($G$127="","",IF(OR(D135="",D135="-"),"",IF(D135&gt;0,"(soulevement)",IF(D135&lt;0,"(compression)","-"))))</f>
        <v/>
      </c>
    </row>
    <row r="136" spans="1:7" x14ac:dyDescent="0.25">
      <c r="A136" s="5" t="str">
        <f>IF(OR($G$127="",NOT(_xlfn.MAXIFS(SAISIE!$E$5:$E$204,SAISIE!$B$5:$B$204,"*Vent Arr./Av.*",SAISIE!$F$5:$F$204,$G$127)&gt;0)),"","Vent Arr./Av.")</f>
        <v/>
      </c>
      <c r="B136" s="6" t="str">
        <f>IF(OR($G$127="",NOT(_xlfn.MAXIFS(SAISIE!$E$5:$E$204,SAISIE!$B$5:$B$204,"*Vent Arr./Av.*",SAISIE!$F$5:$F$204,$G$127)&gt;0)),"",IFERROR(INDEX(SAISIE!$C$5:$C$204,MATCH(_xlfn.MAXIFS(SAISIE!$E$5:$E$204,SAISIE!$B$5:$B$204,"*Vent Arr./Av.*",SAISIE!$F$5:$F$204,$G$127),SAISIE!$E$5:$E$204,0)),"-"))</f>
        <v/>
      </c>
      <c r="C136" s="6" t="str">
        <f>IF(OR($G$127="",NOT(_xlfn.MAXIFS(SAISIE!$E$5:$E$204,SAISIE!$B$5:$B$204,"*Vent Arr./Av.*",SAISIE!$F$5:$F$204,$G$127)&gt;0)),"",IFERROR(INDEX(SAISIE!$D$5:$D$204,MATCH(_xlfn.MAXIFS(SAISIE!$E$5:$E$204,SAISIE!$B$5:$B$204,"*Vent Arr./Av.*",SAISIE!$F$5:$F$204,$G$127),SAISIE!$E$5:$E$204,0)),"-"))</f>
        <v/>
      </c>
      <c r="D136" s="6" t="str">
        <f>IF(OR($G$127="",NOT(_xlfn.MAXIFS(SAISIE!$E$5:$E$204,SAISIE!$B$5:$B$204,"*Vent Arr./Av.*",SAISIE!$F$5:$F$204,$G$127)&gt;0)),"",IFERROR(_xlfn.MAXIFS(SAISIE!$E$5:$E$204,SAISIE!$B$5:$B$204,"*Vent Arr./Av.*",SAISIE!$F$5:$F$204,$G$127),"-"))</f>
        <v/>
      </c>
      <c r="E136" s="6" t="str">
        <f>IF($G$127="","",IF(OR(D136="",D136="-"),"",IF(D136&gt;0,"(soulevement)",IF(D136&lt;0,"(compression)","-"))))</f>
        <v/>
      </c>
    </row>
    <row r="137" spans="1:7" x14ac:dyDescent="0.25">
      <c r="A137" s="5" t="str">
        <f>IF(OR($G$127="",NOT(TRUE)),"","Neige normale")</f>
        <v/>
      </c>
      <c r="B137" s="6" t="str">
        <f>IF($G$127="","",IFERROR(INDEX(SAISIE!$C$5:$C$204,MATCH(_xlfn.MINIFS(SAISIE!$E$5:$E$204,SAISIE!$B$5:$B$204,"*Neige*",SAISIE!$B$5:$B$204,"&lt;&gt;*accidentel*",SAISIE!$F$5:$F$204,$G$127),SAISIE!$E$5:$E$204,0)),"-"))</f>
        <v/>
      </c>
      <c r="C137" s="6" t="str">
        <f>IF($G$127="","",IFERROR(INDEX(SAISIE!$D$5:$D$204,MATCH(_xlfn.MINIFS(SAISIE!$E$5:$E$204,SAISIE!$B$5:$B$204,"*Neige*",SAISIE!$B$5:$B$204,"&lt;&gt;*accidentel*",SAISIE!$F$5:$F$204,$G$127),SAISIE!$E$5:$E$204,0)),"-"))</f>
        <v/>
      </c>
      <c r="D137" s="6" t="str">
        <f>IF($G$127="","",IFERROR(INDEX(SAISIE!$E$5:$E$204,MATCH(_xlfn.MINIFS(SAISIE!$E$5:$E$204,SAISIE!$B$5:$B$204,"*Neige*",SAISIE!$B$5:$B$204,"&lt;&gt;*accidentel*",SAISIE!$F$5:$F$204,$G$127),SAISIE!$E$5:$E$204,0)),"-"))</f>
        <v/>
      </c>
      <c r="E137" s="6" t="str">
        <f>IF($G$127="","",IF(OR(D137="",D137="-"),"",IF(D137&gt;0,"(soulevement)",IF(D137&lt;0,"(compression)","-"))))</f>
        <v/>
      </c>
    </row>
    <row r="138" spans="1:7" x14ac:dyDescent="0.25">
      <c r="A138" s="5" t="str">
        <f>IF(OR($G$127="",NOT(TRUE)),"","Neige accidentelle")</f>
        <v/>
      </c>
      <c r="B138" s="6" t="str">
        <f>IF($G$127="","",IFERROR(LOOKUP(2,1/((SAISIE!$F$5:$F$204=$G$127)*(ISNUMBER(SEARCH("accidentel",SAISIE!$B$5:$B$204)))),SAISIE!$C$5:$C$204),"-"))</f>
        <v/>
      </c>
      <c r="C138" s="6" t="str">
        <f>IF($G$127="","",IFERROR(LOOKUP(2,1/((SAISIE!$F$5:$F$204=$G$127)*(ISNUMBER(SEARCH("accidentel",SAISIE!$B$5:$B$204)))),SAISIE!$D$5:$D$204),"-"))</f>
        <v/>
      </c>
      <c r="D138" s="6" t="str">
        <f>IF($G$127="","",IFERROR(LOOKUP(2,1/((SAISIE!$F$5:$F$204=$G$127)*(ISNUMBER(SEARCH("accidentel",SAISIE!$B$5:$B$204)))),SAISIE!$E$5:$E$204),"-"))</f>
        <v/>
      </c>
      <c r="E138" s="6" t="str">
        <f>IF($G$127="","",IF(OR(D138="",D138="-"),"",IF(D138&gt;0,"(soulevement)",IF(D138&lt;0,"(compression)","-"))))</f>
        <v/>
      </c>
    </row>
    <row r="139" spans="1:7" ht="15.75" x14ac:dyDescent="0.25">
      <c r="A139" s="11" t="str">
        <f>IF($G$139="","","Noeud "&amp;$G$139)</f>
        <v/>
      </c>
      <c r="B139" s="12"/>
      <c r="C139" s="12"/>
      <c r="D139" s="12"/>
      <c r="E139" s="12"/>
      <c r="G139" t="str">
        <f>IFERROR(INDEX(SAISIE!$F$5:$F$204,_xlfn.AGGREGATE(15,6,ROW(SAISIE!$F$5:$F$204)-ROW(SAISIE!$F$5)+1/(SAISIE!$F$5:$F$204&lt;&gt;"")/(COUNTIF($G$4:G138,SAISIE!$F$5:$F$204)=0),1)),"")</f>
        <v/>
      </c>
    </row>
    <row r="140" spans="1:7" x14ac:dyDescent="0.25">
      <c r="A140" s="5" t="str">
        <f>IF(OR($G$139="",NOT(TRUE)),"","Couverture")</f>
        <v/>
      </c>
      <c r="B140" s="6" t="str">
        <f>IF($G$139="","",IFERROR(IFERROR(LOOKUP(2,1/((SAISIE!$F$5:$F$204=$G$139)*(LEFT(SAISIE!$B$5:$B$204,2)="G ")),SAISIE!$C$5:$C$204),LOOKUP(2,1/((SAISIE!$F$5:$F$204=$G$139)*(ISNUMBER(SEARCH("Couverture",SAISIE!$B$5:$B$204)))),SAISIE!$C$5:$C$204)),"-"))</f>
        <v/>
      </c>
      <c r="C140" s="6" t="str">
        <f>IF($G$139="","",IFERROR(IFERROR(LOOKUP(2,1/((SAISIE!$F$5:$F$204=$G$139)*(LEFT(SAISIE!$B$5:$B$204,2)="G ")),SAISIE!$D$5:$D$204),LOOKUP(2,1/((SAISIE!$F$5:$F$204=$G$139)*(ISNUMBER(SEARCH("Couverture",SAISIE!$B$5:$B$204)))),SAISIE!$D$5:$D$204)),"-"))</f>
        <v/>
      </c>
      <c r="D140" s="6" t="str">
        <f>IF($G$139="","",IFERROR(IFERROR(LOOKUP(2,1/((SAISIE!$F$5:$F$204=$G$139)*(LEFT(SAISIE!$B$5:$B$204,2)="G ")),SAISIE!$E$5:$E$204),LOOKUP(2,1/((SAISIE!$F$5:$F$204=$G$139)*(ISNUMBER(SEARCH("Couverture",SAISIE!$B$5:$B$204)))),SAISIE!$E$5:$E$204)),"-"))</f>
        <v/>
      </c>
      <c r="E140" s="6" t="str">
        <f>IF($G$139="","",IF(OR(D140="",D140="-"),"",IF(D140&gt;0,"(soulevement)",IF(D140&lt;0,"(compression)","-"))))</f>
        <v/>
      </c>
    </row>
    <row r="141" spans="1:7" x14ac:dyDescent="0.25">
      <c r="A141" s="5" t="str">
        <f>IF(OR($G$139="",NOT(COUNTIFS(SAISIE!$B$5:$B$204,"*Vent G/D*",SAISIE!$F$5:$F$204,$G$139)&gt;0)),"","Vent G/D")</f>
        <v/>
      </c>
      <c r="B141" s="6" t="str">
        <f>IF(OR($G$139="",NOT(COUNTIFS(SAISIE!$B$5:$B$204,"*Vent G/D*",SAISIE!$F$5:$F$204,$G$139)&gt;0)),"",IFERROR(IF(_xlfn.MINIFS(SAISIE!$E$5:$E$204,SAISIE!$B$5:$B$204,"*Vent G/D*",SAISIE!$F$5:$F$204,$G$139)&gt;=0,_xlfn.MAXIFS(SAISIE!$C$5:$C$204,SAISIE!$B$5:$B$204,"*Vent G/D*",SAISIE!$F$5:$F$204,$G$139),INDEX(SAISIE!$C$5:$C$204,MATCH(_xlfn.MINIFS(SAISIE!$E$5:$E$204,SAISIE!$B$5:$B$204,"*Vent G/D*",SAISIE!$F$5:$F$204,$G$139),SAISIE!$E$5:$E$204,0))),"-"))</f>
        <v/>
      </c>
      <c r="C141" s="6" t="str">
        <f>IF(OR($G$139="",NOT(COUNTIFS(SAISIE!$B$5:$B$204,"*Vent G/D*",SAISIE!$F$5:$F$204,$G$139)&gt;0)),"",IFERROR(IF(_xlfn.MINIFS(SAISIE!$E$5:$E$204,SAISIE!$B$5:$B$204,"*Vent G/D*",SAISIE!$F$5:$F$204,$G$139)&gt;=0,INDEX(SAISIE!$D$5:$D$204,MATCH(_xlfn.MAXIFS(SAISIE!$C$5:$C$204,SAISIE!$B$5:$B$204,"*Vent G/D*",SAISIE!$F$5:$F$204,$G$139),SAISIE!$C$5:$C$204,0)),INDEX(SAISIE!$D$5:$D$204,MATCH(_xlfn.MINIFS(SAISIE!$E$5:$E$204,SAISIE!$B$5:$B$204,"*Vent G/D*",SAISIE!$F$5:$F$204,$G$139),SAISIE!$E$5:$E$204,0))),"-"))</f>
        <v/>
      </c>
      <c r="D141" s="6" t="str">
        <f>IF(OR($G$139="",NOT(COUNTIFS(SAISIE!$B$5:$B$204,"*Vent G/D*",SAISIE!$F$5:$F$204,$G$139)&gt;0)),"",IFERROR(IF(_xlfn.MINIFS(SAISIE!$E$5:$E$204,SAISIE!$B$5:$B$204,"*Vent G/D*",SAISIE!$F$5:$F$204,$G$139)&gt;=0,0,_xlfn.MINIFS(SAISIE!$E$5:$E$204,SAISIE!$B$5:$B$204,"*Vent G/D*",SAISIE!$F$5:$F$204,$G$139)),"-"))</f>
        <v/>
      </c>
      <c r="E141" s="6" t="str">
        <f>IF($G$139="","",IF(OR(D141="",D141="-"),"",IF(D141&gt;0,"(soulevement)",IF(D141&lt;0,"(compression)","-"))))</f>
        <v/>
      </c>
    </row>
    <row r="142" spans="1:7" x14ac:dyDescent="0.25">
      <c r="A142" s="5" t="str">
        <f>IF(OR($G$139="",NOT(_xlfn.MAXIFS(SAISIE!$E$5:$E$204,SAISIE!$B$5:$B$204,"*Vent G/D*",SAISIE!$F$5:$F$204,$G$139)&gt;0)),"","Vent G/D")</f>
        <v/>
      </c>
      <c r="B142" s="6" t="str">
        <f>IF(OR($G$139="",NOT(_xlfn.MAXIFS(SAISIE!$E$5:$E$204,SAISIE!$B$5:$B$204,"*Vent G/D*",SAISIE!$F$5:$F$204,$G$139)&gt;0)),"",IFERROR(INDEX(SAISIE!$C$5:$C$204,MATCH(_xlfn.MAXIFS(SAISIE!$E$5:$E$204,SAISIE!$B$5:$B$204,"*Vent G/D*",SAISIE!$F$5:$F$204,$G$139),SAISIE!$E$5:$E$204,0)),"-"))</f>
        <v/>
      </c>
      <c r="C142" s="6" t="str">
        <f>IF(OR($G$139="",NOT(_xlfn.MAXIFS(SAISIE!$E$5:$E$204,SAISIE!$B$5:$B$204,"*Vent G/D*",SAISIE!$F$5:$F$204,$G$139)&gt;0)),"",IFERROR(INDEX(SAISIE!$D$5:$D$204,MATCH(_xlfn.MAXIFS(SAISIE!$E$5:$E$204,SAISIE!$B$5:$B$204,"*Vent G/D*",SAISIE!$F$5:$F$204,$G$139),SAISIE!$E$5:$E$204,0)),"-"))</f>
        <v/>
      </c>
      <c r="D142" s="6" t="str">
        <f>IF(OR($G$139="",NOT(_xlfn.MAXIFS(SAISIE!$E$5:$E$204,SAISIE!$B$5:$B$204,"*Vent G/D*",SAISIE!$F$5:$F$204,$G$139)&gt;0)),"",IFERROR(_xlfn.MAXIFS(SAISIE!$E$5:$E$204,SAISIE!$B$5:$B$204,"*Vent G/D*",SAISIE!$F$5:$F$204,$G$139),"-"))</f>
        <v/>
      </c>
      <c r="E142" s="6" t="str">
        <f>IF($G$139="","",IF(OR(D142="",D142="-"),"",IF(D142&gt;0,"(soulevement)",IF(D142&lt;0,"(compression)","-"))))</f>
        <v/>
      </c>
    </row>
    <row r="143" spans="1:7" x14ac:dyDescent="0.25">
      <c r="A143" s="5" t="str">
        <f>IF(OR($G$139="",NOT(COUNTIFS(SAISIE!$B$5:$B$204,"*Vent D/G*",SAISIE!$F$5:$F$204,$G$139)&gt;0)),"","Vent D/G")</f>
        <v/>
      </c>
      <c r="B143" s="6" t="str">
        <f>IF(OR($G$139="",NOT(COUNTIFS(SAISIE!$B$5:$B$204,"*Vent D/G*",SAISIE!$F$5:$F$204,$G$139)&gt;0)),"",IFERROR(IF(_xlfn.MINIFS(SAISIE!$E$5:$E$204,SAISIE!$B$5:$B$204,"*Vent D/G*",SAISIE!$F$5:$F$204,$G$139)&gt;=0,_xlfn.MAXIFS(SAISIE!$C$5:$C$204,SAISIE!$B$5:$B$204,"*Vent D/G*",SAISIE!$F$5:$F$204,$G$139),INDEX(SAISIE!$C$5:$C$204,MATCH(_xlfn.MINIFS(SAISIE!$E$5:$E$204,SAISIE!$B$5:$B$204,"*Vent D/G*",SAISIE!$F$5:$F$204,$G$139),SAISIE!$E$5:$E$204,0))),"-"))</f>
        <v/>
      </c>
      <c r="C143" s="6" t="str">
        <f>IF(OR($G$139="",NOT(COUNTIFS(SAISIE!$B$5:$B$204,"*Vent D/G*",SAISIE!$F$5:$F$204,$G$139)&gt;0)),"",IFERROR(IF(_xlfn.MINIFS(SAISIE!$E$5:$E$204,SAISIE!$B$5:$B$204,"*Vent D/G*",SAISIE!$F$5:$F$204,$G$139)&gt;=0,INDEX(SAISIE!$D$5:$D$204,MATCH(_xlfn.MAXIFS(SAISIE!$C$5:$C$204,SAISIE!$B$5:$B$204,"*Vent D/G*",SAISIE!$F$5:$F$204,$G$139),SAISIE!$C$5:$C$204,0)),INDEX(SAISIE!$D$5:$D$204,MATCH(_xlfn.MINIFS(SAISIE!$E$5:$E$204,SAISIE!$B$5:$B$204,"*Vent D/G*",SAISIE!$F$5:$F$204,$G$139),SAISIE!$E$5:$E$204,0))),"-"))</f>
        <v/>
      </c>
      <c r="D143" s="6" t="str">
        <f>IF(OR($G$139="",NOT(COUNTIFS(SAISIE!$B$5:$B$204,"*Vent D/G*",SAISIE!$F$5:$F$204,$G$139)&gt;0)),"",IFERROR(IF(_xlfn.MINIFS(SAISIE!$E$5:$E$204,SAISIE!$B$5:$B$204,"*Vent D/G*",SAISIE!$F$5:$F$204,$G$139)&gt;=0,0,_xlfn.MINIFS(SAISIE!$E$5:$E$204,SAISIE!$B$5:$B$204,"*Vent D/G*",SAISIE!$F$5:$F$204,$G$139)),"-"))</f>
        <v/>
      </c>
      <c r="E143" s="6" t="str">
        <f>IF($G$139="","",IF(OR(D143="",D143="-"),"",IF(D143&gt;0,"(soulevement)",IF(D143&lt;0,"(compression)","-"))))</f>
        <v/>
      </c>
    </row>
    <row r="144" spans="1:7" x14ac:dyDescent="0.25">
      <c r="A144" s="5" t="str">
        <f>IF(OR($G$139="",NOT(_xlfn.MAXIFS(SAISIE!$E$5:$E$204,SAISIE!$B$5:$B$204,"*Vent D/G*",SAISIE!$F$5:$F$204,$G$139)&gt;0)),"","Vent D/G")</f>
        <v/>
      </c>
      <c r="B144" s="6" t="str">
        <f>IF(OR($G$139="",NOT(_xlfn.MAXIFS(SAISIE!$E$5:$E$204,SAISIE!$B$5:$B$204,"*Vent D/G*",SAISIE!$F$5:$F$204,$G$139)&gt;0)),"",IFERROR(INDEX(SAISIE!$C$5:$C$204,MATCH(_xlfn.MAXIFS(SAISIE!$E$5:$E$204,SAISIE!$B$5:$B$204,"*Vent D/G*",SAISIE!$F$5:$F$204,$G$139),SAISIE!$E$5:$E$204,0)),"-"))</f>
        <v/>
      </c>
      <c r="C144" s="6" t="str">
        <f>IF(OR($G$139="",NOT(_xlfn.MAXIFS(SAISIE!$E$5:$E$204,SAISIE!$B$5:$B$204,"*Vent D/G*",SAISIE!$F$5:$F$204,$G$139)&gt;0)),"",IFERROR(INDEX(SAISIE!$D$5:$D$204,MATCH(_xlfn.MAXIFS(SAISIE!$E$5:$E$204,SAISIE!$B$5:$B$204,"*Vent D/G*",SAISIE!$F$5:$F$204,$G$139),SAISIE!$E$5:$E$204,0)),"-"))</f>
        <v/>
      </c>
      <c r="D144" s="6" t="str">
        <f>IF(OR($G$139="",NOT(_xlfn.MAXIFS(SAISIE!$E$5:$E$204,SAISIE!$B$5:$B$204,"*Vent D/G*",SAISIE!$F$5:$F$204,$G$139)&gt;0)),"",IFERROR(_xlfn.MAXIFS(SAISIE!$E$5:$E$204,SAISIE!$B$5:$B$204,"*Vent D/G*",SAISIE!$F$5:$F$204,$G$139),"-"))</f>
        <v/>
      </c>
      <c r="E144" s="6" t="str">
        <f>IF($G$139="","",IF(OR(D144="",D144="-"),"",IF(D144&gt;0,"(soulevement)",IF(D144&lt;0,"(compression)","-"))))</f>
        <v/>
      </c>
    </row>
    <row r="145" spans="1:7" x14ac:dyDescent="0.25">
      <c r="A145" s="5" t="str">
        <f>IF(OR($G$139="",NOT(COUNTIFS(SAISIE!$B$5:$B$204,"*Vent Av./Arr.*",SAISIE!$F$5:$F$204,$G$139)&gt;0)),"","Vent Av./Arr.")</f>
        <v/>
      </c>
      <c r="B145" s="6" t="str">
        <f>IF(OR($G$139="",NOT(COUNTIFS(SAISIE!$B$5:$B$204,"*Vent Av./Arr.*",SAISIE!$F$5:$F$204,$G$139)&gt;0)),"",IFERROR(IF(_xlfn.MINIFS(SAISIE!$E$5:$E$204,SAISIE!$B$5:$B$204,"*Vent Av./Arr.*",SAISIE!$F$5:$F$204,$G$139)&gt;=0,_xlfn.MAXIFS(SAISIE!$C$5:$C$204,SAISIE!$B$5:$B$204,"*Vent Av./Arr.*",SAISIE!$F$5:$F$204,$G$139),INDEX(SAISIE!$C$5:$C$204,MATCH(_xlfn.MINIFS(SAISIE!$E$5:$E$204,SAISIE!$B$5:$B$204,"*Vent Av./Arr.*",SAISIE!$F$5:$F$204,$G$139),SAISIE!$E$5:$E$204,0))),"-"))</f>
        <v/>
      </c>
      <c r="C145" s="6" t="str">
        <f>IF(OR($G$139="",NOT(COUNTIFS(SAISIE!$B$5:$B$204,"*Vent Av./Arr.*",SAISIE!$F$5:$F$204,$G$139)&gt;0)),"",IFERROR(IF(_xlfn.MINIFS(SAISIE!$E$5:$E$204,SAISIE!$B$5:$B$204,"*Vent Av./Arr.*",SAISIE!$F$5:$F$204,$G$139)&gt;=0,INDEX(SAISIE!$D$5:$D$204,MATCH(_xlfn.MAXIFS(SAISIE!$C$5:$C$204,SAISIE!$B$5:$B$204,"*Vent Av./Arr.*",SAISIE!$F$5:$F$204,$G$139),SAISIE!$C$5:$C$204,0)),INDEX(SAISIE!$D$5:$D$204,MATCH(_xlfn.MINIFS(SAISIE!$E$5:$E$204,SAISIE!$B$5:$B$204,"*Vent Av./Arr.*",SAISIE!$F$5:$F$204,$G$139),SAISIE!$E$5:$E$204,0))),"-"))</f>
        <v/>
      </c>
      <c r="D145" s="6" t="str">
        <f>IF(OR($G$139="",NOT(COUNTIFS(SAISIE!$B$5:$B$204,"*Vent Av./Arr.*",SAISIE!$F$5:$F$204,$G$139)&gt;0)),"",IFERROR(IF(_xlfn.MINIFS(SAISIE!$E$5:$E$204,SAISIE!$B$5:$B$204,"*Vent Av./Arr.*",SAISIE!$F$5:$F$204,$G$139)&gt;=0,0,_xlfn.MINIFS(SAISIE!$E$5:$E$204,SAISIE!$B$5:$B$204,"*Vent Av./Arr.*",SAISIE!$F$5:$F$204,$G$139)),"-"))</f>
        <v/>
      </c>
      <c r="E145" s="6" t="str">
        <f>IF($G$139="","",IF(OR(D145="",D145="-"),"",IF(D145&gt;0,"(soulevement)",IF(D145&lt;0,"(compression)","-"))))</f>
        <v/>
      </c>
    </row>
    <row r="146" spans="1:7" x14ac:dyDescent="0.25">
      <c r="A146" s="5" t="str">
        <f>IF(OR($G$139="",NOT(_xlfn.MAXIFS(SAISIE!$E$5:$E$204,SAISIE!$B$5:$B$204,"*Vent Av./Arr.*",SAISIE!$F$5:$F$204,$G$139)&gt;0)),"","Vent Av./Arr.")</f>
        <v/>
      </c>
      <c r="B146" s="6" t="str">
        <f>IF(OR($G$139="",NOT(_xlfn.MAXIFS(SAISIE!$E$5:$E$204,SAISIE!$B$5:$B$204,"*Vent Av./Arr.*",SAISIE!$F$5:$F$204,$G$139)&gt;0)),"",IFERROR(INDEX(SAISIE!$C$5:$C$204,MATCH(_xlfn.MAXIFS(SAISIE!$E$5:$E$204,SAISIE!$B$5:$B$204,"*Vent Av./Arr.*",SAISIE!$F$5:$F$204,$G$139),SAISIE!$E$5:$E$204,0)),"-"))</f>
        <v/>
      </c>
      <c r="C146" s="6" t="str">
        <f>IF(OR($G$139="",NOT(_xlfn.MAXIFS(SAISIE!$E$5:$E$204,SAISIE!$B$5:$B$204,"*Vent Av./Arr.*",SAISIE!$F$5:$F$204,$G$139)&gt;0)),"",IFERROR(INDEX(SAISIE!$D$5:$D$204,MATCH(_xlfn.MAXIFS(SAISIE!$E$5:$E$204,SAISIE!$B$5:$B$204,"*Vent Av./Arr.*",SAISIE!$F$5:$F$204,$G$139),SAISIE!$E$5:$E$204,0)),"-"))</f>
        <v/>
      </c>
      <c r="D146" s="6" t="str">
        <f>IF(OR($G$139="",NOT(_xlfn.MAXIFS(SAISIE!$E$5:$E$204,SAISIE!$B$5:$B$204,"*Vent Av./Arr.*",SAISIE!$F$5:$F$204,$G$139)&gt;0)),"",IFERROR(_xlfn.MAXIFS(SAISIE!$E$5:$E$204,SAISIE!$B$5:$B$204,"*Vent Av./Arr.*",SAISIE!$F$5:$F$204,$G$139),"-"))</f>
        <v/>
      </c>
      <c r="E146" s="6" t="str">
        <f>IF($G$139="","",IF(OR(D146="",D146="-"),"",IF(D146&gt;0,"(soulevement)",IF(D146&lt;0,"(compression)","-"))))</f>
        <v/>
      </c>
    </row>
    <row r="147" spans="1:7" x14ac:dyDescent="0.25">
      <c r="A147" s="5" t="str">
        <f>IF(OR($G$139="",NOT(COUNTIFS(SAISIE!$B$5:$B$204,"*Vent Arr./Av.*",SAISIE!$F$5:$F$204,$G$139)&gt;0)),"","Vent Arr./Av.")</f>
        <v/>
      </c>
      <c r="B147" s="6" t="str">
        <f>IF(OR($G$139="",NOT(COUNTIFS(SAISIE!$B$5:$B$204,"*Vent Arr./Av.*",SAISIE!$F$5:$F$204,$G$139)&gt;0)),"",IFERROR(IF(_xlfn.MINIFS(SAISIE!$E$5:$E$204,SAISIE!$B$5:$B$204,"*Vent Arr./Av.*",SAISIE!$F$5:$F$204,$G$139)&gt;=0,_xlfn.MAXIFS(SAISIE!$C$5:$C$204,SAISIE!$B$5:$B$204,"*Vent Arr./Av.*",SAISIE!$F$5:$F$204,$G$139),INDEX(SAISIE!$C$5:$C$204,MATCH(_xlfn.MINIFS(SAISIE!$E$5:$E$204,SAISIE!$B$5:$B$204,"*Vent Arr./Av.*",SAISIE!$F$5:$F$204,$G$139),SAISIE!$E$5:$E$204,0))),"-"))</f>
        <v/>
      </c>
      <c r="C147" s="6" t="str">
        <f>IF(OR($G$139="",NOT(COUNTIFS(SAISIE!$B$5:$B$204,"*Vent Arr./Av.*",SAISIE!$F$5:$F$204,$G$139)&gt;0)),"",IFERROR(IF(_xlfn.MINIFS(SAISIE!$E$5:$E$204,SAISIE!$B$5:$B$204,"*Vent Arr./Av.*",SAISIE!$F$5:$F$204,$G$139)&gt;=0,INDEX(SAISIE!$D$5:$D$204,MATCH(_xlfn.MAXIFS(SAISIE!$C$5:$C$204,SAISIE!$B$5:$B$204,"*Vent Arr./Av.*",SAISIE!$F$5:$F$204,$G$139),SAISIE!$C$5:$C$204,0)),INDEX(SAISIE!$D$5:$D$204,MATCH(_xlfn.MINIFS(SAISIE!$E$5:$E$204,SAISIE!$B$5:$B$204,"*Vent Arr./Av.*",SAISIE!$F$5:$F$204,$G$139),SAISIE!$E$5:$E$204,0))),"-"))</f>
        <v/>
      </c>
      <c r="D147" s="6" t="str">
        <f>IF(OR($G$139="",NOT(COUNTIFS(SAISIE!$B$5:$B$204,"*Vent Arr./Av.*",SAISIE!$F$5:$F$204,$G$139)&gt;0)),"",IFERROR(IF(_xlfn.MINIFS(SAISIE!$E$5:$E$204,SAISIE!$B$5:$B$204,"*Vent Arr./Av.*",SAISIE!$F$5:$F$204,$G$139)&gt;=0,0,_xlfn.MINIFS(SAISIE!$E$5:$E$204,SAISIE!$B$5:$B$204,"*Vent Arr./Av.*",SAISIE!$F$5:$F$204,$G$139)),"-"))</f>
        <v/>
      </c>
      <c r="E147" s="6" t="str">
        <f>IF($G$139="","",IF(OR(D147="",D147="-"),"",IF(D147&gt;0,"(soulevement)",IF(D147&lt;0,"(compression)","-"))))</f>
        <v/>
      </c>
    </row>
    <row r="148" spans="1:7" x14ac:dyDescent="0.25">
      <c r="A148" s="5" t="str">
        <f>IF(OR($G$139="",NOT(_xlfn.MAXIFS(SAISIE!$E$5:$E$204,SAISIE!$B$5:$B$204,"*Vent Arr./Av.*",SAISIE!$F$5:$F$204,$G$139)&gt;0)),"","Vent Arr./Av.")</f>
        <v/>
      </c>
      <c r="B148" s="6" t="str">
        <f>IF(OR($G$139="",NOT(_xlfn.MAXIFS(SAISIE!$E$5:$E$204,SAISIE!$B$5:$B$204,"*Vent Arr./Av.*",SAISIE!$F$5:$F$204,$G$139)&gt;0)),"",IFERROR(INDEX(SAISIE!$C$5:$C$204,MATCH(_xlfn.MAXIFS(SAISIE!$E$5:$E$204,SAISIE!$B$5:$B$204,"*Vent Arr./Av.*",SAISIE!$F$5:$F$204,$G$139),SAISIE!$E$5:$E$204,0)),"-"))</f>
        <v/>
      </c>
      <c r="C148" s="6" t="str">
        <f>IF(OR($G$139="",NOT(_xlfn.MAXIFS(SAISIE!$E$5:$E$204,SAISIE!$B$5:$B$204,"*Vent Arr./Av.*",SAISIE!$F$5:$F$204,$G$139)&gt;0)),"",IFERROR(INDEX(SAISIE!$D$5:$D$204,MATCH(_xlfn.MAXIFS(SAISIE!$E$5:$E$204,SAISIE!$B$5:$B$204,"*Vent Arr./Av.*",SAISIE!$F$5:$F$204,$G$139),SAISIE!$E$5:$E$204,0)),"-"))</f>
        <v/>
      </c>
      <c r="D148" s="6" t="str">
        <f>IF(OR($G$139="",NOT(_xlfn.MAXIFS(SAISIE!$E$5:$E$204,SAISIE!$B$5:$B$204,"*Vent Arr./Av.*",SAISIE!$F$5:$F$204,$G$139)&gt;0)),"",IFERROR(_xlfn.MAXIFS(SAISIE!$E$5:$E$204,SAISIE!$B$5:$B$204,"*Vent Arr./Av.*",SAISIE!$F$5:$F$204,$G$139),"-"))</f>
        <v/>
      </c>
      <c r="E148" s="6" t="str">
        <f>IF($G$139="","",IF(OR(D148="",D148="-"),"",IF(D148&gt;0,"(soulevement)",IF(D148&lt;0,"(compression)","-"))))</f>
        <v/>
      </c>
    </row>
    <row r="149" spans="1:7" x14ac:dyDescent="0.25">
      <c r="A149" s="5" t="str">
        <f>IF(OR($G$139="",NOT(TRUE)),"","Neige normale")</f>
        <v/>
      </c>
      <c r="B149" s="6" t="str">
        <f>IF($G$139="","",IFERROR(INDEX(SAISIE!$C$5:$C$204,MATCH(_xlfn.MINIFS(SAISIE!$E$5:$E$204,SAISIE!$B$5:$B$204,"*Neige*",SAISIE!$B$5:$B$204,"&lt;&gt;*accidentel*",SAISIE!$F$5:$F$204,$G$139),SAISIE!$E$5:$E$204,0)),"-"))</f>
        <v/>
      </c>
      <c r="C149" s="6" t="str">
        <f>IF($G$139="","",IFERROR(INDEX(SAISIE!$D$5:$D$204,MATCH(_xlfn.MINIFS(SAISIE!$E$5:$E$204,SAISIE!$B$5:$B$204,"*Neige*",SAISIE!$B$5:$B$204,"&lt;&gt;*accidentel*",SAISIE!$F$5:$F$204,$G$139),SAISIE!$E$5:$E$204,0)),"-"))</f>
        <v/>
      </c>
      <c r="D149" s="6" t="str">
        <f>IF($G$139="","",IFERROR(INDEX(SAISIE!$E$5:$E$204,MATCH(_xlfn.MINIFS(SAISIE!$E$5:$E$204,SAISIE!$B$5:$B$204,"*Neige*",SAISIE!$B$5:$B$204,"&lt;&gt;*accidentel*",SAISIE!$F$5:$F$204,$G$139),SAISIE!$E$5:$E$204,0)),"-"))</f>
        <v/>
      </c>
      <c r="E149" s="6" t="str">
        <f>IF($G$139="","",IF(OR(D149="",D149="-"),"",IF(D149&gt;0,"(soulevement)",IF(D149&lt;0,"(compression)","-"))))</f>
        <v/>
      </c>
    </row>
    <row r="150" spans="1:7" x14ac:dyDescent="0.25">
      <c r="A150" s="5" t="str">
        <f>IF(OR($G$139="",NOT(TRUE)),"","Neige accidentelle")</f>
        <v/>
      </c>
      <c r="B150" s="6" t="str">
        <f>IF($G$139="","",IFERROR(LOOKUP(2,1/((SAISIE!$F$5:$F$204=$G$139)*(ISNUMBER(SEARCH("accidentel",SAISIE!$B$5:$B$204)))),SAISIE!$C$5:$C$204),"-"))</f>
        <v/>
      </c>
      <c r="C150" s="6" t="str">
        <f>IF($G$139="","",IFERROR(LOOKUP(2,1/((SAISIE!$F$5:$F$204=$G$139)*(ISNUMBER(SEARCH("accidentel",SAISIE!$B$5:$B$204)))),SAISIE!$D$5:$D$204),"-"))</f>
        <v/>
      </c>
      <c r="D150" s="6" t="str">
        <f>IF($G$139="","",IFERROR(LOOKUP(2,1/((SAISIE!$F$5:$F$204=$G$139)*(ISNUMBER(SEARCH("accidentel",SAISIE!$B$5:$B$204)))),SAISIE!$E$5:$E$204),"-"))</f>
        <v/>
      </c>
      <c r="E150" s="6" t="str">
        <f>IF($G$139="","",IF(OR(D150="",D150="-"),"",IF(D150&gt;0,"(soulevement)",IF(D150&lt;0,"(compression)","-"))))</f>
        <v/>
      </c>
    </row>
    <row r="151" spans="1:7" ht="15.75" x14ac:dyDescent="0.25">
      <c r="A151" s="11" t="str">
        <f>IF($G$151="","","Noeud "&amp;$G$151)</f>
        <v/>
      </c>
      <c r="B151" s="12"/>
      <c r="C151" s="12"/>
      <c r="D151" s="12"/>
      <c r="E151" s="12"/>
      <c r="G151" t="str">
        <f>IFERROR(INDEX(SAISIE!$F$5:$F$204,_xlfn.AGGREGATE(15,6,ROW(SAISIE!$F$5:$F$204)-ROW(SAISIE!$F$5)+1/(SAISIE!$F$5:$F$204&lt;&gt;"")/(COUNTIF($G$4:G150,SAISIE!$F$5:$F$204)=0),1)),"")</f>
        <v/>
      </c>
    </row>
    <row r="152" spans="1:7" x14ac:dyDescent="0.25">
      <c r="A152" s="5" t="str">
        <f>IF(OR($G$151="",NOT(TRUE)),"","Couverture")</f>
        <v/>
      </c>
      <c r="B152" s="6" t="str">
        <f>IF($G$151="","",IFERROR(IFERROR(LOOKUP(2,1/((SAISIE!$F$5:$F$204=$G$151)*(LEFT(SAISIE!$B$5:$B$204,2)="G ")),SAISIE!$C$5:$C$204),LOOKUP(2,1/((SAISIE!$F$5:$F$204=$G$151)*(ISNUMBER(SEARCH("Couverture",SAISIE!$B$5:$B$204)))),SAISIE!$C$5:$C$204)),"-"))</f>
        <v/>
      </c>
      <c r="C152" s="6" t="str">
        <f>IF($G$151="","",IFERROR(IFERROR(LOOKUP(2,1/((SAISIE!$F$5:$F$204=$G$151)*(LEFT(SAISIE!$B$5:$B$204,2)="G ")),SAISIE!$D$5:$D$204),LOOKUP(2,1/((SAISIE!$F$5:$F$204=$G$151)*(ISNUMBER(SEARCH("Couverture",SAISIE!$B$5:$B$204)))),SAISIE!$D$5:$D$204)),"-"))</f>
        <v/>
      </c>
      <c r="D152" s="6" t="str">
        <f>IF($G$151="","",IFERROR(IFERROR(LOOKUP(2,1/((SAISIE!$F$5:$F$204=$G$151)*(LEFT(SAISIE!$B$5:$B$204,2)="G ")),SAISIE!$E$5:$E$204),LOOKUP(2,1/((SAISIE!$F$5:$F$204=$G$151)*(ISNUMBER(SEARCH("Couverture",SAISIE!$B$5:$B$204)))),SAISIE!$E$5:$E$204)),"-"))</f>
        <v/>
      </c>
      <c r="E152" s="6" t="str">
        <f>IF($G$151="","",IF(OR(D152="",D152="-"),"",IF(D152&gt;0,"(soulevement)",IF(D152&lt;0,"(compression)","-"))))</f>
        <v/>
      </c>
    </row>
    <row r="153" spans="1:7" x14ac:dyDescent="0.25">
      <c r="A153" s="5" t="str">
        <f>IF(OR($G$151="",NOT(COUNTIFS(SAISIE!$B$5:$B$204,"*Vent G/D*",SAISIE!$F$5:$F$204,$G$151)&gt;0)),"","Vent G/D")</f>
        <v/>
      </c>
      <c r="B153" s="6" t="str">
        <f>IF(OR($G$151="",NOT(COUNTIFS(SAISIE!$B$5:$B$204,"*Vent G/D*",SAISIE!$F$5:$F$204,$G$151)&gt;0)),"",IFERROR(IF(_xlfn.MINIFS(SAISIE!$E$5:$E$204,SAISIE!$B$5:$B$204,"*Vent G/D*",SAISIE!$F$5:$F$204,$G$151)&gt;=0,_xlfn.MAXIFS(SAISIE!$C$5:$C$204,SAISIE!$B$5:$B$204,"*Vent G/D*",SAISIE!$F$5:$F$204,$G$151),INDEX(SAISIE!$C$5:$C$204,MATCH(_xlfn.MINIFS(SAISIE!$E$5:$E$204,SAISIE!$B$5:$B$204,"*Vent G/D*",SAISIE!$F$5:$F$204,$G$151),SAISIE!$E$5:$E$204,0))),"-"))</f>
        <v/>
      </c>
      <c r="C153" s="6" t="str">
        <f>IF(OR($G$151="",NOT(COUNTIFS(SAISIE!$B$5:$B$204,"*Vent G/D*",SAISIE!$F$5:$F$204,$G$151)&gt;0)),"",IFERROR(IF(_xlfn.MINIFS(SAISIE!$E$5:$E$204,SAISIE!$B$5:$B$204,"*Vent G/D*",SAISIE!$F$5:$F$204,$G$151)&gt;=0,INDEX(SAISIE!$D$5:$D$204,MATCH(_xlfn.MAXIFS(SAISIE!$C$5:$C$204,SAISIE!$B$5:$B$204,"*Vent G/D*",SAISIE!$F$5:$F$204,$G$151),SAISIE!$C$5:$C$204,0)),INDEX(SAISIE!$D$5:$D$204,MATCH(_xlfn.MINIFS(SAISIE!$E$5:$E$204,SAISIE!$B$5:$B$204,"*Vent G/D*",SAISIE!$F$5:$F$204,$G$151),SAISIE!$E$5:$E$204,0))),"-"))</f>
        <v/>
      </c>
      <c r="D153" s="6" t="str">
        <f>IF(OR($G$151="",NOT(COUNTIFS(SAISIE!$B$5:$B$204,"*Vent G/D*",SAISIE!$F$5:$F$204,$G$151)&gt;0)),"",IFERROR(IF(_xlfn.MINIFS(SAISIE!$E$5:$E$204,SAISIE!$B$5:$B$204,"*Vent G/D*",SAISIE!$F$5:$F$204,$G$151)&gt;=0,0,_xlfn.MINIFS(SAISIE!$E$5:$E$204,SAISIE!$B$5:$B$204,"*Vent G/D*",SAISIE!$F$5:$F$204,$G$151)),"-"))</f>
        <v/>
      </c>
      <c r="E153" s="6" t="str">
        <f>IF($G$151="","",IF(OR(D153="",D153="-"),"",IF(D153&gt;0,"(soulevement)",IF(D153&lt;0,"(compression)","-"))))</f>
        <v/>
      </c>
    </row>
    <row r="154" spans="1:7" x14ac:dyDescent="0.25">
      <c r="A154" s="5" t="str">
        <f>IF(OR($G$151="",NOT(_xlfn.MAXIFS(SAISIE!$E$5:$E$204,SAISIE!$B$5:$B$204,"*Vent G/D*",SAISIE!$F$5:$F$204,$G$151)&gt;0)),"","Vent G/D")</f>
        <v/>
      </c>
      <c r="B154" s="6" t="str">
        <f>IF(OR($G$151="",NOT(_xlfn.MAXIFS(SAISIE!$E$5:$E$204,SAISIE!$B$5:$B$204,"*Vent G/D*",SAISIE!$F$5:$F$204,$G$151)&gt;0)),"",IFERROR(INDEX(SAISIE!$C$5:$C$204,MATCH(_xlfn.MAXIFS(SAISIE!$E$5:$E$204,SAISIE!$B$5:$B$204,"*Vent G/D*",SAISIE!$F$5:$F$204,$G$151),SAISIE!$E$5:$E$204,0)),"-"))</f>
        <v/>
      </c>
      <c r="C154" s="6" t="str">
        <f>IF(OR($G$151="",NOT(_xlfn.MAXIFS(SAISIE!$E$5:$E$204,SAISIE!$B$5:$B$204,"*Vent G/D*",SAISIE!$F$5:$F$204,$G$151)&gt;0)),"",IFERROR(INDEX(SAISIE!$D$5:$D$204,MATCH(_xlfn.MAXIFS(SAISIE!$E$5:$E$204,SAISIE!$B$5:$B$204,"*Vent G/D*",SAISIE!$F$5:$F$204,$G$151),SAISIE!$E$5:$E$204,0)),"-"))</f>
        <v/>
      </c>
      <c r="D154" s="6" t="str">
        <f>IF(OR($G$151="",NOT(_xlfn.MAXIFS(SAISIE!$E$5:$E$204,SAISIE!$B$5:$B$204,"*Vent G/D*",SAISIE!$F$5:$F$204,$G$151)&gt;0)),"",IFERROR(_xlfn.MAXIFS(SAISIE!$E$5:$E$204,SAISIE!$B$5:$B$204,"*Vent G/D*",SAISIE!$F$5:$F$204,$G$151),"-"))</f>
        <v/>
      </c>
      <c r="E154" s="6" t="str">
        <f>IF($G$151="","",IF(OR(D154="",D154="-"),"",IF(D154&gt;0,"(soulevement)",IF(D154&lt;0,"(compression)","-"))))</f>
        <v/>
      </c>
    </row>
    <row r="155" spans="1:7" x14ac:dyDescent="0.25">
      <c r="A155" s="5" t="str">
        <f>IF(OR($G$151="",NOT(COUNTIFS(SAISIE!$B$5:$B$204,"*Vent D/G*",SAISIE!$F$5:$F$204,$G$151)&gt;0)),"","Vent D/G")</f>
        <v/>
      </c>
      <c r="B155" s="6" t="str">
        <f>IF(OR($G$151="",NOT(COUNTIFS(SAISIE!$B$5:$B$204,"*Vent D/G*",SAISIE!$F$5:$F$204,$G$151)&gt;0)),"",IFERROR(IF(_xlfn.MINIFS(SAISIE!$E$5:$E$204,SAISIE!$B$5:$B$204,"*Vent D/G*",SAISIE!$F$5:$F$204,$G$151)&gt;=0,_xlfn.MAXIFS(SAISIE!$C$5:$C$204,SAISIE!$B$5:$B$204,"*Vent D/G*",SAISIE!$F$5:$F$204,$G$151),INDEX(SAISIE!$C$5:$C$204,MATCH(_xlfn.MINIFS(SAISIE!$E$5:$E$204,SAISIE!$B$5:$B$204,"*Vent D/G*",SAISIE!$F$5:$F$204,$G$151),SAISIE!$E$5:$E$204,0))),"-"))</f>
        <v/>
      </c>
      <c r="C155" s="6" t="str">
        <f>IF(OR($G$151="",NOT(COUNTIFS(SAISIE!$B$5:$B$204,"*Vent D/G*",SAISIE!$F$5:$F$204,$G$151)&gt;0)),"",IFERROR(IF(_xlfn.MINIFS(SAISIE!$E$5:$E$204,SAISIE!$B$5:$B$204,"*Vent D/G*",SAISIE!$F$5:$F$204,$G$151)&gt;=0,INDEX(SAISIE!$D$5:$D$204,MATCH(_xlfn.MAXIFS(SAISIE!$C$5:$C$204,SAISIE!$B$5:$B$204,"*Vent D/G*",SAISIE!$F$5:$F$204,$G$151),SAISIE!$C$5:$C$204,0)),INDEX(SAISIE!$D$5:$D$204,MATCH(_xlfn.MINIFS(SAISIE!$E$5:$E$204,SAISIE!$B$5:$B$204,"*Vent D/G*",SAISIE!$F$5:$F$204,$G$151),SAISIE!$E$5:$E$204,0))),"-"))</f>
        <v/>
      </c>
      <c r="D155" s="6" t="str">
        <f>IF(OR($G$151="",NOT(COUNTIFS(SAISIE!$B$5:$B$204,"*Vent D/G*",SAISIE!$F$5:$F$204,$G$151)&gt;0)),"",IFERROR(IF(_xlfn.MINIFS(SAISIE!$E$5:$E$204,SAISIE!$B$5:$B$204,"*Vent D/G*",SAISIE!$F$5:$F$204,$G$151)&gt;=0,0,_xlfn.MINIFS(SAISIE!$E$5:$E$204,SAISIE!$B$5:$B$204,"*Vent D/G*",SAISIE!$F$5:$F$204,$G$151)),"-"))</f>
        <v/>
      </c>
      <c r="E155" s="6" t="str">
        <f>IF($G$151="","",IF(OR(D155="",D155="-"),"",IF(D155&gt;0,"(soulevement)",IF(D155&lt;0,"(compression)","-"))))</f>
        <v/>
      </c>
    </row>
    <row r="156" spans="1:7" x14ac:dyDescent="0.25">
      <c r="A156" s="5" t="str">
        <f>IF(OR($G$151="",NOT(_xlfn.MAXIFS(SAISIE!$E$5:$E$204,SAISIE!$B$5:$B$204,"*Vent D/G*",SAISIE!$F$5:$F$204,$G$151)&gt;0)),"","Vent D/G")</f>
        <v/>
      </c>
      <c r="B156" s="6" t="str">
        <f>IF(OR($G$151="",NOT(_xlfn.MAXIFS(SAISIE!$E$5:$E$204,SAISIE!$B$5:$B$204,"*Vent D/G*",SAISIE!$F$5:$F$204,$G$151)&gt;0)),"",IFERROR(INDEX(SAISIE!$C$5:$C$204,MATCH(_xlfn.MAXIFS(SAISIE!$E$5:$E$204,SAISIE!$B$5:$B$204,"*Vent D/G*",SAISIE!$F$5:$F$204,$G$151),SAISIE!$E$5:$E$204,0)),"-"))</f>
        <v/>
      </c>
      <c r="C156" s="6" t="str">
        <f>IF(OR($G$151="",NOT(_xlfn.MAXIFS(SAISIE!$E$5:$E$204,SAISIE!$B$5:$B$204,"*Vent D/G*",SAISIE!$F$5:$F$204,$G$151)&gt;0)),"",IFERROR(INDEX(SAISIE!$D$5:$D$204,MATCH(_xlfn.MAXIFS(SAISIE!$E$5:$E$204,SAISIE!$B$5:$B$204,"*Vent D/G*",SAISIE!$F$5:$F$204,$G$151),SAISIE!$E$5:$E$204,0)),"-"))</f>
        <v/>
      </c>
      <c r="D156" s="6" t="str">
        <f>IF(OR($G$151="",NOT(_xlfn.MAXIFS(SAISIE!$E$5:$E$204,SAISIE!$B$5:$B$204,"*Vent D/G*",SAISIE!$F$5:$F$204,$G$151)&gt;0)),"",IFERROR(_xlfn.MAXIFS(SAISIE!$E$5:$E$204,SAISIE!$B$5:$B$204,"*Vent D/G*",SAISIE!$F$5:$F$204,$G$151),"-"))</f>
        <v/>
      </c>
      <c r="E156" s="6" t="str">
        <f>IF($G$151="","",IF(OR(D156="",D156="-"),"",IF(D156&gt;0,"(soulevement)",IF(D156&lt;0,"(compression)","-"))))</f>
        <v/>
      </c>
    </row>
    <row r="157" spans="1:7" x14ac:dyDescent="0.25">
      <c r="A157" s="5" t="str">
        <f>IF(OR($G$151="",NOT(COUNTIFS(SAISIE!$B$5:$B$204,"*Vent Av./Arr.*",SAISIE!$F$5:$F$204,$G$151)&gt;0)),"","Vent Av./Arr.")</f>
        <v/>
      </c>
      <c r="B157" s="6" t="str">
        <f>IF(OR($G$151="",NOT(COUNTIFS(SAISIE!$B$5:$B$204,"*Vent Av./Arr.*",SAISIE!$F$5:$F$204,$G$151)&gt;0)),"",IFERROR(IF(_xlfn.MINIFS(SAISIE!$E$5:$E$204,SAISIE!$B$5:$B$204,"*Vent Av./Arr.*",SAISIE!$F$5:$F$204,$G$151)&gt;=0,_xlfn.MAXIFS(SAISIE!$C$5:$C$204,SAISIE!$B$5:$B$204,"*Vent Av./Arr.*",SAISIE!$F$5:$F$204,$G$151),INDEX(SAISIE!$C$5:$C$204,MATCH(_xlfn.MINIFS(SAISIE!$E$5:$E$204,SAISIE!$B$5:$B$204,"*Vent Av./Arr.*",SAISIE!$F$5:$F$204,$G$151),SAISIE!$E$5:$E$204,0))),"-"))</f>
        <v/>
      </c>
      <c r="C157" s="6" t="str">
        <f>IF(OR($G$151="",NOT(COUNTIFS(SAISIE!$B$5:$B$204,"*Vent Av./Arr.*",SAISIE!$F$5:$F$204,$G$151)&gt;0)),"",IFERROR(IF(_xlfn.MINIFS(SAISIE!$E$5:$E$204,SAISIE!$B$5:$B$204,"*Vent Av./Arr.*",SAISIE!$F$5:$F$204,$G$151)&gt;=0,INDEX(SAISIE!$D$5:$D$204,MATCH(_xlfn.MAXIFS(SAISIE!$C$5:$C$204,SAISIE!$B$5:$B$204,"*Vent Av./Arr.*",SAISIE!$F$5:$F$204,$G$151),SAISIE!$C$5:$C$204,0)),INDEX(SAISIE!$D$5:$D$204,MATCH(_xlfn.MINIFS(SAISIE!$E$5:$E$204,SAISIE!$B$5:$B$204,"*Vent Av./Arr.*",SAISIE!$F$5:$F$204,$G$151),SAISIE!$E$5:$E$204,0))),"-"))</f>
        <v/>
      </c>
      <c r="D157" s="6" t="str">
        <f>IF(OR($G$151="",NOT(COUNTIFS(SAISIE!$B$5:$B$204,"*Vent Av./Arr.*",SAISIE!$F$5:$F$204,$G$151)&gt;0)),"",IFERROR(IF(_xlfn.MINIFS(SAISIE!$E$5:$E$204,SAISIE!$B$5:$B$204,"*Vent Av./Arr.*",SAISIE!$F$5:$F$204,$G$151)&gt;=0,0,_xlfn.MINIFS(SAISIE!$E$5:$E$204,SAISIE!$B$5:$B$204,"*Vent Av./Arr.*",SAISIE!$F$5:$F$204,$G$151)),"-"))</f>
        <v/>
      </c>
      <c r="E157" s="6" t="str">
        <f>IF($G$151="","",IF(OR(D157="",D157="-"),"",IF(D157&gt;0,"(soulevement)",IF(D157&lt;0,"(compression)","-"))))</f>
        <v/>
      </c>
    </row>
    <row r="158" spans="1:7" x14ac:dyDescent="0.25">
      <c r="A158" s="5" t="str">
        <f>IF(OR($G$151="",NOT(_xlfn.MAXIFS(SAISIE!$E$5:$E$204,SAISIE!$B$5:$B$204,"*Vent Av./Arr.*",SAISIE!$F$5:$F$204,$G$151)&gt;0)),"","Vent Av./Arr.")</f>
        <v/>
      </c>
      <c r="B158" s="6" t="str">
        <f>IF(OR($G$151="",NOT(_xlfn.MAXIFS(SAISIE!$E$5:$E$204,SAISIE!$B$5:$B$204,"*Vent Av./Arr.*",SAISIE!$F$5:$F$204,$G$151)&gt;0)),"",IFERROR(INDEX(SAISIE!$C$5:$C$204,MATCH(_xlfn.MAXIFS(SAISIE!$E$5:$E$204,SAISIE!$B$5:$B$204,"*Vent Av./Arr.*",SAISIE!$F$5:$F$204,$G$151),SAISIE!$E$5:$E$204,0)),"-"))</f>
        <v/>
      </c>
      <c r="C158" s="6" t="str">
        <f>IF(OR($G$151="",NOT(_xlfn.MAXIFS(SAISIE!$E$5:$E$204,SAISIE!$B$5:$B$204,"*Vent Av./Arr.*",SAISIE!$F$5:$F$204,$G$151)&gt;0)),"",IFERROR(INDEX(SAISIE!$D$5:$D$204,MATCH(_xlfn.MAXIFS(SAISIE!$E$5:$E$204,SAISIE!$B$5:$B$204,"*Vent Av./Arr.*",SAISIE!$F$5:$F$204,$G$151),SAISIE!$E$5:$E$204,0)),"-"))</f>
        <v/>
      </c>
      <c r="D158" s="6" t="str">
        <f>IF(OR($G$151="",NOT(_xlfn.MAXIFS(SAISIE!$E$5:$E$204,SAISIE!$B$5:$B$204,"*Vent Av./Arr.*",SAISIE!$F$5:$F$204,$G$151)&gt;0)),"",IFERROR(_xlfn.MAXIFS(SAISIE!$E$5:$E$204,SAISIE!$B$5:$B$204,"*Vent Av./Arr.*",SAISIE!$F$5:$F$204,$G$151),"-"))</f>
        <v/>
      </c>
      <c r="E158" s="6" t="str">
        <f>IF($G$151="","",IF(OR(D158="",D158="-"),"",IF(D158&gt;0,"(soulevement)",IF(D158&lt;0,"(compression)","-"))))</f>
        <v/>
      </c>
    </row>
    <row r="159" spans="1:7" x14ac:dyDescent="0.25">
      <c r="A159" s="5" t="str">
        <f>IF(OR($G$151="",NOT(COUNTIFS(SAISIE!$B$5:$B$204,"*Vent Arr./Av.*",SAISIE!$F$5:$F$204,$G$151)&gt;0)),"","Vent Arr./Av.")</f>
        <v/>
      </c>
      <c r="B159" s="6" t="str">
        <f>IF(OR($G$151="",NOT(COUNTIFS(SAISIE!$B$5:$B$204,"*Vent Arr./Av.*",SAISIE!$F$5:$F$204,$G$151)&gt;0)),"",IFERROR(IF(_xlfn.MINIFS(SAISIE!$E$5:$E$204,SAISIE!$B$5:$B$204,"*Vent Arr./Av.*",SAISIE!$F$5:$F$204,$G$151)&gt;=0,_xlfn.MAXIFS(SAISIE!$C$5:$C$204,SAISIE!$B$5:$B$204,"*Vent Arr./Av.*",SAISIE!$F$5:$F$204,$G$151),INDEX(SAISIE!$C$5:$C$204,MATCH(_xlfn.MINIFS(SAISIE!$E$5:$E$204,SAISIE!$B$5:$B$204,"*Vent Arr./Av.*",SAISIE!$F$5:$F$204,$G$151),SAISIE!$E$5:$E$204,0))),"-"))</f>
        <v/>
      </c>
      <c r="C159" s="6" t="str">
        <f>IF(OR($G$151="",NOT(COUNTIFS(SAISIE!$B$5:$B$204,"*Vent Arr./Av.*",SAISIE!$F$5:$F$204,$G$151)&gt;0)),"",IFERROR(IF(_xlfn.MINIFS(SAISIE!$E$5:$E$204,SAISIE!$B$5:$B$204,"*Vent Arr./Av.*",SAISIE!$F$5:$F$204,$G$151)&gt;=0,INDEX(SAISIE!$D$5:$D$204,MATCH(_xlfn.MAXIFS(SAISIE!$C$5:$C$204,SAISIE!$B$5:$B$204,"*Vent Arr./Av.*",SAISIE!$F$5:$F$204,$G$151),SAISIE!$C$5:$C$204,0)),INDEX(SAISIE!$D$5:$D$204,MATCH(_xlfn.MINIFS(SAISIE!$E$5:$E$204,SAISIE!$B$5:$B$204,"*Vent Arr./Av.*",SAISIE!$F$5:$F$204,$G$151),SAISIE!$E$5:$E$204,0))),"-"))</f>
        <v/>
      </c>
      <c r="D159" s="6" t="str">
        <f>IF(OR($G$151="",NOT(COUNTIFS(SAISIE!$B$5:$B$204,"*Vent Arr./Av.*",SAISIE!$F$5:$F$204,$G$151)&gt;0)),"",IFERROR(IF(_xlfn.MINIFS(SAISIE!$E$5:$E$204,SAISIE!$B$5:$B$204,"*Vent Arr./Av.*",SAISIE!$F$5:$F$204,$G$151)&gt;=0,0,_xlfn.MINIFS(SAISIE!$E$5:$E$204,SAISIE!$B$5:$B$204,"*Vent Arr./Av.*",SAISIE!$F$5:$F$204,$G$151)),"-"))</f>
        <v/>
      </c>
      <c r="E159" s="6" t="str">
        <f>IF($G$151="","",IF(OR(D159="",D159="-"),"",IF(D159&gt;0,"(soulevement)",IF(D159&lt;0,"(compression)","-"))))</f>
        <v/>
      </c>
    </row>
    <row r="160" spans="1:7" x14ac:dyDescent="0.25">
      <c r="A160" s="5" t="str">
        <f>IF(OR($G$151="",NOT(_xlfn.MAXIFS(SAISIE!$E$5:$E$204,SAISIE!$B$5:$B$204,"*Vent Arr./Av.*",SAISIE!$F$5:$F$204,$G$151)&gt;0)),"","Vent Arr./Av.")</f>
        <v/>
      </c>
      <c r="B160" s="6" t="str">
        <f>IF(OR($G$151="",NOT(_xlfn.MAXIFS(SAISIE!$E$5:$E$204,SAISIE!$B$5:$B$204,"*Vent Arr./Av.*",SAISIE!$F$5:$F$204,$G$151)&gt;0)),"",IFERROR(INDEX(SAISIE!$C$5:$C$204,MATCH(_xlfn.MAXIFS(SAISIE!$E$5:$E$204,SAISIE!$B$5:$B$204,"*Vent Arr./Av.*",SAISIE!$F$5:$F$204,$G$151),SAISIE!$E$5:$E$204,0)),"-"))</f>
        <v/>
      </c>
      <c r="C160" s="6" t="str">
        <f>IF(OR($G$151="",NOT(_xlfn.MAXIFS(SAISIE!$E$5:$E$204,SAISIE!$B$5:$B$204,"*Vent Arr./Av.*",SAISIE!$F$5:$F$204,$G$151)&gt;0)),"",IFERROR(INDEX(SAISIE!$D$5:$D$204,MATCH(_xlfn.MAXIFS(SAISIE!$E$5:$E$204,SAISIE!$B$5:$B$204,"*Vent Arr./Av.*",SAISIE!$F$5:$F$204,$G$151),SAISIE!$E$5:$E$204,0)),"-"))</f>
        <v/>
      </c>
      <c r="D160" s="6" t="str">
        <f>IF(OR($G$151="",NOT(_xlfn.MAXIFS(SAISIE!$E$5:$E$204,SAISIE!$B$5:$B$204,"*Vent Arr./Av.*",SAISIE!$F$5:$F$204,$G$151)&gt;0)),"",IFERROR(_xlfn.MAXIFS(SAISIE!$E$5:$E$204,SAISIE!$B$5:$B$204,"*Vent Arr./Av.*",SAISIE!$F$5:$F$204,$G$151),"-"))</f>
        <v/>
      </c>
      <c r="E160" s="6" t="str">
        <f>IF($G$151="","",IF(OR(D160="",D160="-"),"",IF(D160&gt;0,"(soulevement)",IF(D160&lt;0,"(compression)","-"))))</f>
        <v/>
      </c>
    </row>
    <row r="161" spans="1:7" x14ac:dyDescent="0.25">
      <c r="A161" s="5" t="str">
        <f>IF(OR($G$151="",NOT(TRUE)),"","Neige normale")</f>
        <v/>
      </c>
      <c r="B161" s="6" t="str">
        <f>IF($G$151="","",IFERROR(INDEX(SAISIE!$C$5:$C$204,MATCH(_xlfn.MINIFS(SAISIE!$E$5:$E$204,SAISIE!$B$5:$B$204,"*Neige*",SAISIE!$B$5:$B$204,"&lt;&gt;*accidentel*",SAISIE!$F$5:$F$204,$G$151),SAISIE!$E$5:$E$204,0)),"-"))</f>
        <v/>
      </c>
      <c r="C161" s="6" t="str">
        <f>IF($G$151="","",IFERROR(INDEX(SAISIE!$D$5:$D$204,MATCH(_xlfn.MINIFS(SAISIE!$E$5:$E$204,SAISIE!$B$5:$B$204,"*Neige*",SAISIE!$B$5:$B$204,"&lt;&gt;*accidentel*",SAISIE!$F$5:$F$204,$G$151),SAISIE!$E$5:$E$204,0)),"-"))</f>
        <v/>
      </c>
      <c r="D161" s="6" t="str">
        <f>IF($G$151="","",IFERROR(INDEX(SAISIE!$E$5:$E$204,MATCH(_xlfn.MINIFS(SAISIE!$E$5:$E$204,SAISIE!$B$5:$B$204,"*Neige*",SAISIE!$B$5:$B$204,"&lt;&gt;*accidentel*",SAISIE!$F$5:$F$204,$G$151),SAISIE!$E$5:$E$204,0)),"-"))</f>
        <v/>
      </c>
      <c r="E161" s="6" t="str">
        <f>IF($G$151="","",IF(OR(D161="",D161="-"),"",IF(D161&gt;0,"(soulevement)",IF(D161&lt;0,"(compression)","-"))))</f>
        <v/>
      </c>
    </row>
    <row r="162" spans="1:7" x14ac:dyDescent="0.25">
      <c r="A162" s="5" t="str">
        <f>IF(OR($G$151="",NOT(TRUE)),"","Neige accidentelle")</f>
        <v/>
      </c>
      <c r="B162" s="6" t="str">
        <f>IF($G$151="","",IFERROR(LOOKUP(2,1/((SAISIE!$F$5:$F$204=$G$151)*(ISNUMBER(SEARCH("accidentel",SAISIE!$B$5:$B$204)))),SAISIE!$C$5:$C$204),"-"))</f>
        <v/>
      </c>
      <c r="C162" s="6" t="str">
        <f>IF($G$151="","",IFERROR(LOOKUP(2,1/((SAISIE!$F$5:$F$204=$G$151)*(ISNUMBER(SEARCH("accidentel",SAISIE!$B$5:$B$204)))),SAISIE!$D$5:$D$204),"-"))</f>
        <v/>
      </c>
      <c r="D162" s="6" t="str">
        <f>IF($G$151="","",IFERROR(LOOKUP(2,1/((SAISIE!$F$5:$F$204=$G$151)*(ISNUMBER(SEARCH("accidentel",SAISIE!$B$5:$B$204)))),SAISIE!$E$5:$E$204),"-"))</f>
        <v/>
      </c>
      <c r="E162" s="6" t="str">
        <f>IF($G$151="","",IF(OR(D162="",D162="-"),"",IF(D162&gt;0,"(soulevement)",IF(D162&lt;0,"(compression)","-"))))</f>
        <v/>
      </c>
    </row>
    <row r="163" spans="1:7" ht="15.75" x14ac:dyDescent="0.25">
      <c r="A163" s="11" t="str">
        <f>IF($G$163="","","Noeud "&amp;$G$163)</f>
        <v/>
      </c>
      <c r="B163" s="12"/>
      <c r="C163" s="12"/>
      <c r="D163" s="12"/>
      <c r="E163" s="12"/>
      <c r="G163" t="str">
        <f>IFERROR(INDEX(SAISIE!$F$5:$F$204,_xlfn.AGGREGATE(15,6,ROW(SAISIE!$F$5:$F$204)-ROW(SAISIE!$F$5)+1/(SAISIE!$F$5:$F$204&lt;&gt;"")/(COUNTIF($G$4:G162,SAISIE!$F$5:$F$204)=0),1)),"")</f>
        <v/>
      </c>
    </row>
    <row r="164" spans="1:7" x14ac:dyDescent="0.25">
      <c r="A164" s="5" t="str">
        <f>IF(OR($G$163="",NOT(TRUE)),"","Couverture")</f>
        <v/>
      </c>
      <c r="B164" s="6" t="str">
        <f>IF($G$163="","",IFERROR(IFERROR(LOOKUP(2,1/((SAISIE!$F$5:$F$204=$G$163)*(LEFT(SAISIE!$B$5:$B$204,2)="G ")),SAISIE!$C$5:$C$204),LOOKUP(2,1/((SAISIE!$F$5:$F$204=$G$163)*(ISNUMBER(SEARCH("Couverture",SAISIE!$B$5:$B$204)))),SAISIE!$C$5:$C$204)),"-"))</f>
        <v/>
      </c>
      <c r="C164" s="6" t="str">
        <f>IF($G$163="","",IFERROR(IFERROR(LOOKUP(2,1/((SAISIE!$F$5:$F$204=$G$163)*(LEFT(SAISIE!$B$5:$B$204,2)="G ")),SAISIE!$D$5:$D$204),LOOKUP(2,1/((SAISIE!$F$5:$F$204=$G$163)*(ISNUMBER(SEARCH("Couverture",SAISIE!$B$5:$B$204)))),SAISIE!$D$5:$D$204)),"-"))</f>
        <v/>
      </c>
      <c r="D164" s="6" t="str">
        <f>IF($G$163="","",IFERROR(IFERROR(LOOKUP(2,1/((SAISIE!$F$5:$F$204=$G$163)*(LEFT(SAISIE!$B$5:$B$204,2)="G ")),SAISIE!$E$5:$E$204),LOOKUP(2,1/((SAISIE!$F$5:$F$204=$G$163)*(ISNUMBER(SEARCH("Couverture",SAISIE!$B$5:$B$204)))),SAISIE!$E$5:$E$204)),"-"))</f>
        <v/>
      </c>
      <c r="E164" s="6" t="str">
        <f>IF($G$163="","",IF(OR(D164="",D164="-"),"",IF(D164&gt;0,"(soulevement)",IF(D164&lt;0,"(compression)","-"))))</f>
        <v/>
      </c>
    </row>
    <row r="165" spans="1:7" x14ac:dyDescent="0.25">
      <c r="A165" s="5" t="str">
        <f>IF(OR($G$163="",NOT(COUNTIFS(SAISIE!$B$5:$B$204,"*Vent G/D*",SAISIE!$F$5:$F$204,$G$163)&gt;0)),"","Vent G/D")</f>
        <v/>
      </c>
      <c r="B165" s="6" t="str">
        <f>IF(OR($G$163="",NOT(COUNTIFS(SAISIE!$B$5:$B$204,"*Vent G/D*",SAISIE!$F$5:$F$204,$G$163)&gt;0)),"",IFERROR(IF(_xlfn.MINIFS(SAISIE!$E$5:$E$204,SAISIE!$B$5:$B$204,"*Vent G/D*",SAISIE!$F$5:$F$204,$G$163)&gt;=0,_xlfn.MAXIFS(SAISIE!$C$5:$C$204,SAISIE!$B$5:$B$204,"*Vent G/D*",SAISIE!$F$5:$F$204,$G$163),INDEX(SAISIE!$C$5:$C$204,MATCH(_xlfn.MINIFS(SAISIE!$E$5:$E$204,SAISIE!$B$5:$B$204,"*Vent G/D*",SAISIE!$F$5:$F$204,$G$163),SAISIE!$E$5:$E$204,0))),"-"))</f>
        <v/>
      </c>
      <c r="C165" s="6" t="str">
        <f>IF(OR($G$163="",NOT(COUNTIFS(SAISIE!$B$5:$B$204,"*Vent G/D*",SAISIE!$F$5:$F$204,$G$163)&gt;0)),"",IFERROR(IF(_xlfn.MINIFS(SAISIE!$E$5:$E$204,SAISIE!$B$5:$B$204,"*Vent G/D*",SAISIE!$F$5:$F$204,$G$163)&gt;=0,INDEX(SAISIE!$D$5:$D$204,MATCH(_xlfn.MAXIFS(SAISIE!$C$5:$C$204,SAISIE!$B$5:$B$204,"*Vent G/D*",SAISIE!$F$5:$F$204,$G$163),SAISIE!$C$5:$C$204,0)),INDEX(SAISIE!$D$5:$D$204,MATCH(_xlfn.MINIFS(SAISIE!$E$5:$E$204,SAISIE!$B$5:$B$204,"*Vent G/D*",SAISIE!$F$5:$F$204,$G$163),SAISIE!$E$5:$E$204,0))),"-"))</f>
        <v/>
      </c>
      <c r="D165" s="6" t="str">
        <f>IF(OR($G$163="",NOT(COUNTIFS(SAISIE!$B$5:$B$204,"*Vent G/D*",SAISIE!$F$5:$F$204,$G$163)&gt;0)),"",IFERROR(IF(_xlfn.MINIFS(SAISIE!$E$5:$E$204,SAISIE!$B$5:$B$204,"*Vent G/D*",SAISIE!$F$5:$F$204,$G$163)&gt;=0,0,_xlfn.MINIFS(SAISIE!$E$5:$E$204,SAISIE!$B$5:$B$204,"*Vent G/D*",SAISIE!$F$5:$F$204,$G$163)),"-"))</f>
        <v/>
      </c>
      <c r="E165" s="6" t="str">
        <f>IF($G$163="","",IF(OR(D165="",D165="-"),"",IF(D165&gt;0,"(soulevement)",IF(D165&lt;0,"(compression)","-"))))</f>
        <v/>
      </c>
    </row>
    <row r="166" spans="1:7" x14ac:dyDescent="0.25">
      <c r="A166" s="5" t="str">
        <f>IF(OR($G$163="",NOT(_xlfn.MAXIFS(SAISIE!$E$5:$E$204,SAISIE!$B$5:$B$204,"*Vent G/D*",SAISIE!$F$5:$F$204,$G$163)&gt;0)),"","Vent G/D")</f>
        <v/>
      </c>
      <c r="B166" s="6" t="str">
        <f>IF(OR($G$163="",NOT(_xlfn.MAXIFS(SAISIE!$E$5:$E$204,SAISIE!$B$5:$B$204,"*Vent G/D*",SAISIE!$F$5:$F$204,$G$163)&gt;0)),"",IFERROR(INDEX(SAISIE!$C$5:$C$204,MATCH(_xlfn.MAXIFS(SAISIE!$E$5:$E$204,SAISIE!$B$5:$B$204,"*Vent G/D*",SAISIE!$F$5:$F$204,$G$163),SAISIE!$E$5:$E$204,0)),"-"))</f>
        <v/>
      </c>
      <c r="C166" s="6" t="str">
        <f>IF(OR($G$163="",NOT(_xlfn.MAXIFS(SAISIE!$E$5:$E$204,SAISIE!$B$5:$B$204,"*Vent G/D*",SAISIE!$F$5:$F$204,$G$163)&gt;0)),"",IFERROR(INDEX(SAISIE!$D$5:$D$204,MATCH(_xlfn.MAXIFS(SAISIE!$E$5:$E$204,SAISIE!$B$5:$B$204,"*Vent G/D*",SAISIE!$F$5:$F$204,$G$163),SAISIE!$E$5:$E$204,0)),"-"))</f>
        <v/>
      </c>
      <c r="D166" s="6" t="str">
        <f>IF(OR($G$163="",NOT(_xlfn.MAXIFS(SAISIE!$E$5:$E$204,SAISIE!$B$5:$B$204,"*Vent G/D*",SAISIE!$F$5:$F$204,$G$163)&gt;0)),"",IFERROR(_xlfn.MAXIFS(SAISIE!$E$5:$E$204,SAISIE!$B$5:$B$204,"*Vent G/D*",SAISIE!$F$5:$F$204,$G$163),"-"))</f>
        <v/>
      </c>
      <c r="E166" s="6" t="str">
        <f>IF($G$163="","",IF(OR(D166="",D166="-"),"",IF(D166&gt;0,"(soulevement)",IF(D166&lt;0,"(compression)","-"))))</f>
        <v/>
      </c>
    </row>
    <row r="167" spans="1:7" x14ac:dyDescent="0.25">
      <c r="A167" s="5" t="str">
        <f>IF(OR($G$163="",NOT(COUNTIFS(SAISIE!$B$5:$B$204,"*Vent D/G*",SAISIE!$F$5:$F$204,$G$163)&gt;0)),"","Vent D/G")</f>
        <v/>
      </c>
      <c r="B167" s="6" t="str">
        <f>IF(OR($G$163="",NOT(COUNTIFS(SAISIE!$B$5:$B$204,"*Vent D/G*",SAISIE!$F$5:$F$204,$G$163)&gt;0)),"",IFERROR(IF(_xlfn.MINIFS(SAISIE!$E$5:$E$204,SAISIE!$B$5:$B$204,"*Vent D/G*",SAISIE!$F$5:$F$204,$G$163)&gt;=0,_xlfn.MAXIFS(SAISIE!$C$5:$C$204,SAISIE!$B$5:$B$204,"*Vent D/G*",SAISIE!$F$5:$F$204,$G$163),INDEX(SAISIE!$C$5:$C$204,MATCH(_xlfn.MINIFS(SAISIE!$E$5:$E$204,SAISIE!$B$5:$B$204,"*Vent D/G*",SAISIE!$F$5:$F$204,$G$163),SAISIE!$E$5:$E$204,0))),"-"))</f>
        <v/>
      </c>
      <c r="C167" s="6" t="str">
        <f>IF(OR($G$163="",NOT(COUNTIFS(SAISIE!$B$5:$B$204,"*Vent D/G*",SAISIE!$F$5:$F$204,$G$163)&gt;0)),"",IFERROR(IF(_xlfn.MINIFS(SAISIE!$E$5:$E$204,SAISIE!$B$5:$B$204,"*Vent D/G*",SAISIE!$F$5:$F$204,$G$163)&gt;=0,INDEX(SAISIE!$D$5:$D$204,MATCH(_xlfn.MAXIFS(SAISIE!$C$5:$C$204,SAISIE!$B$5:$B$204,"*Vent D/G*",SAISIE!$F$5:$F$204,$G$163),SAISIE!$C$5:$C$204,0)),INDEX(SAISIE!$D$5:$D$204,MATCH(_xlfn.MINIFS(SAISIE!$E$5:$E$204,SAISIE!$B$5:$B$204,"*Vent D/G*",SAISIE!$F$5:$F$204,$G$163),SAISIE!$E$5:$E$204,0))),"-"))</f>
        <v/>
      </c>
      <c r="D167" s="6" t="str">
        <f>IF(OR($G$163="",NOT(COUNTIFS(SAISIE!$B$5:$B$204,"*Vent D/G*",SAISIE!$F$5:$F$204,$G$163)&gt;0)),"",IFERROR(IF(_xlfn.MINIFS(SAISIE!$E$5:$E$204,SAISIE!$B$5:$B$204,"*Vent D/G*",SAISIE!$F$5:$F$204,$G$163)&gt;=0,0,_xlfn.MINIFS(SAISIE!$E$5:$E$204,SAISIE!$B$5:$B$204,"*Vent D/G*",SAISIE!$F$5:$F$204,$G$163)),"-"))</f>
        <v/>
      </c>
      <c r="E167" s="6" t="str">
        <f>IF($G$163="","",IF(OR(D167="",D167="-"),"",IF(D167&gt;0,"(soulevement)",IF(D167&lt;0,"(compression)","-"))))</f>
        <v/>
      </c>
    </row>
    <row r="168" spans="1:7" x14ac:dyDescent="0.25">
      <c r="A168" s="5" t="str">
        <f>IF(OR($G$163="",NOT(_xlfn.MAXIFS(SAISIE!$E$5:$E$204,SAISIE!$B$5:$B$204,"*Vent D/G*",SAISIE!$F$5:$F$204,$G$163)&gt;0)),"","Vent D/G")</f>
        <v/>
      </c>
      <c r="B168" s="6" t="str">
        <f>IF(OR($G$163="",NOT(_xlfn.MAXIFS(SAISIE!$E$5:$E$204,SAISIE!$B$5:$B$204,"*Vent D/G*",SAISIE!$F$5:$F$204,$G$163)&gt;0)),"",IFERROR(INDEX(SAISIE!$C$5:$C$204,MATCH(_xlfn.MAXIFS(SAISIE!$E$5:$E$204,SAISIE!$B$5:$B$204,"*Vent D/G*",SAISIE!$F$5:$F$204,$G$163),SAISIE!$E$5:$E$204,0)),"-"))</f>
        <v/>
      </c>
      <c r="C168" s="6" t="str">
        <f>IF(OR($G$163="",NOT(_xlfn.MAXIFS(SAISIE!$E$5:$E$204,SAISIE!$B$5:$B$204,"*Vent D/G*",SAISIE!$F$5:$F$204,$G$163)&gt;0)),"",IFERROR(INDEX(SAISIE!$D$5:$D$204,MATCH(_xlfn.MAXIFS(SAISIE!$E$5:$E$204,SAISIE!$B$5:$B$204,"*Vent D/G*",SAISIE!$F$5:$F$204,$G$163),SAISIE!$E$5:$E$204,0)),"-"))</f>
        <v/>
      </c>
      <c r="D168" s="6" t="str">
        <f>IF(OR($G$163="",NOT(_xlfn.MAXIFS(SAISIE!$E$5:$E$204,SAISIE!$B$5:$B$204,"*Vent D/G*",SAISIE!$F$5:$F$204,$G$163)&gt;0)),"",IFERROR(_xlfn.MAXIFS(SAISIE!$E$5:$E$204,SAISIE!$B$5:$B$204,"*Vent D/G*",SAISIE!$F$5:$F$204,$G$163),"-"))</f>
        <v/>
      </c>
      <c r="E168" s="6" t="str">
        <f>IF($G$163="","",IF(OR(D168="",D168="-"),"",IF(D168&gt;0,"(soulevement)",IF(D168&lt;0,"(compression)","-"))))</f>
        <v/>
      </c>
    </row>
    <row r="169" spans="1:7" x14ac:dyDescent="0.25">
      <c r="A169" s="5" t="str">
        <f>IF(OR($G$163="",NOT(COUNTIFS(SAISIE!$B$5:$B$204,"*Vent Av./Arr.*",SAISIE!$F$5:$F$204,$G$163)&gt;0)),"","Vent Av./Arr.")</f>
        <v/>
      </c>
      <c r="B169" s="6" t="str">
        <f>IF(OR($G$163="",NOT(COUNTIFS(SAISIE!$B$5:$B$204,"*Vent Av./Arr.*",SAISIE!$F$5:$F$204,$G$163)&gt;0)),"",IFERROR(IF(_xlfn.MINIFS(SAISIE!$E$5:$E$204,SAISIE!$B$5:$B$204,"*Vent Av./Arr.*",SAISIE!$F$5:$F$204,$G$163)&gt;=0,_xlfn.MAXIFS(SAISIE!$C$5:$C$204,SAISIE!$B$5:$B$204,"*Vent Av./Arr.*",SAISIE!$F$5:$F$204,$G$163),INDEX(SAISIE!$C$5:$C$204,MATCH(_xlfn.MINIFS(SAISIE!$E$5:$E$204,SAISIE!$B$5:$B$204,"*Vent Av./Arr.*",SAISIE!$F$5:$F$204,$G$163),SAISIE!$E$5:$E$204,0))),"-"))</f>
        <v/>
      </c>
      <c r="C169" s="6" t="str">
        <f>IF(OR($G$163="",NOT(COUNTIFS(SAISIE!$B$5:$B$204,"*Vent Av./Arr.*",SAISIE!$F$5:$F$204,$G$163)&gt;0)),"",IFERROR(IF(_xlfn.MINIFS(SAISIE!$E$5:$E$204,SAISIE!$B$5:$B$204,"*Vent Av./Arr.*",SAISIE!$F$5:$F$204,$G$163)&gt;=0,INDEX(SAISIE!$D$5:$D$204,MATCH(_xlfn.MAXIFS(SAISIE!$C$5:$C$204,SAISIE!$B$5:$B$204,"*Vent Av./Arr.*",SAISIE!$F$5:$F$204,$G$163),SAISIE!$C$5:$C$204,0)),INDEX(SAISIE!$D$5:$D$204,MATCH(_xlfn.MINIFS(SAISIE!$E$5:$E$204,SAISIE!$B$5:$B$204,"*Vent Av./Arr.*",SAISIE!$F$5:$F$204,$G$163),SAISIE!$E$5:$E$204,0))),"-"))</f>
        <v/>
      </c>
      <c r="D169" s="6" t="str">
        <f>IF(OR($G$163="",NOT(COUNTIFS(SAISIE!$B$5:$B$204,"*Vent Av./Arr.*",SAISIE!$F$5:$F$204,$G$163)&gt;0)),"",IFERROR(IF(_xlfn.MINIFS(SAISIE!$E$5:$E$204,SAISIE!$B$5:$B$204,"*Vent Av./Arr.*",SAISIE!$F$5:$F$204,$G$163)&gt;=0,0,_xlfn.MINIFS(SAISIE!$E$5:$E$204,SAISIE!$B$5:$B$204,"*Vent Av./Arr.*",SAISIE!$F$5:$F$204,$G$163)),"-"))</f>
        <v/>
      </c>
      <c r="E169" s="6" t="str">
        <f>IF($G$163="","",IF(OR(D169="",D169="-"),"",IF(D169&gt;0,"(soulevement)",IF(D169&lt;0,"(compression)","-"))))</f>
        <v/>
      </c>
    </row>
    <row r="170" spans="1:7" x14ac:dyDescent="0.25">
      <c r="A170" s="5" t="str">
        <f>IF(OR($G$163="",NOT(_xlfn.MAXIFS(SAISIE!$E$5:$E$204,SAISIE!$B$5:$B$204,"*Vent Av./Arr.*",SAISIE!$F$5:$F$204,$G$163)&gt;0)),"","Vent Av./Arr.")</f>
        <v/>
      </c>
      <c r="B170" s="6" t="str">
        <f>IF(OR($G$163="",NOT(_xlfn.MAXIFS(SAISIE!$E$5:$E$204,SAISIE!$B$5:$B$204,"*Vent Av./Arr.*",SAISIE!$F$5:$F$204,$G$163)&gt;0)),"",IFERROR(INDEX(SAISIE!$C$5:$C$204,MATCH(_xlfn.MAXIFS(SAISIE!$E$5:$E$204,SAISIE!$B$5:$B$204,"*Vent Av./Arr.*",SAISIE!$F$5:$F$204,$G$163),SAISIE!$E$5:$E$204,0)),"-"))</f>
        <v/>
      </c>
      <c r="C170" s="6" t="str">
        <f>IF(OR($G$163="",NOT(_xlfn.MAXIFS(SAISIE!$E$5:$E$204,SAISIE!$B$5:$B$204,"*Vent Av./Arr.*",SAISIE!$F$5:$F$204,$G$163)&gt;0)),"",IFERROR(INDEX(SAISIE!$D$5:$D$204,MATCH(_xlfn.MAXIFS(SAISIE!$E$5:$E$204,SAISIE!$B$5:$B$204,"*Vent Av./Arr.*",SAISIE!$F$5:$F$204,$G$163),SAISIE!$E$5:$E$204,0)),"-"))</f>
        <v/>
      </c>
      <c r="D170" s="6" t="str">
        <f>IF(OR($G$163="",NOT(_xlfn.MAXIFS(SAISIE!$E$5:$E$204,SAISIE!$B$5:$B$204,"*Vent Av./Arr.*",SAISIE!$F$5:$F$204,$G$163)&gt;0)),"",IFERROR(_xlfn.MAXIFS(SAISIE!$E$5:$E$204,SAISIE!$B$5:$B$204,"*Vent Av./Arr.*",SAISIE!$F$5:$F$204,$G$163),"-"))</f>
        <v/>
      </c>
      <c r="E170" s="6" t="str">
        <f>IF($G$163="","",IF(OR(D170="",D170="-"),"",IF(D170&gt;0,"(soulevement)",IF(D170&lt;0,"(compression)","-"))))</f>
        <v/>
      </c>
    </row>
    <row r="171" spans="1:7" x14ac:dyDescent="0.25">
      <c r="A171" s="5" t="str">
        <f>IF(OR($G$163="",NOT(COUNTIFS(SAISIE!$B$5:$B$204,"*Vent Arr./Av.*",SAISIE!$F$5:$F$204,$G$163)&gt;0)),"","Vent Arr./Av.")</f>
        <v/>
      </c>
      <c r="B171" s="6" t="str">
        <f>IF(OR($G$163="",NOT(COUNTIFS(SAISIE!$B$5:$B$204,"*Vent Arr./Av.*",SAISIE!$F$5:$F$204,$G$163)&gt;0)),"",IFERROR(IF(_xlfn.MINIFS(SAISIE!$E$5:$E$204,SAISIE!$B$5:$B$204,"*Vent Arr./Av.*",SAISIE!$F$5:$F$204,$G$163)&gt;=0,_xlfn.MAXIFS(SAISIE!$C$5:$C$204,SAISIE!$B$5:$B$204,"*Vent Arr./Av.*",SAISIE!$F$5:$F$204,$G$163),INDEX(SAISIE!$C$5:$C$204,MATCH(_xlfn.MINIFS(SAISIE!$E$5:$E$204,SAISIE!$B$5:$B$204,"*Vent Arr./Av.*",SAISIE!$F$5:$F$204,$G$163),SAISIE!$E$5:$E$204,0))),"-"))</f>
        <v/>
      </c>
      <c r="C171" s="6" t="str">
        <f>IF(OR($G$163="",NOT(COUNTIFS(SAISIE!$B$5:$B$204,"*Vent Arr./Av.*",SAISIE!$F$5:$F$204,$G$163)&gt;0)),"",IFERROR(IF(_xlfn.MINIFS(SAISIE!$E$5:$E$204,SAISIE!$B$5:$B$204,"*Vent Arr./Av.*",SAISIE!$F$5:$F$204,$G$163)&gt;=0,INDEX(SAISIE!$D$5:$D$204,MATCH(_xlfn.MAXIFS(SAISIE!$C$5:$C$204,SAISIE!$B$5:$B$204,"*Vent Arr./Av.*",SAISIE!$F$5:$F$204,$G$163),SAISIE!$C$5:$C$204,0)),INDEX(SAISIE!$D$5:$D$204,MATCH(_xlfn.MINIFS(SAISIE!$E$5:$E$204,SAISIE!$B$5:$B$204,"*Vent Arr./Av.*",SAISIE!$F$5:$F$204,$G$163),SAISIE!$E$5:$E$204,0))),"-"))</f>
        <v/>
      </c>
      <c r="D171" s="6" t="str">
        <f>IF(OR($G$163="",NOT(COUNTIFS(SAISIE!$B$5:$B$204,"*Vent Arr./Av.*",SAISIE!$F$5:$F$204,$G$163)&gt;0)),"",IFERROR(IF(_xlfn.MINIFS(SAISIE!$E$5:$E$204,SAISIE!$B$5:$B$204,"*Vent Arr./Av.*",SAISIE!$F$5:$F$204,$G$163)&gt;=0,0,_xlfn.MINIFS(SAISIE!$E$5:$E$204,SAISIE!$B$5:$B$204,"*Vent Arr./Av.*",SAISIE!$F$5:$F$204,$G$163)),"-"))</f>
        <v/>
      </c>
      <c r="E171" s="6" t="str">
        <f>IF($G$163="","",IF(OR(D171="",D171="-"),"",IF(D171&gt;0,"(soulevement)",IF(D171&lt;0,"(compression)","-"))))</f>
        <v/>
      </c>
    </row>
    <row r="172" spans="1:7" x14ac:dyDescent="0.25">
      <c r="A172" s="5" t="str">
        <f>IF(OR($G$163="",NOT(_xlfn.MAXIFS(SAISIE!$E$5:$E$204,SAISIE!$B$5:$B$204,"*Vent Arr./Av.*",SAISIE!$F$5:$F$204,$G$163)&gt;0)),"","Vent Arr./Av.")</f>
        <v/>
      </c>
      <c r="B172" s="6" t="str">
        <f>IF(OR($G$163="",NOT(_xlfn.MAXIFS(SAISIE!$E$5:$E$204,SAISIE!$B$5:$B$204,"*Vent Arr./Av.*",SAISIE!$F$5:$F$204,$G$163)&gt;0)),"",IFERROR(INDEX(SAISIE!$C$5:$C$204,MATCH(_xlfn.MAXIFS(SAISIE!$E$5:$E$204,SAISIE!$B$5:$B$204,"*Vent Arr./Av.*",SAISIE!$F$5:$F$204,$G$163),SAISIE!$E$5:$E$204,0)),"-"))</f>
        <v/>
      </c>
      <c r="C172" s="6" t="str">
        <f>IF(OR($G$163="",NOT(_xlfn.MAXIFS(SAISIE!$E$5:$E$204,SAISIE!$B$5:$B$204,"*Vent Arr./Av.*",SAISIE!$F$5:$F$204,$G$163)&gt;0)),"",IFERROR(INDEX(SAISIE!$D$5:$D$204,MATCH(_xlfn.MAXIFS(SAISIE!$E$5:$E$204,SAISIE!$B$5:$B$204,"*Vent Arr./Av.*",SAISIE!$F$5:$F$204,$G$163),SAISIE!$E$5:$E$204,0)),"-"))</f>
        <v/>
      </c>
      <c r="D172" s="6" t="str">
        <f>IF(OR($G$163="",NOT(_xlfn.MAXIFS(SAISIE!$E$5:$E$204,SAISIE!$B$5:$B$204,"*Vent Arr./Av.*",SAISIE!$F$5:$F$204,$G$163)&gt;0)),"",IFERROR(_xlfn.MAXIFS(SAISIE!$E$5:$E$204,SAISIE!$B$5:$B$204,"*Vent Arr./Av.*",SAISIE!$F$5:$F$204,$G$163),"-"))</f>
        <v/>
      </c>
      <c r="E172" s="6" t="str">
        <f>IF($G$163="","",IF(OR(D172="",D172="-"),"",IF(D172&gt;0,"(soulevement)",IF(D172&lt;0,"(compression)","-"))))</f>
        <v/>
      </c>
    </row>
    <row r="173" spans="1:7" x14ac:dyDescent="0.25">
      <c r="A173" s="5" t="str">
        <f>IF(OR($G$163="",NOT(TRUE)),"","Neige normale")</f>
        <v/>
      </c>
      <c r="B173" s="6" t="str">
        <f>IF($G$163="","",IFERROR(INDEX(SAISIE!$C$5:$C$204,MATCH(_xlfn.MINIFS(SAISIE!$E$5:$E$204,SAISIE!$B$5:$B$204,"*Neige*",SAISIE!$B$5:$B$204,"&lt;&gt;*accidentel*",SAISIE!$F$5:$F$204,$G$163),SAISIE!$E$5:$E$204,0)),"-"))</f>
        <v/>
      </c>
      <c r="C173" s="6" t="str">
        <f>IF($G$163="","",IFERROR(INDEX(SAISIE!$D$5:$D$204,MATCH(_xlfn.MINIFS(SAISIE!$E$5:$E$204,SAISIE!$B$5:$B$204,"*Neige*",SAISIE!$B$5:$B$204,"&lt;&gt;*accidentel*",SAISIE!$F$5:$F$204,$G$163),SAISIE!$E$5:$E$204,0)),"-"))</f>
        <v/>
      </c>
      <c r="D173" s="6" t="str">
        <f>IF($G$163="","",IFERROR(INDEX(SAISIE!$E$5:$E$204,MATCH(_xlfn.MINIFS(SAISIE!$E$5:$E$204,SAISIE!$B$5:$B$204,"*Neige*",SAISIE!$B$5:$B$204,"&lt;&gt;*accidentel*",SAISIE!$F$5:$F$204,$G$163),SAISIE!$E$5:$E$204,0)),"-"))</f>
        <v/>
      </c>
      <c r="E173" s="6" t="str">
        <f>IF($G$163="","",IF(OR(D173="",D173="-"),"",IF(D173&gt;0,"(soulevement)",IF(D173&lt;0,"(compression)","-"))))</f>
        <v/>
      </c>
    </row>
    <row r="174" spans="1:7" x14ac:dyDescent="0.25">
      <c r="A174" s="5" t="str">
        <f>IF(OR($G$163="",NOT(TRUE)),"","Neige accidentelle")</f>
        <v/>
      </c>
      <c r="B174" s="6" t="str">
        <f>IF($G$163="","",IFERROR(LOOKUP(2,1/((SAISIE!$F$5:$F$204=$G$163)*(ISNUMBER(SEARCH("accidentel",SAISIE!$B$5:$B$204)))),SAISIE!$C$5:$C$204),"-"))</f>
        <v/>
      </c>
      <c r="C174" s="6" t="str">
        <f>IF($G$163="","",IFERROR(LOOKUP(2,1/((SAISIE!$F$5:$F$204=$G$163)*(ISNUMBER(SEARCH("accidentel",SAISIE!$B$5:$B$204)))),SAISIE!$D$5:$D$204),"-"))</f>
        <v/>
      </c>
      <c r="D174" s="6" t="str">
        <f>IF($G$163="","",IFERROR(LOOKUP(2,1/((SAISIE!$F$5:$F$204=$G$163)*(ISNUMBER(SEARCH("accidentel",SAISIE!$B$5:$B$204)))),SAISIE!$E$5:$E$204),"-"))</f>
        <v/>
      </c>
      <c r="E174" s="6" t="str">
        <f>IF($G$163="","",IF(OR(D174="",D174="-"),"",IF(D174&gt;0,"(soulevement)",IF(D174&lt;0,"(compression)","-"))))</f>
        <v/>
      </c>
    </row>
    <row r="175" spans="1:7" ht="15.75" x14ac:dyDescent="0.25">
      <c r="A175" s="11" t="str">
        <f>IF($G$175="","","Noeud "&amp;$G$175)</f>
        <v/>
      </c>
      <c r="B175" s="12"/>
      <c r="C175" s="12"/>
      <c r="D175" s="12"/>
      <c r="E175" s="12"/>
      <c r="G175" t="str">
        <f>IFERROR(INDEX(SAISIE!$F$5:$F$204,_xlfn.AGGREGATE(15,6,ROW(SAISIE!$F$5:$F$204)-ROW(SAISIE!$F$5)+1/(SAISIE!$F$5:$F$204&lt;&gt;"")/(COUNTIF($G$4:G174,SAISIE!$F$5:$F$204)=0),1)),"")</f>
        <v/>
      </c>
    </row>
    <row r="176" spans="1:7" x14ac:dyDescent="0.25">
      <c r="A176" s="5" t="str">
        <f>IF(OR($G$175="",NOT(TRUE)),"","Couverture")</f>
        <v/>
      </c>
      <c r="B176" s="6" t="str">
        <f>IF($G$175="","",IFERROR(IFERROR(LOOKUP(2,1/((SAISIE!$F$5:$F$204=$G$175)*(LEFT(SAISIE!$B$5:$B$204,2)="G ")),SAISIE!$C$5:$C$204),LOOKUP(2,1/((SAISIE!$F$5:$F$204=$G$175)*(ISNUMBER(SEARCH("Couverture",SAISIE!$B$5:$B$204)))),SAISIE!$C$5:$C$204)),"-"))</f>
        <v/>
      </c>
      <c r="C176" s="6" t="str">
        <f>IF($G$175="","",IFERROR(IFERROR(LOOKUP(2,1/((SAISIE!$F$5:$F$204=$G$175)*(LEFT(SAISIE!$B$5:$B$204,2)="G ")),SAISIE!$D$5:$D$204),LOOKUP(2,1/((SAISIE!$F$5:$F$204=$G$175)*(ISNUMBER(SEARCH("Couverture",SAISIE!$B$5:$B$204)))),SAISIE!$D$5:$D$204)),"-"))</f>
        <v/>
      </c>
      <c r="D176" s="6" t="str">
        <f>IF($G$175="","",IFERROR(IFERROR(LOOKUP(2,1/((SAISIE!$F$5:$F$204=$G$175)*(LEFT(SAISIE!$B$5:$B$204,2)="G ")),SAISIE!$E$5:$E$204),LOOKUP(2,1/((SAISIE!$F$5:$F$204=$G$175)*(ISNUMBER(SEARCH("Couverture",SAISIE!$B$5:$B$204)))),SAISIE!$E$5:$E$204)),"-"))</f>
        <v/>
      </c>
      <c r="E176" s="6" t="str">
        <f>IF($G$175="","",IF(OR(D176="",D176="-"),"",IF(D176&gt;0,"(soulevement)",IF(D176&lt;0,"(compression)","-"))))</f>
        <v/>
      </c>
    </row>
    <row r="177" spans="1:7" x14ac:dyDescent="0.25">
      <c r="A177" s="5" t="str">
        <f>IF(OR($G$175="",NOT(COUNTIFS(SAISIE!$B$5:$B$204,"*Vent G/D*",SAISIE!$F$5:$F$204,$G$175)&gt;0)),"","Vent G/D")</f>
        <v/>
      </c>
      <c r="B177" s="6" t="str">
        <f>IF(OR($G$175="",NOT(COUNTIFS(SAISIE!$B$5:$B$204,"*Vent G/D*",SAISIE!$F$5:$F$204,$G$175)&gt;0)),"",IFERROR(IF(_xlfn.MINIFS(SAISIE!$E$5:$E$204,SAISIE!$B$5:$B$204,"*Vent G/D*",SAISIE!$F$5:$F$204,$G$175)&gt;=0,_xlfn.MAXIFS(SAISIE!$C$5:$C$204,SAISIE!$B$5:$B$204,"*Vent G/D*",SAISIE!$F$5:$F$204,$G$175),INDEX(SAISIE!$C$5:$C$204,MATCH(_xlfn.MINIFS(SAISIE!$E$5:$E$204,SAISIE!$B$5:$B$204,"*Vent G/D*",SAISIE!$F$5:$F$204,$G$175),SAISIE!$E$5:$E$204,0))),"-"))</f>
        <v/>
      </c>
      <c r="C177" s="6" t="str">
        <f>IF(OR($G$175="",NOT(COUNTIFS(SAISIE!$B$5:$B$204,"*Vent G/D*",SAISIE!$F$5:$F$204,$G$175)&gt;0)),"",IFERROR(IF(_xlfn.MINIFS(SAISIE!$E$5:$E$204,SAISIE!$B$5:$B$204,"*Vent G/D*",SAISIE!$F$5:$F$204,$G$175)&gt;=0,INDEX(SAISIE!$D$5:$D$204,MATCH(_xlfn.MAXIFS(SAISIE!$C$5:$C$204,SAISIE!$B$5:$B$204,"*Vent G/D*",SAISIE!$F$5:$F$204,$G$175),SAISIE!$C$5:$C$204,0)),INDEX(SAISIE!$D$5:$D$204,MATCH(_xlfn.MINIFS(SAISIE!$E$5:$E$204,SAISIE!$B$5:$B$204,"*Vent G/D*",SAISIE!$F$5:$F$204,$G$175),SAISIE!$E$5:$E$204,0))),"-"))</f>
        <v/>
      </c>
      <c r="D177" s="6" t="str">
        <f>IF(OR($G$175="",NOT(COUNTIFS(SAISIE!$B$5:$B$204,"*Vent G/D*",SAISIE!$F$5:$F$204,$G$175)&gt;0)),"",IFERROR(IF(_xlfn.MINIFS(SAISIE!$E$5:$E$204,SAISIE!$B$5:$B$204,"*Vent G/D*",SAISIE!$F$5:$F$204,$G$175)&gt;=0,0,_xlfn.MINIFS(SAISIE!$E$5:$E$204,SAISIE!$B$5:$B$204,"*Vent G/D*",SAISIE!$F$5:$F$204,$G$175)),"-"))</f>
        <v/>
      </c>
      <c r="E177" s="6" t="str">
        <f>IF($G$175="","",IF(OR(D177="",D177="-"),"",IF(D177&gt;0,"(soulevement)",IF(D177&lt;0,"(compression)","-"))))</f>
        <v/>
      </c>
    </row>
    <row r="178" spans="1:7" x14ac:dyDescent="0.25">
      <c r="A178" s="5" t="str">
        <f>IF(OR($G$175="",NOT(_xlfn.MAXIFS(SAISIE!$E$5:$E$204,SAISIE!$B$5:$B$204,"*Vent G/D*",SAISIE!$F$5:$F$204,$G$175)&gt;0)),"","Vent G/D")</f>
        <v/>
      </c>
      <c r="B178" s="6" t="str">
        <f>IF(OR($G$175="",NOT(_xlfn.MAXIFS(SAISIE!$E$5:$E$204,SAISIE!$B$5:$B$204,"*Vent G/D*",SAISIE!$F$5:$F$204,$G$175)&gt;0)),"",IFERROR(INDEX(SAISIE!$C$5:$C$204,MATCH(_xlfn.MAXIFS(SAISIE!$E$5:$E$204,SAISIE!$B$5:$B$204,"*Vent G/D*",SAISIE!$F$5:$F$204,$G$175),SAISIE!$E$5:$E$204,0)),"-"))</f>
        <v/>
      </c>
      <c r="C178" s="6" t="str">
        <f>IF(OR($G$175="",NOT(_xlfn.MAXIFS(SAISIE!$E$5:$E$204,SAISIE!$B$5:$B$204,"*Vent G/D*",SAISIE!$F$5:$F$204,$G$175)&gt;0)),"",IFERROR(INDEX(SAISIE!$D$5:$D$204,MATCH(_xlfn.MAXIFS(SAISIE!$E$5:$E$204,SAISIE!$B$5:$B$204,"*Vent G/D*",SAISIE!$F$5:$F$204,$G$175),SAISIE!$E$5:$E$204,0)),"-"))</f>
        <v/>
      </c>
      <c r="D178" s="6" t="str">
        <f>IF(OR($G$175="",NOT(_xlfn.MAXIFS(SAISIE!$E$5:$E$204,SAISIE!$B$5:$B$204,"*Vent G/D*",SAISIE!$F$5:$F$204,$G$175)&gt;0)),"",IFERROR(_xlfn.MAXIFS(SAISIE!$E$5:$E$204,SAISIE!$B$5:$B$204,"*Vent G/D*",SAISIE!$F$5:$F$204,$G$175),"-"))</f>
        <v/>
      </c>
      <c r="E178" s="6" t="str">
        <f>IF($G$175="","",IF(OR(D178="",D178="-"),"",IF(D178&gt;0,"(soulevement)",IF(D178&lt;0,"(compression)","-"))))</f>
        <v/>
      </c>
    </row>
    <row r="179" spans="1:7" x14ac:dyDescent="0.25">
      <c r="A179" s="5" t="str">
        <f>IF(OR($G$175="",NOT(COUNTIFS(SAISIE!$B$5:$B$204,"*Vent D/G*",SAISIE!$F$5:$F$204,$G$175)&gt;0)),"","Vent D/G")</f>
        <v/>
      </c>
      <c r="B179" s="6" t="str">
        <f>IF(OR($G$175="",NOT(COUNTIFS(SAISIE!$B$5:$B$204,"*Vent D/G*",SAISIE!$F$5:$F$204,$G$175)&gt;0)),"",IFERROR(IF(_xlfn.MINIFS(SAISIE!$E$5:$E$204,SAISIE!$B$5:$B$204,"*Vent D/G*",SAISIE!$F$5:$F$204,$G$175)&gt;=0,_xlfn.MAXIFS(SAISIE!$C$5:$C$204,SAISIE!$B$5:$B$204,"*Vent D/G*",SAISIE!$F$5:$F$204,$G$175),INDEX(SAISIE!$C$5:$C$204,MATCH(_xlfn.MINIFS(SAISIE!$E$5:$E$204,SAISIE!$B$5:$B$204,"*Vent D/G*",SAISIE!$F$5:$F$204,$G$175),SAISIE!$E$5:$E$204,0))),"-"))</f>
        <v/>
      </c>
      <c r="C179" s="6" t="str">
        <f>IF(OR($G$175="",NOT(COUNTIFS(SAISIE!$B$5:$B$204,"*Vent D/G*",SAISIE!$F$5:$F$204,$G$175)&gt;0)),"",IFERROR(IF(_xlfn.MINIFS(SAISIE!$E$5:$E$204,SAISIE!$B$5:$B$204,"*Vent D/G*",SAISIE!$F$5:$F$204,$G$175)&gt;=0,INDEX(SAISIE!$D$5:$D$204,MATCH(_xlfn.MAXIFS(SAISIE!$C$5:$C$204,SAISIE!$B$5:$B$204,"*Vent D/G*",SAISIE!$F$5:$F$204,$G$175),SAISIE!$C$5:$C$204,0)),INDEX(SAISIE!$D$5:$D$204,MATCH(_xlfn.MINIFS(SAISIE!$E$5:$E$204,SAISIE!$B$5:$B$204,"*Vent D/G*",SAISIE!$F$5:$F$204,$G$175),SAISIE!$E$5:$E$204,0))),"-"))</f>
        <v/>
      </c>
      <c r="D179" s="6" t="str">
        <f>IF(OR($G$175="",NOT(COUNTIFS(SAISIE!$B$5:$B$204,"*Vent D/G*",SAISIE!$F$5:$F$204,$G$175)&gt;0)),"",IFERROR(IF(_xlfn.MINIFS(SAISIE!$E$5:$E$204,SAISIE!$B$5:$B$204,"*Vent D/G*",SAISIE!$F$5:$F$204,$G$175)&gt;=0,0,_xlfn.MINIFS(SAISIE!$E$5:$E$204,SAISIE!$B$5:$B$204,"*Vent D/G*",SAISIE!$F$5:$F$204,$G$175)),"-"))</f>
        <v/>
      </c>
      <c r="E179" s="6" t="str">
        <f>IF($G$175="","",IF(OR(D179="",D179="-"),"",IF(D179&gt;0,"(soulevement)",IF(D179&lt;0,"(compression)","-"))))</f>
        <v/>
      </c>
    </row>
    <row r="180" spans="1:7" x14ac:dyDescent="0.25">
      <c r="A180" s="5" t="str">
        <f>IF(OR($G$175="",NOT(_xlfn.MAXIFS(SAISIE!$E$5:$E$204,SAISIE!$B$5:$B$204,"*Vent D/G*",SAISIE!$F$5:$F$204,$G$175)&gt;0)),"","Vent D/G")</f>
        <v/>
      </c>
      <c r="B180" s="6" t="str">
        <f>IF(OR($G$175="",NOT(_xlfn.MAXIFS(SAISIE!$E$5:$E$204,SAISIE!$B$5:$B$204,"*Vent D/G*",SAISIE!$F$5:$F$204,$G$175)&gt;0)),"",IFERROR(INDEX(SAISIE!$C$5:$C$204,MATCH(_xlfn.MAXIFS(SAISIE!$E$5:$E$204,SAISIE!$B$5:$B$204,"*Vent D/G*",SAISIE!$F$5:$F$204,$G$175),SAISIE!$E$5:$E$204,0)),"-"))</f>
        <v/>
      </c>
      <c r="C180" s="6" t="str">
        <f>IF(OR($G$175="",NOT(_xlfn.MAXIFS(SAISIE!$E$5:$E$204,SAISIE!$B$5:$B$204,"*Vent D/G*",SAISIE!$F$5:$F$204,$G$175)&gt;0)),"",IFERROR(INDEX(SAISIE!$D$5:$D$204,MATCH(_xlfn.MAXIFS(SAISIE!$E$5:$E$204,SAISIE!$B$5:$B$204,"*Vent D/G*",SAISIE!$F$5:$F$204,$G$175),SAISIE!$E$5:$E$204,0)),"-"))</f>
        <v/>
      </c>
      <c r="D180" s="6" t="str">
        <f>IF(OR($G$175="",NOT(_xlfn.MAXIFS(SAISIE!$E$5:$E$204,SAISIE!$B$5:$B$204,"*Vent D/G*",SAISIE!$F$5:$F$204,$G$175)&gt;0)),"",IFERROR(_xlfn.MAXIFS(SAISIE!$E$5:$E$204,SAISIE!$B$5:$B$204,"*Vent D/G*",SAISIE!$F$5:$F$204,$G$175),"-"))</f>
        <v/>
      </c>
      <c r="E180" s="6" t="str">
        <f>IF($G$175="","",IF(OR(D180="",D180="-"),"",IF(D180&gt;0,"(soulevement)",IF(D180&lt;0,"(compression)","-"))))</f>
        <v/>
      </c>
    </row>
    <row r="181" spans="1:7" x14ac:dyDescent="0.25">
      <c r="A181" s="5" t="str">
        <f>IF(OR($G$175="",NOT(COUNTIFS(SAISIE!$B$5:$B$204,"*Vent Av./Arr.*",SAISIE!$F$5:$F$204,$G$175)&gt;0)),"","Vent Av./Arr.")</f>
        <v/>
      </c>
      <c r="B181" s="6" t="str">
        <f>IF(OR($G$175="",NOT(COUNTIFS(SAISIE!$B$5:$B$204,"*Vent Av./Arr.*",SAISIE!$F$5:$F$204,$G$175)&gt;0)),"",IFERROR(IF(_xlfn.MINIFS(SAISIE!$E$5:$E$204,SAISIE!$B$5:$B$204,"*Vent Av./Arr.*",SAISIE!$F$5:$F$204,$G$175)&gt;=0,_xlfn.MAXIFS(SAISIE!$C$5:$C$204,SAISIE!$B$5:$B$204,"*Vent Av./Arr.*",SAISIE!$F$5:$F$204,$G$175),INDEX(SAISIE!$C$5:$C$204,MATCH(_xlfn.MINIFS(SAISIE!$E$5:$E$204,SAISIE!$B$5:$B$204,"*Vent Av./Arr.*",SAISIE!$F$5:$F$204,$G$175),SAISIE!$E$5:$E$204,0))),"-"))</f>
        <v/>
      </c>
      <c r="C181" s="6" t="str">
        <f>IF(OR($G$175="",NOT(COUNTIFS(SAISIE!$B$5:$B$204,"*Vent Av./Arr.*",SAISIE!$F$5:$F$204,$G$175)&gt;0)),"",IFERROR(IF(_xlfn.MINIFS(SAISIE!$E$5:$E$204,SAISIE!$B$5:$B$204,"*Vent Av./Arr.*",SAISIE!$F$5:$F$204,$G$175)&gt;=0,INDEX(SAISIE!$D$5:$D$204,MATCH(_xlfn.MAXIFS(SAISIE!$C$5:$C$204,SAISIE!$B$5:$B$204,"*Vent Av./Arr.*",SAISIE!$F$5:$F$204,$G$175),SAISIE!$C$5:$C$204,0)),INDEX(SAISIE!$D$5:$D$204,MATCH(_xlfn.MINIFS(SAISIE!$E$5:$E$204,SAISIE!$B$5:$B$204,"*Vent Av./Arr.*",SAISIE!$F$5:$F$204,$G$175),SAISIE!$E$5:$E$204,0))),"-"))</f>
        <v/>
      </c>
      <c r="D181" s="6" t="str">
        <f>IF(OR($G$175="",NOT(COUNTIFS(SAISIE!$B$5:$B$204,"*Vent Av./Arr.*",SAISIE!$F$5:$F$204,$G$175)&gt;0)),"",IFERROR(IF(_xlfn.MINIFS(SAISIE!$E$5:$E$204,SAISIE!$B$5:$B$204,"*Vent Av./Arr.*",SAISIE!$F$5:$F$204,$G$175)&gt;=0,0,_xlfn.MINIFS(SAISIE!$E$5:$E$204,SAISIE!$B$5:$B$204,"*Vent Av./Arr.*",SAISIE!$F$5:$F$204,$G$175)),"-"))</f>
        <v/>
      </c>
      <c r="E181" s="6" t="str">
        <f>IF($G$175="","",IF(OR(D181="",D181="-"),"",IF(D181&gt;0,"(soulevement)",IF(D181&lt;0,"(compression)","-"))))</f>
        <v/>
      </c>
    </row>
    <row r="182" spans="1:7" x14ac:dyDescent="0.25">
      <c r="A182" s="5" t="str">
        <f>IF(OR($G$175="",NOT(_xlfn.MAXIFS(SAISIE!$E$5:$E$204,SAISIE!$B$5:$B$204,"*Vent Av./Arr.*",SAISIE!$F$5:$F$204,$G$175)&gt;0)),"","Vent Av./Arr.")</f>
        <v/>
      </c>
      <c r="B182" s="6" t="str">
        <f>IF(OR($G$175="",NOT(_xlfn.MAXIFS(SAISIE!$E$5:$E$204,SAISIE!$B$5:$B$204,"*Vent Av./Arr.*",SAISIE!$F$5:$F$204,$G$175)&gt;0)),"",IFERROR(INDEX(SAISIE!$C$5:$C$204,MATCH(_xlfn.MAXIFS(SAISIE!$E$5:$E$204,SAISIE!$B$5:$B$204,"*Vent Av./Arr.*",SAISIE!$F$5:$F$204,$G$175),SAISIE!$E$5:$E$204,0)),"-"))</f>
        <v/>
      </c>
      <c r="C182" s="6" t="str">
        <f>IF(OR($G$175="",NOT(_xlfn.MAXIFS(SAISIE!$E$5:$E$204,SAISIE!$B$5:$B$204,"*Vent Av./Arr.*",SAISIE!$F$5:$F$204,$G$175)&gt;0)),"",IFERROR(INDEX(SAISIE!$D$5:$D$204,MATCH(_xlfn.MAXIFS(SAISIE!$E$5:$E$204,SAISIE!$B$5:$B$204,"*Vent Av./Arr.*",SAISIE!$F$5:$F$204,$G$175),SAISIE!$E$5:$E$204,0)),"-"))</f>
        <v/>
      </c>
      <c r="D182" s="6" t="str">
        <f>IF(OR($G$175="",NOT(_xlfn.MAXIFS(SAISIE!$E$5:$E$204,SAISIE!$B$5:$B$204,"*Vent Av./Arr.*",SAISIE!$F$5:$F$204,$G$175)&gt;0)),"",IFERROR(_xlfn.MAXIFS(SAISIE!$E$5:$E$204,SAISIE!$B$5:$B$204,"*Vent Av./Arr.*",SAISIE!$F$5:$F$204,$G$175),"-"))</f>
        <v/>
      </c>
      <c r="E182" s="6" t="str">
        <f>IF($G$175="","",IF(OR(D182="",D182="-"),"",IF(D182&gt;0,"(soulevement)",IF(D182&lt;0,"(compression)","-"))))</f>
        <v/>
      </c>
    </row>
    <row r="183" spans="1:7" x14ac:dyDescent="0.25">
      <c r="A183" s="5" t="str">
        <f>IF(OR($G$175="",NOT(COUNTIFS(SAISIE!$B$5:$B$204,"*Vent Arr./Av.*",SAISIE!$F$5:$F$204,$G$175)&gt;0)),"","Vent Arr./Av.")</f>
        <v/>
      </c>
      <c r="B183" s="6" t="str">
        <f>IF(OR($G$175="",NOT(COUNTIFS(SAISIE!$B$5:$B$204,"*Vent Arr./Av.*",SAISIE!$F$5:$F$204,$G$175)&gt;0)),"",IFERROR(IF(_xlfn.MINIFS(SAISIE!$E$5:$E$204,SAISIE!$B$5:$B$204,"*Vent Arr./Av.*",SAISIE!$F$5:$F$204,$G$175)&gt;=0,_xlfn.MAXIFS(SAISIE!$C$5:$C$204,SAISIE!$B$5:$B$204,"*Vent Arr./Av.*",SAISIE!$F$5:$F$204,$G$175),INDEX(SAISIE!$C$5:$C$204,MATCH(_xlfn.MINIFS(SAISIE!$E$5:$E$204,SAISIE!$B$5:$B$204,"*Vent Arr./Av.*",SAISIE!$F$5:$F$204,$G$175),SAISIE!$E$5:$E$204,0))),"-"))</f>
        <v/>
      </c>
      <c r="C183" s="6" t="str">
        <f>IF(OR($G$175="",NOT(COUNTIFS(SAISIE!$B$5:$B$204,"*Vent Arr./Av.*",SAISIE!$F$5:$F$204,$G$175)&gt;0)),"",IFERROR(IF(_xlfn.MINIFS(SAISIE!$E$5:$E$204,SAISIE!$B$5:$B$204,"*Vent Arr./Av.*",SAISIE!$F$5:$F$204,$G$175)&gt;=0,INDEX(SAISIE!$D$5:$D$204,MATCH(_xlfn.MAXIFS(SAISIE!$C$5:$C$204,SAISIE!$B$5:$B$204,"*Vent Arr./Av.*",SAISIE!$F$5:$F$204,$G$175),SAISIE!$C$5:$C$204,0)),INDEX(SAISIE!$D$5:$D$204,MATCH(_xlfn.MINIFS(SAISIE!$E$5:$E$204,SAISIE!$B$5:$B$204,"*Vent Arr./Av.*",SAISIE!$F$5:$F$204,$G$175),SAISIE!$E$5:$E$204,0))),"-"))</f>
        <v/>
      </c>
      <c r="D183" s="6" t="str">
        <f>IF(OR($G$175="",NOT(COUNTIFS(SAISIE!$B$5:$B$204,"*Vent Arr./Av.*",SAISIE!$F$5:$F$204,$G$175)&gt;0)),"",IFERROR(IF(_xlfn.MINIFS(SAISIE!$E$5:$E$204,SAISIE!$B$5:$B$204,"*Vent Arr./Av.*",SAISIE!$F$5:$F$204,$G$175)&gt;=0,0,_xlfn.MINIFS(SAISIE!$E$5:$E$204,SAISIE!$B$5:$B$204,"*Vent Arr./Av.*",SAISIE!$F$5:$F$204,$G$175)),"-"))</f>
        <v/>
      </c>
      <c r="E183" s="6" t="str">
        <f>IF($G$175="","",IF(OR(D183="",D183="-"),"",IF(D183&gt;0,"(soulevement)",IF(D183&lt;0,"(compression)","-"))))</f>
        <v/>
      </c>
    </row>
    <row r="184" spans="1:7" x14ac:dyDescent="0.25">
      <c r="A184" s="5" t="str">
        <f>IF(OR($G$175="",NOT(_xlfn.MAXIFS(SAISIE!$E$5:$E$204,SAISIE!$B$5:$B$204,"*Vent Arr./Av.*",SAISIE!$F$5:$F$204,$G$175)&gt;0)),"","Vent Arr./Av.")</f>
        <v/>
      </c>
      <c r="B184" s="6" t="str">
        <f>IF(OR($G$175="",NOT(_xlfn.MAXIFS(SAISIE!$E$5:$E$204,SAISIE!$B$5:$B$204,"*Vent Arr./Av.*",SAISIE!$F$5:$F$204,$G$175)&gt;0)),"",IFERROR(INDEX(SAISIE!$C$5:$C$204,MATCH(_xlfn.MAXIFS(SAISIE!$E$5:$E$204,SAISIE!$B$5:$B$204,"*Vent Arr./Av.*",SAISIE!$F$5:$F$204,$G$175),SAISIE!$E$5:$E$204,0)),"-"))</f>
        <v/>
      </c>
      <c r="C184" s="6" t="str">
        <f>IF(OR($G$175="",NOT(_xlfn.MAXIFS(SAISIE!$E$5:$E$204,SAISIE!$B$5:$B$204,"*Vent Arr./Av.*",SAISIE!$F$5:$F$204,$G$175)&gt;0)),"",IFERROR(INDEX(SAISIE!$D$5:$D$204,MATCH(_xlfn.MAXIFS(SAISIE!$E$5:$E$204,SAISIE!$B$5:$B$204,"*Vent Arr./Av.*",SAISIE!$F$5:$F$204,$G$175),SAISIE!$E$5:$E$204,0)),"-"))</f>
        <v/>
      </c>
      <c r="D184" s="6" t="str">
        <f>IF(OR($G$175="",NOT(_xlfn.MAXIFS(SAISIE!$E$5:$E$204,SAISIE!$B$5:$B$204,"*Vent Arr./Av.*",SAISIE!$F$5:$F$204,$G$175)&gt;0)),"",IFERROR(_xlfn.MAXIFS(SAISIE!$E$5:$E$204,SAISIE!$B$5:$B$204,"*Vent Arr./Av.*",SAISIE!$F$5:$F$204,$G$175),"-"))</f>
        <v/>
      </c>
      <c r="E184" s="6" t="str">
        <f>IF($G$175="","",IF(OR(D184="",D184="-"),"",IF(D184&gt;0,"(soulevement)",IF(D184&lt;0,"(compression)","-"))))</f>
        <v/>
      </c>
    </row>
    <row r="185" spans="1:7" x14ac:dyDescent="0.25">
      <c r="A185" s="5" t="str">
        <f>IF(OR($G$175="",NOT(TRUE)),"","Neige normale")</f>
        <v/>
      </c>
      <c r="B185" s="6" t="str">
        <f>IF($G$175="","",IFERROR(INDEX(SAISIE!$C$5:$C$204,MATCH(_xlfn.MINIFS(SAISIE!$E$5:$E$204,SAISIE!$B$5:$B$204,"*Neige*",SAISIE!$B$5:$B$204,"&lt;&gt;*accidentel*",SAISIE!$F$5:$F$204,$G$175),SAISIE!$E$5:$E$204,0)),"-"))</f>
        <v/>
      </c>
      <c r="C185" s="6" t="str">
        <f>IF($G$175="","",IFERROR(INDEX(SAISIE!$D$5:$D$204,MATCH(_xlfn.MINIFS(SAISIE!$E$5:$E$204,SAISIE!$B$5:$B$204,"*Neige*",SAISIE!$B$5:$B$204,"&lt;&gt;*accidentel*",SAISIE!$F$5:$F$204,$G$175),SAISIE!$E$5:$E$204,0)),"-"))</f>
        <v/>
      </c>
      <c r="D185" s="6" t="str">
        <f>IF($G$175="","",IFERROR(INDEX(SAISIE!$E$5:$E$204,MATCH(_xlfn.MINIFS(SAISIE!$E$5:$E$204,SAISIE!$B$5:$B$204,"*Neige*",SAISIE!$B$5:$B$204,"&lt;&gt;*accidentel*",SAISIE!$F$5:$F$204,$G$175),SAISIE!$E$5:$E$204,0)),"-"))</f>
        <v/>
      </c>
      <c r="E185" s="6" t="str">
        <f>IF($G$175="","",IF(OR(D185="",D185="-"),"",IF(D185&gt;0,"(soulevement)",IF(D185&lt;0,"(compression)","-"))))</f>
        <v/>
      </c>
    </row>
    <row r="186" spans="1:7" x14ac:dyDescent="0.25">
      <c r="A186" s="5" t="str">
        <f>IF(OR($G$175="",NOT(TRUE)),"","Neige accidentelle")</f>
        <v/>
      </c>
      <c r="B186" s="6" t="str">
        <f>IF($G$175="","",IFERROR(LOOKUP(2,1/((SAISIE!$F$5:$F$204=$G$175)*(ISNUMBER(SEARCH("accidentel",SAISIE!$B$5:$B$204)))),SAISIE!$C$5:$C$204),"-"))</f>
        <v/>
      </c>
      <c r="C186" s="6" t="str">
        <f>IF($G$175="","",IFERROR(LOOKUP(2,1/((SAISIE!$F$5:$F$204=$G$175)*(ISNUMBER(SEARCH("accidentel",SAISIE!$B$5:$B$204)))),SAISIE!$D$5:$D$204),"-"))</f>
        <v/>
      </c>
      <c r="D186" s="6" t="str">
        <f>IF($G$175="","",IFERROR(LOOKUP(2,1/((SAISIE!$F$5:$F$204=$G$175)*(ISNUMBER(SEARCH("accidentel",SAISIE!$B$5:$B$204)))),SAISIE!$E$5:$E$204),"-"))</f>
        <v/>
      </c>
      <c r="E186" s="6" t="str">
        <f>IF($G$175="","",IF(OR(D186="",D186="-"),"",IF(D186&gt;0,"(soulevement)",IF(D186&lt;0,"(compression)","-"))))</f>
        <v/>
      </c>
    </row>
    <row r="187" spans="1:7" ht="15.75" x14ac:dyDescent="0.25">
      <c r="A187" s="11" t="str">
        <f>IF($G$187="","","Noeud "&amp;$G$187)</f>
        <v/>
      </c>
      <c r="B187" s="12"/>
      <c r="C187" s="12"/>
      <c r="D187" s="12"/>
      <c r="E187" s="12"/>
      <c r="G187" t="str">
        <f>IFERROR(INDEX(SAISIE!$F$5:$F$204,_xlfn.AGGREGATE(15,6,ROW(SAISIE!$F$5:$F$204)-ROW(SAISIE!$F$5)+1/(SAISIE!$F$5:$F$204&lt;&gt;"")/(COUNTIF($G$4:G186,SAISIE!$F$5:$F$204)=0),1)),"")</f>
        <v/>
      </c>
    </row>
    <row r="188" spans="1:7" x14ac:dyDescent="0.25">
      <c r="A188" s="5" t="str">
        <f>IF(OR($G$187="",NOT(TRUE)),"","Couverture")</f>
        <v/>
      </c>
      <c r="B188" s="6" t="str">
        <f>IF($G$187="","",IFERROR(IFERROR(LOOKUP(2,1/((SAISIE!$F$5:$F$204=$G$187)*(LEFT(SAISIE!$B$5:$B$204,2)="G ")),SAISIE!$C$5:$C$204),LOOKUP(2,1/((SAISIE!$F$5:$F$204=$G$187)*(ISNUMBER(SEARCH("Couverture",SAISIE!$B$5:$B$204)))),SAISIE!$C$5:$C$204)),"-"))</f>
        <v/>
      </c>
      <c r="C188" s="6" t="str">
        <f>IF($G$187="","",IFERROR(IFERROR(LOOKUP(2,1/((SAISIE!$F$5:$F$204=$G$187)*(LEFT(SAISIE!$B$5:$B$204,2)="G ")),SAISIE!$D$5:$D$204),LOOKUP(2,1/((SAISIE!$F$5:$F$204=$G$187)*(ISNUMBER(SEARCH("Couverture",SAISIE!$B$5:$B$204)))),SAISIE!$D$5:$D$204)),"-"))</f>
        <v/>
      </c>
      <c r="D188" s="6" t="str">
        <f>IF($G$187="","",IFERROR(IFERROR(LOOKUP(2,1/((SAISIE!$F$5:$F$204=$G$187)*(LEFT(SAISIE!$B$5:$B$204,2)="G ")),SAISIE!$E$5:$E$204),LOOKUP(2,1/((SAISIE!$F$5:$F$204=$G$187)*(ISNUMBER(SEARCH("Couverture",SAISIE!$B$5:$B$204)))),SAISIE!$E$5:$E$204)),"-"))</f>
        <v/>
      </c>
      <c r="E188" s="6" t="str">
        <f>IF($G$187="","",IF(OR(D188="",D188="-"),"",IF(D188&gt;0,"(soulevement)",IF(D188&lt;0,"(compression)","-"))))</f>
        <v/>
      </c>
    </row>
    <row r="189" spans="1:7" x14ac:dyDescent="0.25">
      <c r="A189" s="5" t="str">
        <f>IF(OR($G$187="",NOT(COUNTIFS(SAISIE!$B$5:$B$204,"*Vent G/D*",SAISIE!$F$5:$F$204,$G$187)&gt;0)),"","Vent G/D")</f>
        <v/>
      </c>
      <c r="B189" s="6" t="str">
        <f>IF(OR($G$187="",NOT(COUNTIFS(SAISIE!$B$5:$B$204,"*Vent G/D*",SAISIE!$F$5:$F$204,$G$187)&gt;0)),"",IFERROR(IF(_xlfn.MINIFS(SAISIE!$E$5:$E$204,SAISIE!$B$5:$B$204,"*Vent G/D*",SAISIE!$F$5:$F$204,$G$187)&gt;=0,_xlfn.MAXIFS(SAISIE!$C$5:$C$204,SAISIE!$B$5:$B$204,"*Vent G/D*",SAISIE!$F$5:$F$204,$G$187),INDEX(SAISIE!$C$5:$C$204,MATCH(_xlfn.MINIFS(SAISIE!$E$5:$E$204,SAISIE!$B$5:$B$204,"*Vent G/D*",SAISIE!$F$5:$F$204,$G$187),SAISIE!$E$5:$E$204,0))),"-"))</f>
        <v/>
      </c>
      <c r="C189" s="6" t="str">
        <f>IF(OR($G$187="",NOT(COUNTIFS(SAISIE!$B$5:$B$204,"*Vent G/D*",SAISIE!$F$5:$F$204,$G$187)&gt;0)),"",IFERROR(IF(_xlfn.MINIFS(SAISIE!$E$5:$E$204,SAISIE!$B$5:$B$204,"*Vent G/D*",SAISIE!$F$5:$F$204,$G$187)&gt;=0,INDEX(SAISIE!$D$5:$D$204,MATCH(_xlfn.MAXIFS(SAISIE!$C$5:$C$204,SAISIE!$B$5:$B$204,"*Vent G/D*",SAISIE!$F$5:$F$204,$G$187),SAISIE!$C$5:$C$204,0)),INDEX(SAISIE!$D$5:$D$204,MATCH(_xlfn.MINIFS(SAISIE!$E$5:$E$204,SAISIE!$B$5:$B$204,"*Vent G/D*",SAISIE!$F$5:$F$204,$G$187),SAISIE!$E$5:$E$204,0))),"-"))</f>
        <v/>
      </c>
      <c r="D189" s="6" t="str">
        <f>IF(OR($G$187="",NOT(COUNTIFS(SAISIE!$B$5:$B$204,"*Vent G/D*",SAISIE!$F$5:$F$204,$G$187)&gt;0)),"",IFERROR(IF(_xlfn.MINIFS(SAISIE!$E$5:$E$204,SAISIE!$B$5:$B$204,"*Vent G/D*",SAISIE!$F$5:$F$204,$G$187)&gt;=0,0,_xlfn.MINIFS(SAISIE!$E$5:$E$204,SAISIE!$B$5:$B$204,"*Vent G/D*",SAISIE!$F$5:$F$204,$G$187)),"-"))</f>
        <v/>
      </c>
      <c r="E189" s="6" t="str">
        <f>IF($G$187="","",IF(OR(D189="",D189="-"),"",IF(D189&gt;0,"(soulevement)",IF(D189&lt;0,"(compression)","-"))))</f>
        <v/>
      </c>
    </row>
    <row r="190" spans="1:7" x14ac:dyDescent="0.25">
      <c r="A190" s="5" t="str">
        <f>IF(OR($G$187="",NOT(_xlfn.MAXIFS(SAISIE!$E$5:$E$204,SAISIE!$B$5:$B$204,"*Vent G/D*",SAISIE!$F$5:$F$204,$G$187)&gt;0)),"","Vent G/D")</f>
        <v/>
      </c>
      <c r="B190" s="6" t="str">
        <f>IF(OR($G$187="",NOT(_xlfn.MAXIFS(SAISIE!$E$5:$E$204,SAISIE!$B$5:$B$204,"*Vent G/D*",SAISIE!$F$5:$F$204,$G$187)&gt;0)),"",IFERROR(INDEX(SAISIE!$C$5:$C$204,MATCH(_xlfn.MAXIFS(SAISIE!$E$5:$E$204,SAISIE!$B$5:$B$204,"*Vent G/D*",SAISIE!$F$5:$F$204,$G$187),SAISIE!$E$5:$E$204,0)),"-"))</f>
        <v/>
      </c>
      <c r="C190" s="6" t="str">
        <f>IF(OR($G$187="",NOT(_xlfn.MAXIFS(SAISIE!$E$5:$E$204,SAISIE!$B$5:$B$204,"*Vent G/D*",SAISIE!$F$5:$F$204,$G$187)&gt;0)),"",IFERROR(INDEX(SAISIE!$D$5:$D$204,MATCH(_xlfn.MAXIFS(SAISIE!$E$5:$E$204,SAISIE!$B$5:$B$204,"*Vent G/D*",SAISIE!$F$5:$F$204,$G$187),SAISIE!$E$5:$E$204,0)),"-"))</f>
        <v/>
      </c>
      <c r="D190" s="6" t="str">
        <f>IF(OR($G$187="",NOT(_xlfn.MAXIFS(SAISIE!$E$5:$E$204,SAISIE!$B$5:$B$204,"*Vent G/D*",SAISIE!$F$5:$F$204,$G$187)&gt;0)),"",IFERROR(_xlfn.MAXIFS(SAISIE!$E$5:$E$204,SAISIE!$B$5:$B$204,"*Vent G/D*",SAISIE!$F$5:$F$204,$G$187),"-"))</f>
        <v/>
      </c>
      <c r="E190" s="6" t="str">
        <f>IF($G$187="","",IF(OR(D190="",D190="-"),"",IF(D190&gt;0,"(soulevement)",IF(D190&lt;0,"(compression)","-"))))</f>
        <v/>
      </c>
    </row>
    <row r="191" spans="1:7" x14ac:dyDescent="0.25">
      <c r="A191" s="5" t="str">
        <f>IF(OR($G$187="",NOT(COUNTIFS(SAISIE!$B$5:$B$204,"*Vent D/G*",SAISIE!$F$5:$F$204,$G$187)&gt;0)),"","Vent D/G")</f>
        <v/>
      </c>
      <c r="B191" s="6" t="str">
        <f>IF(OR($G$187="",NOT(COUNTIFS(SAISIE!$B$5:$B$204,"*Vent D/G*",SAISIE!$F$5:$F$204,$G$187)&gt;0)),"",IFERROR(IF(_xlfn.MINIFS(SAISIE!$E$5:$E$204,SAISIE!$B$5:$B$204,"*Vent D/G*",SAISIE!$F$5:$F$204,$G$187)&gt;=0,_xlfn.MAXIFS(SAISIE!$C$5:$C$204,SAISIE!$B$5:$B$204,"*Vent D/G*",SAISIE!$F$5:$F$204,$G$187),INDEX(SAISIE!$C$5:$C$204,MATCH(_xlfn.MINIFS(SAISIE!$E$5:$E$204,SAISIE!$B$5:$B$204,"*Vent D/G*",SAISIE!$F$5:$F$204,$G$187),SAISIE!$E$5:$E$204,0))),"-"))</f>
        <v/>
      </c>
      <c r="C191" s="6" t="str">
        <f>IF(OR($G$187="",NOT(COUNTIFS(SAISIE!$B$5:$B$204,"*Vent D/G*",SAISIE!$F$5:$F$204,$G$187)&gt;0)),"",IFERROR(IF(_xlfn.MINIFS(SAISIE!$E$5:$E$204,SAISIE!$B$5:$B$204,"*Vent D/G*",SAISIE!$F$5:$F$204,$G$187)&gt;=0,INDEX(SAISIE!$D$5:$D$204,MATCH(_xlfn.MAXIFS(SAISIE!$C$5:$C$204,SAISIE!$B$5:$B$204,"*Vent D/G*",SAISIE!$F$5:$F$204,$G$187),SAISIE!$C$5:$C$204,0)),INDEX(SAISIE!$D$5:$D$204,MATCH(_xlfn.MINIFS(SAISIE!$E$5:$E$204,SAISIE!$B$5:$B$204,"*Vent D/G*",SAISIE!$F$5:$F$204,$G$187),SAISIE!$E$5:$E$204,0))),"-"))</f>
        <v/>
      </c>
      <c r="D191" s="6" t="str">
        <f>IF(OR($G$187="",NOT(COUNTIFS(SAISIE!$B$5:$B$204,"*Vent D/G*",SAISIE!$F$5:$F$204,$G$187)&gt;0)),"",IFERROR(IF(_xlfn.MINIFS(SAISIE!$E$5:$E$204,SAISIE!$B$5:$B$204,"*Vent D/G*",SAISIE!$F$5:$F$204,$G$187)&gt;=0,0,_xlfn.MINIFS(SAISIE!$E$5:$E$204,SAISIE!$B$5:$B$204,"*Vent D/G*",SAISIE!$F$5:$F$204,$G$187)),"-"))</f>
        <v/>
      </c>
      <c r="E191" s="6" t="str">
        <f>IF($G$187="","",IF(OR(D191="",D191="-"),"",IF(D191&gt;0,"(soulevement)",IF(D191&lt;0,"(compression)","-"))))</f>
        <v/>
      </c>
    </row>
    <row r="192" spans="1:7" x14ac:dyDescent="0.25">
      <c r="A192" s="5" t="str">
        <f>IF(OR($G$187="",NOT(_xlfn.MAXIFS(SAISIE!$E$5:$E$204,SAISIE!$B$5:$B$204,"*Vent D/G*",SAISIE!$F$5:$F$204,$G$187)&gt;0)),"","Vent D/G")</f>
        <v/>
      </c>
      <c r="B192" s="6" t="str">
        <f>IF(OR($G$187="",NOT(_xlfn.MAXIFS(SAISIE!$E$5:$E$204,SAISIE!$B$5:$B$204,"*Vent D/G*",SAISIE!$F$5:$F$204,$G$187)&gt;0)),"",IFERROR(INDEX(SAISIE!$C$5:$C$204,MATCH(_xlfn.MAXIFS(SAISIE!$E$5:$E$204,SAISIE!$B$5:$B$204,"*Vent D/G*",SAISIE!$F$5:$F$204,$G$187),SAISIE!$E$5:$E$204,0)),"-"))</f>
        <v/>
      </c>
      <c r="C192" s="6" t="str">
        <f>IF(OR($G$187="",NOT(_xlfn.MAXIFS(SAISIE!$E$5:$E$204,SAISIE!$B$5:$B$204,"*Vent D/G*",SAISIE!$F$5:$F$204,$G$187)&gt;0)),"",IFERROR(INDEX(SAISIE!$D$5:$D$204,MATCH(_xlfn.MAXIFS(SAISIE!$E$5:$E$204,SAISIE!$B$5:$B$204,"*Vent D/G*",SAISIE!$F$5:$F$204,$G$187),SAISIE!$E$5:$E$204,0)),"-"))</f>
        <v/>
      </c>
      <c r="D192" s="6" t="str">
        <f>IF(OR($G$187="",NOT(_xlfn.MAXIFS(SAISIE!$E$5:$E$204,SAISIE!$B$5:$B$204,"*Vent D/G*",SAISIE!$F$5:$F$204,$G$187)&gt;0)),"",IFERROR(_xlfn.MAXIFS(SAISIE!$E$5:$E$204,SAISIE!$B$5:$B$204,"*Vent D/G*",SAISIE!$F$5:$F$204,$G$187),"-"))</f>
        <v/>
      </c>
      <c r="E192" s="6" t="str">
        <f>IF($G$187="","",IF(OR(D192="",D192="-"),"",IF(D192&gt;0,"(soulevement)",IF(D192&lt;0,"(compression)","-"))))</f>
        <v/>
      </c>
    </row>
    <row r="193" spans="1:7" x14ac:dyDescent="0.25">
      <c r="A193" s="5" t="str">
        <f>IF(OR($G$187="",NOT(COUNTIFS(SAISIE!$B$5:$B$204,"*Vent Av./Arr.*",SAISIE!$F$5:$F$204,$G$187)&gt;0)),"","Vent Av./Arr.")</f>
        <v/>
      </c>
      <c r="B193" s="6" t="str">
        <f>IF(OR($G$187="",NOT(COUNTIFS(SAISIE!$B$5:$B$204,"*Vent Av./Arr.*",SAISIE!$F$5:$F$204,$G$187)&gt;0)),"",IFERROR(IF(_xlfn.MINIFS(SAISIE!$E$5:$E$204,SAISIE!$B$5:$B$204,"*Vent Av./Arr.*",SAISIE!$F$5:$F$204,$G$187)&gt;=0,_xlfn.MAXIFS(SAISIE!$C$5:$C$204,SAISIE!$B$5:$B$204,"*Vent Av./Arr.*",SAISIE!$F$5:$F$204,$G$187),INDEX(SAISIE!$C$5:$C$204,MATCH(_xlfn.MINIFS(SAISIE!$E$5:$E$204,SAISIE!$B$5:$B$204,"*Vent Av./Arr.*",SAISIE!$F$5:$F$204,$G$187),SAISIE!$E$5:$E$204,0))),"-"))</f>
        <v/>
      </c>
      <c r="C193" s="6" t="str">
        <f>IF(OR($G$187="",NOT(COUNTIFS(SAISIE!$B$5:$B$204,"*Vent Av./Arr.*",SAISIE!$F$5:$F$204,$G$187)&gt;0)),"",IFERROR(IF(_xlfn.MINIFS(SAISIE!$E$5:$E$204,SAISIE!$B$5:$B$204,"*Vent Av./Arr.*",SAISIE!$F$5:$F$204,$G$187)&gt;=0,INDEX(SAISIE!$D$5:$D$204,MATCH(_xlfn.MAXIFS(SAISIE!$C$5:$C$204,SAISIE!$B$5:$B$204,"*Vent Av./Arr.*",SAISIE!$F$5:$F$204,$G$187),SAISIE!$C$5:$C$204,0)),INDEX(SAISIE!$D$5:$D$204,MATCH(_xlfn.MINIFS(SAISIE!$E$5:$E$204,SAISIE!$B$5:$B$204,"*Vent Av./Arr.*",SAISIE!$F$5:$F$204,$G$187),SAISIE!$E$5:$E$204,0))),"-"))</f>
        <v/>
      </c>
      <c r="D193" s="6" t="str">
        <f>IF(OR($G$187="",NOT(COUNTIFS(SAISIE!$B$5:$B$204,"*Vent Av./Arr.*",SAISIE!$F$5:$F$204,$G$187)&gt;0)),"",IFERROR(IF(_xlfn.MINIFS(SAISIE!$E$5:$E$204,SAISIE!$B$5:$B$204,"*Vent Av./Arr.*",SAISIE!$F$5:$F$204,$G$187)&gt;=0,0,_xlfn.MINIFS(SAISIE!$E$5:$E$204,SAISIE!$B$5:$B$204,"*Vent Av./Arr.*",SAISIE!$F$5:$F$204,$G$187)),"-"))</f>
        <v/>
      </c>
      <c r="E193" s="6" t="str">
        <f>IF($G$187="","",IF(OR(D193="",D193="-"),"",IF(D193&gt;0,"(soulevement)",IF(D193&lt;0,"(compression)","-"))))</f>
        <v/>
      </c>
    </row>
    <row r="194" spans="1:7" x14ac:dyDescent="0.25">
      <c r="A194" s="5" t="str">
        <f>IF(OR($G$187="",NOT(_xlfn.MAXIFS(SAISIE!$E$5:$E$204,SAISIE!$B$5:$B$204,"*Vent Av./Arr.*",SAISIE!$F$5:$F$204,$G$187)&gt;0)),"","Vent Av./Arr.")</f>
        <v/>
      </c>
      <c r="B194" s="6" t="str">
        <f>IF(OR($G$187="",NOT(_xlfn.MAXIFS(SAISIE!$E$5:$E$204,SAISIE!$B$5:$B$204,"*Vent Av./Arr.*",SAISIE!$F$5:$F$204,$G$187)&gt;0)),"",IFERROR(INDEX(SAISIE!$C$5:$C$204,MATCH(_xlfn.MAXIFS(SAISIE!$E$5:$E$204,SAISIE!$B$5:$B$204,"*Vent Av./Arr.*",SAISIE!$F$5:$F$204,$G$187),SAISIE!$E$5:$E$204,0)),"-"))</f>
        <v/>
      </c>
      <c r="C194" s="6" t="str">
        <f>IF(OR($G$187="",NOT(_xlfn.MAXIFS(SAISIE!$E$5:$E$204,SAISIE!$B$5:$B$204,"*Vent Av./Arr.*",SAISIE!$F$5:$F$204,$G$187)&gt;0)),"",IFERROR(INDEX(SAISIE!$D$5:$D$204,MATCH(_xlfn.MAXIFS(SAISIE!$E$5:$E$204,SAISIE!$B$5:$B$204,"*Vent Av./Arr.*",SAISIE!$F$5:$F$204,$G$187),SAISIE!$E$5:$E$204,0)),"-"))</f>
        <v/>
      </c>
      <c r="D194" s="6" t="str">
        <f>IF(OR($G$187="",NOT(_xlfn.MAXIFS(SAISIE!$E$5:$E$204,SAISIE!$B$5:$B$204,"*Vent Av./Arr.*",SAISIE!$F$5:$F$204,$G$187)&gt;0)),"",IFERROR(_xlfn.MAXIFS(SAISIE!$E$5:$E$204,SAISIE!$B$5:$B$204,"*Vent Av./Arr.*",SAISIE!$F$5:$F$204,$G$187),"-"))</f>
        <v/>
      </c>
      <c r="E194" s="6" t="str">
        <f>IF($G$187="","",IF(OR(D194="",D194="-"),"",IF(D194&gt;0,"(soulevement)",IF(D194&lt;0,"(compression)","-"))))</f>
        <v/>
      </c>
    </row>
    <row r="195" spans="1:7" x14ac:dyDescent="0.25">
      <c r="A195" s="5" t="str">
        <f>IF(OR($G$187="",NOT(COUNTIFS(SAISIE!$B$5:$B$204,"*Vent Arr./Av.*",SAISIE!$F$5:$F$204,$G$187)&gt;0)),"","Vent Arr./Av.")</f>
        <v/>
      </c>
      <c r="B195" s="6" t="str">
        <f>IF(OR($G$187="",NOT(COUNTIFS(SAISIE!$B$5:$B$204,"*Vent Arr./Av.*",SAISIE!$F$5:$F$204,$G$187)&gt;0)),"",IFERROR(IF(_xlfn.MINIFS(SAISIE!$E$5:$E$204,SAISIE!$B$5:$B$204,"*Vent Arr./Av.*",SAISIE!$F$5:$F$204,$G$187)&gt;=0,_xlfn.MAXIFS(SAISIE!$C$5:$C$204,SAISIE!$B$5:$B$204,"*Vent Arr./Av.*",SAISIE!$F$5:$F$204,$G$187),INDEX(SAISIE!$C$5:$C$204,MATCH(_xlfn.MINIFS(SAISIE!$E$5:$E$204,SAISIE!$B$5:$B$204,"*Vent Arr./Av.*",SAISIE!$F$5:$F$204,$G$187),SAISIE!$E$5:$E$204,0))),"-"))</f>
        <v/>
      </c>
      <c r="C195" s="6" t="str">
        <f>IF(OR($G$187="",NOT(COUNTIFS(SAISIE!$B$5:$B$204,"*Vent Arr./Av.*",SAISIE!$F$5:$F$204,$G$187)&gt;0)),"",IFERROR(IF(_xlfn.MINIFS(SAISIE!$E$5:$E$204,SAISIE!$B$5:$B$204,"*Vent Arr./Av.*",SAISIE!$F$5:$F$204,$G$187)&gt;=0,INDEX(SAISIE!$D$5:$D$204,MATCH(_xlfn.MAXIFS(SAISIE!$C$5:$C$204,SAISIE!$B$5:$B$204,"*Vent Arr./Av.*",SAISIE!$F$5:$F$204,$G$187),SAISIE!$C$5:$C$204,0)),INDEX(SAISIE!$D$5:$D$204,MATCH(_xlfn.MINIFS(SAISIE!$E$5:$E$204,SAISIE!$B$5:$B$204,"*Vent Arr./Av.*",SAISIE!$F$5:$F$204,$G$187),SAISIE!$E$5:$E$204,0))),"-"))</f>
        <v/>
      </c>
      <c r="D195" s="6" t="str">
        <f>IF(OR($G$187="",NOT(COUNTIFS(SAISIE!$B$5:$B$204,"*Vent Arr./Av.*",SAISIE!$F$5:$F$204,$G$187)&gt;0)),"",IFERROR(IF(_xlfn.MINIFS(SAISIE!$E$5:$E$204,SAISIE!$B$5:$B$204,"*Vent Arr./Av.*",SAISIE!$F$5:$F$204,$G$187)&gt;=0,0,_xlfn.MINIFS(SAISIE!$E$5:$E$204,SAISIE!$B$5:$B$204,"*Vent Arr./Av.*",SAISIE!$F$5:$F$204,$G$187)),"-"))</f>
        <v/>
      </c>
      <c r="E195" s="6" t="str">
        <f>IF($G$187="","",IF(OR(D195="",D195="-"),"",IF(D195&gt;0,"(soulevement)",IF(D195&lt;0,"(compression)","-"))))</f>
        <v/>
      </c>
    </row>
    <row r="196" spans="1:7" x14ac:dyDescent="0.25">
      <c r="A196" s="5" t="str">
        <f>IF(OR($G$187="",NOT(_xlfn.MAXIFS(SAISIE!$E$5:$E$204,SAISIE!$B$5:$B$204,"*Vent Arr./Av.*",SAISIE!$F$5:$F$204,$G$187)&gt;0)),"","Vent Arr./Av.")</f>
        <v/>
      </c>
      <c r="B196" s="6" t="str">
        <f>IF(OR($G$187="",NOT(_xlfn.MAXIFS(SAISIE!$E$5:$E$204,SAISIE!$B$5:$B$204,"*Vent Arr./Av.*",SAISIE!$F$5:$F$204,$G$187)&gt;0)),"",IFERROR(INDEX(SAISIE!$C$5:$C$204,MATCH(_xlfn.MAXIFS(SAISIE!$E$5:$E$204,SAISIE!$B$5:$B$204,"*Vent Arr./Av.*",SAISIE!$F$5:$F$204,$G$187),SAISIE!$E$5:$E$204,0)),"-"))</f>
        <v/>
      </c>
      <c r="C196" s="6" t="str">
        <f>IF(OR($G$187="",NOT(_xlfn.MAXIFS(SAISIE!$E$5:$E$204,SAISIE!$B$5:$B$204,"*Vent Arr./Av.*",SAISIE!$F$5:$F$204,$G$187)&gt;0)),"",IFERROR(INDEX(SAISIE!$D$5:$D$204,MATCH(_xlfn.MAXIFS(SAISIE!$E$5:$E$204,SAISIE!$B$5:$B$204,"*Vent Arr./Av.*",SAISIE!$F$5:$F$204,$G$187),SAISIE!$E$5:$E$204,0)),"-"))</f>
        <v/>
      </c>
      <c r="D196" s="6" t="str">
        <f>IF(OR($G$187="",NOT(_xlfn.MAXIFS(SAISIE!$E$5:$E$204,SAISIE!$B$5:$B$204,"*Vent Arr./Av.*",SAISIE!$F$5:$F$204,$G$187)&gt;0)),"",IFERROR(_xlfn.MAXIFS(SAISIE!$E$5:$E$204,SAISIE!$B$5:$B$204,"*Vent Arr./Av.*",SAISIE!$F$5:$F$204,$G$187),"-"))</f>
        <v/>
      </c>
      <c r="E196" s="6" t="str">
        <f>IF($G$187="","",IF(OR(D196="",D196="-"),"",IF(D196&gt;0,"(soulevement)",IF(D196&lt;0,"(compression)","-"))))</f>
        <v/>
      </c>
    </row>
    <row r="197" spans="1:7" x14ac:dyDescent="0.25">
      <c r="A197" s="5" t="str">
        <f>IF(OR($G$187="",NOT(TRUE)),"","Neige normale")</f>
        <v/>
      </c>
      <c r="B197" s="6" t="str">
        <f>IF($G$187="","",IFERROR(INDEX(SAISIE!$C$5:$C$204,MATCH(_xlfn.MINIFS(SAISIE!$E$5:$E$204,SAISIE!$B$5:$B$204,"*Neige*",SAISIE!$B$5:$B$204,"&lt;&gt;*accidentel*",SAISIE!$F$5:$F$204,$G$187),SAISIE!$E$5:$E$204,0)),"-"))</f>
        <v/>
      </c>
      <c r="C197" s="6" t="str">
        <f>IF($G$187="","",IFERROR(INDEX(SAISIE!$D$5:$D$204,MATCH(_xlfn.MINIFS(SAISIE!$E$5:$E$204,SAISIE!$B$5:$B$204,"*Neige*",SAISIE!$B$5:$B$204,"&lt;&gt;*accidentel*",SAISIE!$F$5:$F$204,$G$187),SAISIE!$E$5:$E$204,0)),"-"))</f>
        <v/>
      </c>
      <c r="D197" s="6" t="str">
        <f>IF($G$187="","",IFERROR(INDEX(SAISIE!$E$5:$E$204,MATCH(_xlfn.MINIFS(SAISIE!$E$5:$E$204,SAISIE!$B$5:$B$204,"*Neige*",SAISIE!$B$5:$B$204,"&lt;&gt;*accidentel*",SAISIE!$F$5:$F$204,$G$187),SAISIE!$E$5:$E$204,0)),"-"))</f>
        <v/>
      </c>
      <c r="E197" s="6" t="str">
        <f>IF($G$187="","",IF(OR(D197="",D197="-"),"",IF(D197&gt;0,"(soulevement)",IF(D197&lt;0,"(compression)","-"))))</f>
        <v/>
      </c>
    </row>
    <row r="198" spans="1:7" x14ac:dyDescent="0.25">
      <c r="A198" s="5" t="str">
        <f>IF(OR($G$187="",NOT(TRUE)),"","Neige accidentelle")</f>
        <v/>
      </c>
      <c r="B198" s="6" t="str">
        <f>IF($G$187="","",IFERROR(LOOKUP(2,1/((SAISIE!$F$5:$F$204=$G$187)*(ISNUMBER(SEARCH("accidentel",SAISIE!$B$5:$B$204)))),SAISIE!$C$5:$C$204),"-"))</f>
        <v/>
      </c>
      <c r="C198" s="6" t="str">
        <f>IF($G$187="","",IFERROR(LOOKUP(2,1/((SAISIE!$F$5:$F$204=$G$187)*(ISNUMBER(SEARCH("accidentel",SAISIE!$B$5:$B$204)))),SAISIE!$D$5:$D$204),"-"))</f>
        <v/>
      </c>
      <c r="D198" s="6" t="str">
        <f>IF($G$187="","",IFERROR(LOOKUP(2,1/((SAISIE!$F$5:$F$204=$G$187)*(ISNUMBER(SEARCH("accidentel",SAISIE!$B$5:$B$204)))),SAISIE!$E$5:$E$204),"-"))</f>
        <v/>
      </c>
      <c r="E198" s="6" t="str">
        <f>IF($G$187="","",IF(OR(D198="",D198="-"),"",IF(D198&gt;0,"(soulevement)",IF(D198&lt;0,"(compression)","-"))))</f>
        <v/>
      </c>
    </row>
    <row r="199" spans="1:7" ht="15.75" x14ac:dyDescent="0.25">
      <c r="A199" s="11" t="str">
        <f>IF($G$199="","","Noeud "&amp;$G$199)</f>
        <v/>
      </c>
      <c r="B199" s="12"/>
      <c r="C199" s="12"/>
      <c r="D199" s="12"/>
      <c r="E199" s="12"/>
      <c r="G199" t="str">
        <f>IFERROR(INDEX(SAISIE!$F$5:$F$204,_xlfn.AGGREGATE(15,6,ROW(SAISIE!$F$5:$F$204)-ROW(SAISIE!$F$5)+1/(SAISIE!$F$5:$F$204&lt;&gt;"")/(COUNTIF($G$4:G198,SAISIE!$F$5:$F$204)=0),1)),"")</f>
        <v/>
      </c>
    </row>
    <row r="200" spans="1:7" x14ac:dyDescent="0.25">
      <c r="A200" s="5" t="str">
        <f>IF(OR($G$199="",NOT(TRUE)),"","Couverture")</f>
        <v/>
      </c>
      <c r="B200" s="6" t="str">
        <f>IF($G$199="","",IFERROR(IFERROR(LOOKUP(2,1/((SAISIE!$F$5:$F$204=$G$199)*(LEFT(SAISIE!$B$5:$B$204,2)="G ")),SAISIE!$C$5:$C$204),LOOKUP(2,1/((SAISIE!$F$5:$F$204=$G$199)*(ISNUMBER(SEARCH("Couverture",SAISIE!$B$5:$B$204)))),SAISIE!$C$5:$C$204)),"-"))</f>
        <v/>
      </c>
      <c r="C200" s="6" t="str">
        <f>IF($G$199="","",IFERROR(IFERROR(LOOKUP(2,1/((SAISIE!$F$5:$F$204=$G$199)*(LEFT(SAISIE!$B$5:$B$204,2)="G ")),SAISIE!$D$5:$D$204),LOOKUP(2,1/((SAISIE!$F$5:$F$204=$G$199)*(ISNUMBER(SEARCH("Couverture",SAISIE!$B$5:$B$204)))),SAISIE!$D$5:$D$204)),"-"))</f>
        <v/>
      </c>
      <c r="D200" s="6" t="str">
        <f>IF($G$199="","",IFERROR(IFERROR(LOOKUP(2,1/((SAISIE!$F$5:$F$204=$G$199)*(LEFT(SAISIE!$B$5:$B$204,2)="G ")),SAISIE!$E$5:$E$204),LOOKUP(2,1/((SAISIE!$F$5:$F$204=$G$199)*(ISNUMBER(SEARCH("Couverture",SAISIE!$B$5:$B$204)))),SAISIE!$E$5:$E$204)),"-"))</f>
        <v/>
      </c>
      <c r="E200" s="6" t="str">
        <f>IF($G$199="","",IF(OR(D200="",D200="-"),"",IF(D200&gt;0,"(soulevement)",IF(D200&lt;0,"(compression)","-"))))</f>
        <v/>
      </c>
    </row>
    <row r="201" spans="1:7" x14ac:dyDescent="0.25">
      <c r="A201" s="5" t="str">
        <f>IF(OR($G$199="",NOT(COUNTIFS(SAISIE!$B$5:$B$204,"*Vent G/D*",SAISIE!$F$5:$F$204,$G$199)&gt;0)),"","Vent G/D")</f>
        <v/>
      </c>
      <c r="B201" s="6" t="str">
        <f>IF(OR($G$199="",NOT(COUNTIFS(SAISIE!$B$5:$B$204,"*Vent G/D*",SAISIE!$F$5:$F$204,$G$199)&gt;0)),"",IFERROR(IF(_xlfn.MINIFS(SAISIE!$E$5:$E$204,SAISIE!$B$5:$B$204,"*Vent G/D*",SAISIE!$F$5:$F$204,$G$199)&gt;=0,_xlfn.MAXIFS(SAISIE!$C$5:$C$204,SAISIE!$B$5:$B$204,"*Vent G/D*",SAISIE!$F$5:$F$204,$G$199),INDEX(SAISIE!$C$5:$C$204,MATCH(_xlfn.MINIFS(SAISIE!$E$5:$E$204,SAISIE!$B$5:$B$204,"*Vent G/D*",SAISIE!$F$5:$F$204,$G$199),SAISIE!$E$5:$E$204,0))),"-"))</f>
        <v/>
      </c>
      <c r="C201" s="6" t="str">
        <f>IF(OR($G$199="",NOT(COUNTIFS(SAISIE!$B$5:$B$204,"*Vent G/D*",SAISIE!$F$5:$F$204,$G$199)&gt;0)),"",IFERROR(IF(_xlfn.MINIFS(SAISIE!$E$5:$E$204,SAISIE!$B$5:$B$204,"*Vent G/D*",SAISIE!$F$5:$F$204,$G$199)&gt;=0,INDEX(SAISIE!$D$5:$D$204,MATCH(_xlfn.MAXIFS(SAISIE!$C$5:$C$204,SAISIE!$B$5:$B$204,"*Vent G/D*",SAISIE!$F$5:$F$204,$G$199),SAISIE!$C$5:$C$204,0)),INDEX(SAISIE!$D$5:$D$204,MATCH(_xlfn.MINIFS(SAISIE!$E$5:$E$204,SAISIE!$B$5:$B$204,"*Vent G/D*",SAISIE!$F$5:$F$204,$G$199),SAISIE!$E$5:$E$204,0))),"-"))</f>
        <v/>
      </c>
      <c r="D201" s="6" t="str">
        <f>IF(OR($G$199="",NOT(COUNTIFS(SAISIE!$B$5:$B$204,"*Vent G/D*",SAISIE!$F$5:$F$204,$G$199)&gt;0)),"",IFERROR(IF(_xlfn.MINIFS(SAISIE!$E$5:$E$204,SAISIE!$B$5:$B$204,"*Vent G/D*",SAISIE!$F$5:$F$204,$G$199)&gt;=0,0,_xlfn.MINIFS(SAISIE!$E$5:$E$204,SAISIE!$B$5:$B$204,"*Vent G/D*",SAISIE!$F$5:$F$204,$G$199)),"-"))</f>
        <v/>
      </c>
      <c r="E201" s="6" t="str">
        <f>IF($G$199="","",IF(OR(D201="",D201="-"),"",IF(D201&gt;0,"(soulevement)",IF(D201&lt;0,"(compression)","-"))))</f>
        <v/>
      </c>
    </row>
    <row r="202" spans="1:7" x14ac:dyDescent="0.25">
      <c r="A202" s="5" t="str">
        <f>IF(OR($G$199="",NOT(_xlfn.MAXIFS(SAISIE!$E$5:$E$204,SAISIE!$B$5:$B$204,"*Vent G/D*",SAISIE!$F$5:$F$204,$G$199)&gt;0)),"","Vent G/D")</f>
        <v/>
      </c>
      <c r="B202" s="6" t="str">
        <f>IF(OR($G$199="",NOT(_xlfn.MAXIFS(SAISIE!$E$5:$E$204,SAISIE!$B$5:$B$204,"*Vent G/D*",SAISIE!$F$5:$F$204,$G$199)&gt;0)),"",IFERROR(INDEX(SAISIE!$C$5:$C$204,MATCH(_xlfn.MAXIFS(SAISIE!$E$5:$E$204,SAISIE!$B$5:$B$204,"*Vent G/D*",SAISIE!$F$5:$F$204,$G$199),SAISIE!$E$5:$E$204,0)),"-"))</f>
        <v/>
      </c>
      <c r="C202" s="6" t="str">
        <f>IF(OR($G$199="",NOT(_xlfn.MAXIFS(SAISIE!$E$5:$E$204,SAISIE!$B$5:$B$204,"*Vent G/D*",SAISIE!$F$5:$F$204,$G$199)&gt;0)),"",IFERROR(INDEX(SAISIE!$D$5:$D$204,MATCH(_xlfn.MAXIFS(SAISIE!$E$5:$E$204,SAISIE!$B$5:$B$204,"*Vent G/D*",SAISIE!$F$5:$F$204,$G$199),SAISIE!$E$5:$E$204,0)),"-"))</f>
        <v/>
      </c>
      <c r="D202" s="6" t="str">
        <f>IF(OR($G$199="",NOT(_xlfn.MAXIFS(SAISIE!$E$5:$E$204,SAISIE!$B$5:$B$204,"*Vent G/D*",SAISIE!$F$5:$F$204,$G$199)&gt;0)),"",IFERROR(_xlfn.MAXIFS(SAISIE!$E$5:$E$204,SAISIE!$B$5:$B$204,"*Vent G/D*",SAISIE!$F$5:$F$204,$G$199),"-"))</f>
        <v/>
      </c>
      <c r="E202" s="6" t="str">
        <f>IF($G$199="","",IF(OR(D202="",D202="-"),"",IF(D202&gt;0,"(soulevement)",IF(D202&lt;0,"(compression)","-"))))</f>
        <v/>
      </c>
    </row>
    <row r="203" spans="1:7" x14ac:dyDescent="0.25">
      <c r="A203" s="5" t="str">
        <f>IF(OR($G$199="",NOT(COUNTIFS(SAISIE!$B$5:$B$204,"*Vent D/G*",SAISIE!$F$5:$F$204,$G$199)&gt;0)),"","Vent D/G")</f>
        <v/>
      </c>
      <c r="B203" s="6" t="str">
        <f>IF(OR($G$199="",NOT(COUNTIFS(SAISIE!$B$5:$B$204,"*Vent D/G*",SAISIE!$F$5:$F$204,$G$199)&gt;0)),"",IFERROR(IF(_xlfn.MINIFS(SAISIE!$E$5:$E$204,SAISIE!$B$5:$B$204,"*Vent D/G*",SAISIE!$F$5:$F$204,$G$199)&gt;=0,_xlfn.MAXIFS(SAISIE!$C$5:$C$204,SAISIE!$B$5:$B$204,"*Vent D/G*",SAISIE!$F$5:$F$204,$G$199),INDEX(SAISIE!$C$5:$C$204,MATCH(_xlfn.MINIFS(SAISIE!$E$5:$E$204,SAISIE!$B$5:$B$204,"*Vent D/G*",SAISIE!$F$5:$F$204,$G$199),SAISIE!$E$5:$E$204,0))),"-"))</f>
        <v/>
      </c>
      <c r="C203" s="6" t="str">
        <f>IF(OR($G$199="",NOT(COUNTIFS(SAISIE!$B$5:$B$204,"*Vent D/G*",SAISIE!$F$5:$F$204,$G$199)&gt;0)),"",IFERROR(IF(_xlfn.MINIFS(SAISIE!$E$5:$E$204,SAISIE!$B$5:$B$204,"*Vent D/G*",SAISIE!$F$5:$F$204,$G$199)&gt;=0,INDEX(SAISIE!$D$5:$D$204,MATCH(_xlfn.MAXIFS(SAISIE!$C$5:$C$204,SAISIE!$B$5:$B$204,"*Vent D/G*",SAISIE!$F$5:$F$204,$G$199),SAISIE!$C$5:$C$204,0)),INDEX(SAISIE!$D$5:$D$204,MATCH(_xlfn.MINIFS(SAISIE!$E$5:$E$204,SAISIE!$B$5:$B$204,"*Vent D/G*",SAISIE!$F$5:$F$204,$G$199),SAISIE!$E$5:$E$204,0))),"-"))</f>
        <v/>
      </c>
      <c r="D203" s="6" t="str">
        <f>IF(OR($G$199="",NOT(COUNTIFS(SAISIE!$B$5:$B$204,"*Vent D/G*",SAISIE!$F$5:$F$204,$G$199)&gt;0)),"",IFERROR(IF(_xlfn.MINIFS(SAISIE!$E$5:$E$204,SAISIE!$B$5:$B$204,"*Vent D/G*",SAISIE!$F$5:$F$204,$G$199)&gt;=0,0,_xlfn.MINIFS(SAISIE!$E$5:$E$204,SAISIE!$B$5:$B$204,"*Vent D/G*",SAISIE!$F$5:$F$204,$G$199)),"-"))</f>
        <v/>
      </c>
      <c r="E203" s="6" t="str">
        <f>IF($G$199="","",IF(OR(D203="",D203="-"),"",IF(D203&gt;0,"(soulevement)",IF(D203&lt;0,"(compression)","-"))))</f>
        <v/>
      </c>
    </row>
    <row r="204" spans="1:7" x14ac:dyDescent="0.25">
      <c r="A204" s="5" t="str">
        <f>IF(OR($G$199="",NOT(_xlfn.MAXIFS(SAISIE!$E$5:$E$204,SAISIE!$B$5:$B$204,"*Vent D/G*",SAISIE!$F$5:$F$204,$G$199)&gt;0)),"","Vent D/G")</f>
        <v/>
      </c>
      <c r="B204" s="6" t="str">
        <f>IF(OR($G$199="",NOT(_xlfn.MAXIFS(SAISIE!$E$5:$E$204,SAISIE!$B$5:$B$204,"*Vent D/G*",SAISIE!$F$5:$F$204,$G$199)&gt;0)),"",IFERROR(INDEX(SAISIE!$C$5:$C$204,MATCH(_xlfn.MAXIFS(SAISIE!$E$5:$E$204,SAISIE!$B$5:$B$204,"*Vent D/G*",SAISIE!$F$5:$F$204,$G$199),SAISIE!$E$5:$E$204,0)),"-"))</f>
        <v/>
      </c>
      <c r="C204" s="6" t="str">
        <f>IF(OR($G$199="",NOT(_xlfn.MAXIFS(SAISIE!$E$5:$E$204,SAISIE!$B$5:$B$204,"*Vent D/G*",SAISIE!$F$5:$F$204,$G$199)&gt;0)),"",IFERROR(INDEX(SAISIE!$D$5:$D$204,MATCH(_xlfn.MAXIFS(SAISIE!$E$5:$E$204,SAISIE!$B$5:$B$204,"*Vent D/G*",SAISIE!$F$5:$F$204,$G$199),SAISIE!$E$5:$E$204,0)),"-"))</f>
        <v/>
      </c>
      <c r="D204" s="6" t="str">
        <f>IF(OR($G$199="",NOT(_xlfn.MAXIFS(SAISIE!$E$5:$E$204,SAISIE!$B$5:$B$204,"*Vent D/G*",SAISIE!$F$5:$F$204,$G$199)&gt;0)),"",IFERROR(_xlfn.MAXIFS(SAISIE!$E$5:$E$204,SAISIE!$B$5:$B$204,"*Vent D/G*",SAISIE!$F$5:$F$204,$G$199),"-"))</f>
        <v/>
      </c>
      <c r="E204" s="6" t="str">
        <f>IF($G$199="","",IF(OR(D204="",D204="-"),"",IF(D204&gt;0,"(soulevement)",IF(D204&lt;0,"(compression)","-"))))</f>
        <v/>
      </c>
    </row>
    <row r="205" spans="1:7" x14ac:dyDescent="0.25">
      <c r="A205" s="5" t="str">
        <f>IF(OR($G$199="",NOT(COUNTIFS(SAISIE!$B$5:$B$204,"*Vent Av./Arr.*",SAISIE!$F$5:$F$204,$G$199)&gt;0)),"","Vent Av./Arr.")</f>
        <v/>
      </c>
      <c r="B205" s="6" t="str">
        <f>IF(OR($G$199="",NOT(COUNTIFS(SAISIE!$B$5:$B$204,"*Vent Av./Arr.*",SAISIE!$F$5:$F$204,$G$199)&gt;0)),"",IFERROR(IF(_xlfn.MINIFS(SAISIE!$E$5:$E$204,SAISIE!$B$5:$B$204,"*Vent Av./Arr.*",SAISIE!$F$5:$F$204,$G$199)&gt;=0,_xlfn.MAXIFS(SAISIE!$C$5:$C$204,SAISIE!$B$5:$B$204,"*Vent Av./Arr.*",SAISIE!$F$5:$F$204,$G$199),INDEX(SAISIE!$C$5:$C$204,MATCH(_xlfn.MINIFS(SAISIE!$E$5:$E$204,SAISIE!$B$5:$B$204,"*Vent Av./Arr.*",SAISIE!$F$5:$F$204,$G$199),SAISIE!$E$5:$E$204,0))),"-"))</f>
        <v/>
      </c>
      <c r="C205" s="6" t="str">
        <f>IF(OR($G$199="",NOT(COUNTIFS(SAISIE!$B$5:$B$204,"*Vent Av./Arr.*",SAISIE!$F$5:$F$204,$G$199)&gt;0)),"",IFERROR(IF(_xlfn.MINIFS(SAISIE!$E$5:$E$204,SAISIE!$B$5:$B$204,"*Vent Av./Arr.*",SAISIE!$F$5:$F$204,$G$199)&gt;=0,INDEX(SAISIE!$D$5:$D$204,MATCH(_xlfn.MAXIFS(SAISIE!$C$5:$C$204,SAISIE!$B$5:$B$204,"*Vent Av./Arr.*",SAISIE!$F$5:$F$204,$G$199),SAISIE!$C$5:$C$204,0)),INDEX(SAISIE!$D$5:$D$204,MATCH(_xlfn.MINIFS(SAISIE!$E$5:$E$204,SAISIE!$B$5:$B$204,"*Vent Av./Arr.*",SAISIE!$F$5:$F$204,$G$199),SAISIE!$E$5:$E$204,0))),"-"))</f>
        <v/>
      </c>
      <c r="D205" s="6" t="str">
        <f>IF(OR($G$199="",NOT(COUNTIFS(SAISIE!$B$5:$B$204,"*Vent Av./Arr.*",SAISIE!$F$5:$F$204,$G$199)&gt;0)),"",IFERROR(IF(_xlfn.MINIFS(SAISIE!$E$5:$E$204,SAISIE!$B$5:$B$204,"*Vent Av./Arr.*",SAISIE!$F$5:$F$204,$G$199)&gt;=0,0,_xlfn.MINIFS(SAISIE!$E$5:$E$204,SAISIE!$B$5:$B$204,"*Vent Av./Arr.*",SAISIE!$F$5:$F$204,$G$199)),"-"))</f>
        <v/>
      </c>
      <c r="E205" s="6" t="str">
        <f>IF($G$199="","",IF(OR(D205="",D205="-"),"",IF(D205&gt;0,"(soulevement)",IF(D205&lt;0,"(compression)","-"))))</f>
        <v/>
      </c>
    </row>
    <row r="206" spans="1:7" x14ac:dyDescent="0.25">
      <c r="A206" s="5" t="str">
        <f>IF(OR($G$199="",NOT(_xlfn.MAXIFS(SAISIE!$E$5:$E$204,SAISIE!$B$5:$B$204,"*Vent Av./Arr.*",SAISIE!$F$5:$F$204,$G$199)&gt;0)),"","Vent Av./Arr.")</f>
        <v/>
      </c>
      <c r="B206" s="6" t="str">
        <f>IF(OR($G$199="",NOT(_xlfn.MAXIFS(SAISIE!$E$5:$E$204,SAISIE!$B$5:$B$204,"*Vent Av./Arr.*",SAISIE!$F$5:$F$204,$G$199)&gt;0)),"",IFERROR(INDEX(SAISIE!$C$5:$C$204,MATCH(_xlfn.MAXIFS(SAISIE!$E$5:$E$204,SAISIE!$B$5:$B$204,"*Vent Av./Arr.*",SAISIE!$F$5:$F$204,$G$199),SAISIE!$E$5:$E$204,0)),"-"))</f>
        <v/>
      </c>
      <c r="C206" s="6" t="str">
        <f>IF(OR($G$199="",NOT(_xlfn.MAXIFS(SAISIE!$E$5:$E$204,SAISIE!$B$5:$B$204,"*Vent Av./Arr.*",SAISIE!$F$5:$F$204,$G$199)&gt;0)),"",IFERROR(INDEX(SAISIE!$D$5:$D$204,MATCH(_xlfn.MAXIFS(SAISIE!$E$5:$E$204,SAISIE!$B$5:$B$204,"*Vent Av./Arr.*",SAISIE!$F$5:$F$204,$G$199),SAISIE!$E$5:$E$204,0)),"-"))</f>
        <v/>
      </c>
      <c r="D206" s="6" t="str">
        <f>IF(OR($G$199="",NOT(_xlfn.MAXIFS(SAISIE!$E$5:$E$204,SAISIE!$B$5:$B$204,"*Vent Av./Arr.*",SAISIE!$F$5:$F$204,$G$199)&gt;0)),"",IFERROR(_xlfn.MAXIFS(SAISIE!$E$5:$E$204,SAISIE!$B$5:$B$204,"*Vent Av./Arr.*",SAISIE!$F$5:$F$204,$G$199),"-"))</f>
        <v/>
      </c>
      <c r="E206" s="6" t="str">
        <f>IF($G$199="","",IF(OR(D206="",D206="-"),"",IF(D206&gt;0,"(soulevement)",IF(D206&lt;0,"(compression)","-"))))</f>
        <v/>
      </c>
    </row>
    <row r="207" spans="1:7" x14ac:dyDescent="0.25">
      <c r="A207" s="5" t="str">
        <f>IF(OR($G$199="",NOT(COUNTIFS(SAISIE!$B$5:$B$204,"*Vent Arr./Av.*",SAISIE!$F$5:$F$204,$G$199)&gt;0)),"","Vent Arr./Av.")</f>
        <v/>
      </c>
      <c r="B207" s="6" t="str">
        <f>IF(OR($G$199="",NOT(COUNTIFS(SAISIE!$B$5:$B$204,"*Vent Arr./Av.*",SAISIE!$F$5:$F$204,$G$199)&gt;0)),"",IFERROR(IF(_xlfn.MINIFS(SAISIE!$E$5:$E$204,SAISIE!$B$5:$B$204,"*Vent Arr./Av.*",SAISIE!$F$5:$F$204,$G$199)&gt;=0,_xlfn.MAXIFS(SAISIE!$C$5:$C$204,SAISIE!$B$5:$B$204,"*Vent Arr./Av.*",SAISIE!$F$5:$F$204,$G$199),INDEX(SAISIE!$C$5:$C$204,MATCH(_xlfn.MINIFS(SAISIE!$E$5:$E$204,SAISIE!$B$5:$B$204,"*Vent Arr./Av.*",SAISIE!$F$5:$F$204,$G$199),SAISIE!$E$5:$E$204,0))),"-"))</f>
        <v/>
      </c>
      <c r="C207" s="6" t="str">
        <f>IF(OR($G$199="",NOT(COUNTIFS(SAISIE!$B$5:$B$204,"*Vent Arr./Av.*",SAISIE!$F$5:$F$204,$G$199)&gt;0)),"",IFERROR(IF(_xlfn.MINIFS(SAISIE!$E$5:$E$204,SAISIE!$B$5:$B$204,"*Vent Arr./Av.*",SAISIE!$F$5:$F$204,$G$199)&gt;=0,INDEX(SAISIE!$D$5:$D$204,MATCH(_xlfn.MAXIFS(SAISIE!$C$5:$C$204,SAISIE!$B$5:$B$204,"*Vent Arr./Av.*",SAISIE!$F$5:$F$204,$G$199),SAISIE!$C$5:$C$204,0)),INDEX(SAISIE!$D$5:$D$204,MATCH(_xlfn.MINIFS(SAISIE!$E$5:$E$204,SAISIE!$B$5:$B$204,"*Vent Arr./Av.*",SAISIE!$F$5:$F$204,$G$199),SAISIE!$E$5:$E$204,0))),"-"))</f>
        <v/>
      </c>
      <c r="D207" s="6" t="str">
        <f>IF(OR($G$199="",NOT(COUNTIFS(SAISIE!$B$5:$B$204,"*Vent Arr./Av.*",SAISIE!$F$5:$F$204,$G$199)&gt;0)),"",IFERROR(IF(_xlfn.MINIFS(SAISIE!$E$5:$E$204,SAISIE!$B$5:$B$204,"*Vent Arr./Av.*",SAISIE!$F$5:$F$204,$G$199)&gt;=0,0,_xlfn.MINIFS(SAISIE!$E$5:$E$204,SAISIE!$B$5:$B$204,"*Vent Arr./Av.*",SAISIE!$F$5:$F$204,$G$199)),"-"))</f>
        <v/>
      </c>
      <c r="E207" s="6" t="str">
        <f>IF($G$199="","",IF(OR(D207="",D207="-"),"",IF(D207&gt;0,"(soulevement)",IF(D207&lt;0,"(compression)","-"))))</f>
        <v/>
      </c>
    </row>
    <row r="208" spans="1:7" x14ac:dyDescent="0.25">
      <c r="A208" s="5" t="str">
        <f>IF(OR($G$199="",NOT(_xlfn.MAXIFS(SAISIE!$E$5:$E$204,SAISIE!$B$5:$B$204,"*Vent Arr./Av.*",SAISIE!$F$5:$F$204,$G$199)&gt;0)),"","Vent Arr./Av.")</f>
        <v/>
      </c>
      <c r="B208" s="6" t="str">
        <f>IF(OR($G$199="",NOT(_xlfn.MAXIFS(SAISIE!$E$5:$E$204,SAISIE!$B$5:$B$204,"*Vent Arr./Av.*",SAISIE!$F$5:$F$204,$G$199)&gt;0)),"",IFERROR(INDEX(SAISIE!$C$5:$C$204,MATCH(_xlfn.MAXIFS(SAISIE!$E$5:$E$204,SAISIE!$B$5:$B$204,"*Vent Arr./Av.*",SAISIE!$F$5:$F$204,$G$199),SAISIE!$E$5:$E$204,0)),"-"))</f>
        <v/>
      </c>
      <c r="C208" s="6" t="str">
        <f>IF(OR($G$199="",NOT(_xlfn.MAXIFS(SAISIE!$E$5:$E$204,SAISIE!$B$5:$B$204,"*Vent Arr./Av.*",SAISIE!$F$5:$F$204,$G$199)&gt;0)),"",IFERROR(INDEX(SAISIE!$D$5:$D$204,MATCH(_xlfn.MAXIFS(SAISIE!$E$5:$E$204,SAISIE!$B$5:$B$204,"*Vent Arr./Av.*",SAISIE!$F$5:$F$204,$G$199),SAISIE!$E$5:$E$204,0)),"-"))</f>
        <v/>
      </c>
      <c r="D208" s="6" t="str">
        <f>IF(OR($G$199="",NOT(_xlfn.MAXIFS(SAISIE!$E$5:$E$204,SAISIE!$B$5:$B$204,"*Vent Arr./Av.*",SAISIE!$F$5:$F$204,$G$199)&gt;0)),"",IFERROR(_xlfn.MAXIFS(SAISIE!$E$5:$E$204,SAISIE!$B$5:$B$204,"*Vent Arr./Av.*",SAISIE!$F$5:$F$204,$G$199),"-"))</f>
        <v/>
      </c>
      <c r="E208" s="6" t="str">
        <f>IF($G$199="","",IF(OR(D208="",D208="-"),"",IF(D208&gt;0,"(soulevement)",IF(D208&lt;0,"(compression)","-"))))</f>
        <v/>
      </c>
    </row>
    <row r="209" spans="1:7" x14ac:dyDescent="0.25">
      <c r="A209" s="5" t="str">
        <f>IF(OR($G$199="",NOT(TRUE)),"","Neige normale")</f>
        <v/>
      </c>
      <c r="B209" s="6" t="str">
        <f>IF($G$199="","",IFERROR(INDEX(SAISIE!$C$5:$C$204,MATCH(_xlfn.MINIFS(SAISIE!$E$5:$E$204,SAISIE!$B$5:$B$204,"*Neige*",SAISIE!$B$5:$B$204,"&lt;&gt;*accidentel*",SAISIE!$F$5:$F$204,$G$199),SAISIE!$E$5:$E$204,0)),"-"))</f>
        <v/>
      </c>
      <c r="C209" s="6" t="str">
        <f>IF($G$199="","",IFERROR(INDEX(SAISIE!$D$5:$D$204,MATCH(_xlfn.MINIFS(SAISIE!$E$5:$E$204,SAISIE!$B$5:$B$204,"*Neige*",SAISIE!$B$5:$B$204,"&lt;&gt;*accidentel*",SAISIE!$F$5:$F$204,$G$199),SAISIE!$E$5:$E$204,0)),"-"))</f>
        <v/>
      </c>
      <c r="D209" s="6" t="str">
        <f>IF($G$199="","",IFERROR(INDEX(SAISIE!$E$5:$E$204,MATCH(_xlfn.MINIFS(SAISIE!$E$5:$E$204,SAISIE!$B$5:$B$204,"*Neige*",SAISIE!$B$5:$B$204,"&lt;&gt;*accidentel*",SAISIE!$F$5:$F$204,$G$199),SAISIE!$E$5:$E$204,0)),"-"))</f>
        <v/>
      </c>
      <c r="E209" s="6" t="str">
        <f>IF($G$199="","",IF(OR(D209="",D209="-"),"",IF(D209&gt;0,"(soulevement)",IF(D209&lt;0,"(compression)","-"))))</f>
        <v/>
      </c>
    </row>
    <row r="210" spans="1:7" x14ac:dyDescent="0.25">
      <c r="A210" s="5" t="str">
        <f>IF(OR($G$199="",NOT(TRUE)),"","Neige accidentelle")</f>
        <v/>
      </c>
      <c r="B210" s="6" t="str">
        <f>IF($G$199="","",IFERROR(LOOKUP(2,1/((SAISIE!$F$5:$F$204=$G$199)*(ISNUMBER(SEARCH("accidentel",SAISIE!$B$5:$B$204)))),SAISIE!$C$5:$C$204),"-"))</f>
        <v/>
      </c>
      <c r="C210" s="6" t="str">
        <f>IF($G$199="","",IFERROR(LOOKUP(2,1/((SAISIE!$F$5:$F$204=$G$199)*(ISNUMBER(SEARCH("accidentel",SAISIE!$B$5:$B$204)))),SAISIE!$D$5:$D$204),"-"))</f>
        <v/>
      </c>
      <c r="D210" s="6" t="str">
        <f>IF($G$199="","",IFERROR(LOOKUP(2,1/((SAISIE!$F$5:$F$204=$G$199)*(ISNUMBER(SEARCH("accidentel",SAISIE!$B$5:$B$204)))),SAISIE!$E$5:$E$204),"-"))</f>
        <v/>
      </c>
      <c r="E210" s="6" t="str">
        <f>IF($G$199="","",IF(OR(D210="",D210="-"),"",IF(D210&gt;0,"(soulevement)",IF(D210&lt;0,"(compression)","-"))))</f>
        <v/>
      </c>
    </row>
    <row r="211" spans="1:7" ht="15.75" x14ac:dyDescent="0.25">
      <c r="A211" s="11" t="str">
        <f>IF($G$211="","","Noeud "&amp;$G$211)</f>
        <v/>
      </c>
      <c r="B211" s="12"/>
      <c r="C211" s="12"/>
      <c r="D211" s="12"/>
      <c r="E211" s="12"/>
      <c r="G211" t="str">
        <f>IFERROR(INDEX(SAISIE!$F$5:$F$204,_xlfn.AGGREGATE(15,6,ROW(SAISIE!$F$5:$F$204)-ROW(SAISIE!$F$5)+1/(SAISIE!$F$5:$F$204&lt;&gt;"")/(COUNTIF($G$4:G210,SAISIE!$F$5:$F$204)=0),1)),"")</f>
        <v/>
      </c>
    </row>
    <row r="212" spans="1:7" x14ac:dyDescent="0.25">
      <c r="A212" s="5" t="str">
        <f>IF(OR($G$211="",NOT(TRUE)),"","Couverture")</f>
        <v/>
      </c>
      <c r="B212" s="6" t="str">
        <f>IF($G$211="","",IFERROR(IFERROR(LOOKUP(2,1/((SAISIE!$F$5:$F$204=$G$211)*(LEFT(SAISIE!$B$5:$B$204,2)="G ")),SAISIE!$C$5:$C$204),LOOKUP(2,1/((SAISIE!$F$5:$F$204=$G$211)*(ISNUMBER(SEARCH("Couverture",SAISIE!$B$5:$B$204)))),SAISIE!$C$5:$C$204)),"-"))</f>
        <v/>
      </c>
      <c r="C212" s="6" t="str">
        <f>IF($G$211="","",IFERROR(IFERROR(LOOKUP(2,1/((SAISIE!$F$5:$F$204=$G$211)*(LEFT(SAISIE!$B$5:$B$204,2)="G ")),SAISIE!$D$5:$D$204),LOOKUP(2,1/((SAISIE!$F$5:$F$204=$G$211)*(ISNUMBER(SEARCH("Couverture",SAISIE!$B$5:$B$204)))),SAISIE!$D$5:$D$204)),"-"))</f>
        <v/>
      </c>
      <c r="D212" s="6" t="str">
        <f>IF($G$211="","",IFERROR(IFERROR(LOOKUP(2,1/((SAISIE!$F$5:$F$204=$G$211)*(LEFT(SAISIE!$B$5:$B$204,2)="G ")),SAISIE!$E$5:$E$204),LOOKUP(2,1/((SAISIE!$F$5:$F$204=$G$211)*(ISNUMBER(SEARCH("Couverture",SAISIE!$B$5:$B$204)))),SAISIE!$E$5:$E$204)),"-"))</f>
        <v/>
      </c>
      <c r="E212" s="6" t="str">
        <f>IF($G$211="","",IF(OR(D212="",D212="-"),"",IF(D212&gt;0,"(soulevement)",IF(D212&lt;0,"(compression)","-"))))</f>
        <v/>
      </c>
    </row>
    <row r="213" spans="1:7" x14ac:dyDescent="0.25">
      <c r="A213" s="5" t="str">
        <f>IF(OR($G$211="",NOT(COUNTIFS(SAISIE!$B$5:$B$204,"*Vent G/D*",SAISIE!$F$5:$F$204,$G$211)&gt;0)),"","Vent G/D")</f>
        <v/>
      </c>
      <c r="B213" s="6" t="str">
        <f>IF(OR($G$211="",NOT(COUNTIFS(SAISIE!$B$5:$B$204,"*Vent G/D*",SAISIE!$F$5:$F$204,$G$211)&gt;0)),"",IFERROR(IF(_xlfn.MINIFS(SAISIE!$E$5:$E$204,SAISIE!$B$5:$B$204,"*Vent G/D*",SAISIE!$F$5:$F$204,$G$211)&gt;=0,_xlfn.MAXIFS(SAISIE!$C$5:$C$204,SAISIE!$B$5:$B$204,"*Vent G/D*",SAISIE!$F$5:$F$204,$G$211),INDEX(SAISIE!$C$5:$C$204,MATCH(_xlfn.MINIFS(SAISIE!$E$5:$E$204,SAISIE!$B$5:$B$204,"*Vent G/D*",SAISIE!$F$5:$F$204,$G$211),SAISIE!$E$5:$E$204,0))),"-"))</f>
        <v/>
      </c>
      <c r="C213" s="6" t="str">
        <f>IF(OR($G$211="",NOT(COUNTIFS(SAISIE!$B$5:$B$204,"*Vent G/D*",SAISIE!$F$5:$F$204,$G$211)&gt;0)),"",IFERROR(IF(_xlfn.MINIFS(SAISIE!$E$5:$E$204,SAISIE!$B$5:$B$204,"*Vent G/D*",SAISIE!$F$5:$F$204,$G$211)&gt;=0,INDEX(SAISIE!$D$5:$D$204,MATCH(_xlfn.MAXIFS(SAISIE!$C$5:$C$204,SAISIE!$B$5:$B$204,"*Vent G/D*",SAISIE!$F$5:$F$204,$G$211),SAISIE!$C$5:$C$204,0)),INDEX(SAISIE!$D$5:$D$204,MATCH(_xlfn.MINIFS(SAISIE!$E$5:$E$204,SAISIE!$B$5:$B$204,"*Vent G/D*",SAISIE!$F$5:$F$204,$G$211),SAISIE!$E$5:$E$204,0))),"-"))</f>
        <v/>
      </c>
      <c r="D213" s="6" t="str">
        <f>IF(OR($G$211="",NOT(COUNTIFS(SAISIE!$B$5:$B$204,"*Vent G/D*",SAISIE!$F$5:$F$204,$G$211)&gt;0)),"",IFERROR(IF(_xlfn.MINIFS(SAISIE!$E$5:$E$204,SAISIE!$B$5:$B$204,"*Vent G/D*",SAISIE!$F$5:$F$204,$G$211)&gt;=0,0,_xlfn.MINIFS(SAISIE!$E$5:$E$204,SAISIE!$B$5:$B$204,"*Vent G/D*",SAISIE!$F$5:$F$204,$G$211)),"-"))</f>
        <v/>
      </c>
      <c r="E213" s="6" t="str">
        <f>IF($G$211="","",IF(OR(D213="",D213="-"),"",IF(D213&gt;0,"(soulevement)",IF(D213&lt;0,"(compression)","-"))))</f>
        <v/>
      </c>
    </row>
    <row r="214" spans="1:7" x14ac:dyDescent="0.25">
      <c r="A214" s="5" t="str">
        <f>IF(OR($G$211="",NOT(_xlfn.MAXIFS(SAISIE!$E$5:$E$204,SAISIE!$B$5:$B$204,"*Vent G/D*",SAISIE!$F$5:$F$204,$G$211)&gt;0)),"","Vent G/D")</f>
        <v/>
      </c>
      <c r="B214" s="6" t="str">
        <f>IF(OR($G$211="",NOT(_xlfn.MAXIFS(SAISIE!$E$5:$E$204,SAISIE!$B$5:$B$204,"*Vent G/D*",SAISIE!$F$5:$F$204,$G$211)&gt;0)),"",IFERROR(INDEX(SAISIE!$C$5:$C$204,MATCH(_xlfn.MAXIFS(SAISIE!$E$5:$E$204,SAISIE!$B$5:$B$204,"*Vent G/D*",SAISIE!$F$5:$F$204,$G$211),SAISIE!$E$5:$E$204,0)),"-"))</f>
        <v/>
      </c>
      <c r="C214" s="6" t="str">
        <f>IF(OR($G$211="",NOT(_xlfn.MAXIFS(SAISIE!$E$5:$E$204,SAISIE!$B$5:$B$204,"*Vent G/D*",SAISIE!$F$5:$F$204,$G$211)&gt;0)),"",IFERROR(INDEX(SAISIE!$D$5:$D$204,MATCH(_xlfn.MAXIFS(SAISIE!$E$5:$E$204,SAISIE!$B$5:$B$204,"*Vent G/D*",SAISIE!$F$5:$F$204,$G$211),SAISIE!$E$5:$E$204,0)),"-"))</f>
        <v/>
      </c>
      <c r="D214" s="6" t="str">
        <f>IF(OR($G$211="",NOT(_xlfn.MAXIFS(SAISIE!$E$5:$E$204,SAISIE!$B$5:$B$204,"*Vent G/D*",SAISIE!$F$5:$F$204,$G$211)&gt;0)),"",IFERROR(_xlfn.MAXIFS(SAISIE!$E$5:$E$204,SAISIE!$B$5:$B$204,"*Vent G/D*",SAISIE!$F$5:$F$204,$G$211),"-"))</f>
        <v/>
      </c>
      <c r="E214" s="6" t="str">
        <f>IF($G$211="","",IF(OR(D214="",D214="-"),"",IF(D214&gt;0,"(soulevement)",IF(D214&lt;0,"(compression)","-"))))</f>
        <v/>
      </c>
    </row>
    <row r="215" spans="1:7" x14ac:dyDescent="0.25">
      <c r="A215" s="5" t="str">
        <f>IF(OR($G$211="",NOT(COUNTIFS(SAISIE!$B$5:$B$204,"*Vent D/G*",SAISIE!$F$5:$F$204,$G$211)&gt;0)),"","Vent D/G")</f>
        <v/>
      </c>
      <c r="B215" s="6" t="str">
        <f>IF(OR($G$211="",NOT(COUNTIFS(SAISIE!$B$5:$B$204,"*Vent D/G*",SAISIE!$F$5:$F$204,$G$211)&gt;0)),"",IFERROR(IF(_xlfn.MINIFS(SAISIE!$E$5:$E$204,SAISIE!$B$5:$B$204,"*Vent D/G*",SAISIE!$F$5:$F$204,$G$211)&gt;=0,_xlfn.MAXIFS(SAISIE!$C$5:$C$204,SAISIE!$B$5:$B$204,"*Vent D/G*",SAISIE!$F$5:$F$204,$G$211),INDEX(SAISIE!$C$5:$C$204,MATCH(_xlfn.MINIFS(SAISIE!$E$5:$E$204,SAISIE!$B$5:$B$204,"*Vent D/G*",SAISIE!$F$5:$F$204,$G$211),SAISIE!$E$5:$E$204,0))),"-"))</f>
        <v/>
      </c>
      <c r="C215" s="6" t="str">
        <f>IF(OR($G$211="",NOT(COUNTIFS(SAISIE!$B$5:$B$204,"*Vent D/G*",SAISIE!$F$5:$F$204,$G$211)&gt;0)),"",IFERROR(IF(_xlfn.MINIFS(SAISIE!$E$5:$E$204,SAISIE!$B$5:$B$204,"*Vent D/G*",SAISIE!$F$5:$F$204,$G$211)&gt;=0,INDEX(SAISIE!$D$5:$D$204,MATCH(_xlfn.MAXIFS(SAISIE!$C$5:$C$204,SAISIE!$B$5:$B$204,"*Vent D/G*",SAISIE!$F$5:$F$204,$G$211),SAISIE!$C$5:$C$204,0)),INDEX(SAISIE!$D$5:$D$204,MATCH(_xlfn.MINIFS(SAISIE!$E$5:$E$204,SAISIE!$B$5:$B$204,"*Vent D/G*",SAISIE!$F$5:$F$204,$G$211),SAISIE!$E$5:$E$204,0))),"-"))</f>
        <v/>
      </c>
      <c r="D215" s="6" t="str">
        <f>IF(OR($G$211="",NOT(COUNTIFS(SAISIE!$B$5:$B$204,"*Vent D/G*",SAISIE!$F$5:$F$204,$G$211)&gt;0)),"",IFERROR(IF(_xlfn.MINIFS(SAISIE!$E$5:$E$204,SAISIE!$B$5:$B$204,"*Vent D/G*",SAISIE!$F$5:$F$204,$G$211)&gt;=0,0,_xlfn.MINIFS(SAISIE!$E$5:$E$204,SAISIE!$B$5:$B$204,"*Vent D/G*",SAISIE!$F$5:$F$204,$G$211)),"-"))</f>
        <v/>
      </c>
      <c r="E215" s="6" t="str">
        <f>IF($G$211="","",IF(OR(D215="",D215="-"),"",IF(D215&gt;0,"(soulevement)",IF(D215&lt;0,"(compression)","-"))))</f>
        <v/>
      </c>
    </row>
    <row r="216" spans="1:7" x14ac:dyDescent="0.25">
      <c r="A216" s="5" t="str">
        <f>IF(OR($G$211="",NOT(_xlfn.MAXIFS(SAISIE!$E$5:$E$204,SAISIE!$B$5:$B$204,"*Vent D/G*",SAISIE!$F$5:$F$204,$G$211)&gt;0)),"","Vent D/G")</f>
        <v/>
      </c>
      <c r="B216" s="6" t="str">
        <f>IF(OR($G$211="",NOT(_xlfn.MAXIFS(SAISIE!$E$5:$E$204,SAISIE!$B$5:$B$204,"*Vent D/G*",SAISIE!$F$5:$F$204,$G$211)&gt;0)),"",IFERROR(INDEX(SAISIE!$C$5:$C$204,MATCH(_xlfn.MAXIFS(SAISIE!$E$5:$E$204,SAISIE!$B$5:$B$204,"*Vent D/G*",SAISIE!$F$5:$F$204,$G$211),SAISIE!$E$5:$E$204,0)),"-"))</f>
        <v/>
      </c>
      <c r="C216" s="6" t="str">
        <f>IF(OR($G$211="",NOT(_xlfn.MAXIFS(SAISIE!$E$5:$E$204,SAISIE!$B$5:$B$204,"*Vent D/G*",SAISIE!$F$5:$F$204,$G$211)&gt;0)),"",IFERROR(INDEX(SAISIE!$D$5:$D$204,MATCH(_xlfn.MAXIFS(SAISIE!$E$5:$E$204,SAISIE!$B$5:$B$204,"*Vent D/G*",SAISIE!$F$5:$F$204,$G$211),SAISIE!$E$5:$E$204,0)),"-"))</f>
        <v/>
      </c>
      <c r="D216" s="6" t="str">
        <f>IF(OR($G$211="",NOT(_xlfn.MAXIFS(SAISIE!$E$5:$E$204,SAISIE!$B$5:$B$204,"*Vent D/G*",SAISIE!$F$5:$F$204,$G$211)&gt;0)),"",IFERROR(_xlfn.MAXIFS(SAISIE!$E$5:$E$204,SAISIE!$B$5:$B$204,"*Vent D/G*",SAISIE!$F$5:$F$204,$G$211),"-"))</f>
        <v/>
      </c>
      <c r="E216" s="6" t="str">
        <f>IF($G$211="","",IF(OR(D216="",D216="-"),"",IF(D216&gt;0,"(soulevement)",IF(D216&lt;0,"(compression)","-"))))</f>
        <v/>
      </c>
    </row>
    <row r="217" spans="1:7" x14ac:dyDescent="0.25">
      <c r="A217" s="5" t="str">
        <f>IF(OR($G$211="",NOT(COUNTIFS(SAISIE!$B$5:$B$204,"*Vent Av./Arr.*",SAISIE!$F$5:$F$204,$G$211)&gt;0)),"","Vent Av./Arr.")</f>
        <v/>
      </c>
      <c r="B217" s="6" t="str">
        <f>IF(OR($G$211="",NOT(COUNTIFS(SAISIE!$B$5:$B$204,"*Vent Av./Arr.*",SAISIE!$F$5:$F$204,$G$211)&gt;0)),"",IFERROR(IF(_xlfn.MINIFS(SAISIE!$E$5:$E$204,SAISIE!$B$5:$B$204,"*Vent Av./Arr.*",SAISIE!$F$5:$F$204,$G$211)&gt;=0,_xlfn.MAXIFS(SAISIE!$C$5:$C$204,SAISIE!$B$5:$B$204,"*Vent Av./Arr.*",SAISIE!$F$5:$F$204,$G$211),INDEX(SAISIE!$C$5:$C$204,MATCH(_xlfn.MINIFS(SAISIE!$E$5:$E$204,SAISIE!$B$5:$B$204,"*Vent Av./Arr.*",SAISIE!$F$5:$F$204,$G$211),SAISIE!$E$5:$E$204,0))),"-"))</f>
        <v/>
      </c>
      <c r="C217" s="6" t="str">
        <f>IF(OR($G$211="",NOT(COUNTIFS(SAISIE!$B$5:$B$204,"*Vent Av./Arr.*",SAISIE!$F$5:$F$204,$G$211)&gt;0)),"",IFERROR(IF(_xlfn.MINIFS(SAISIE!$E$5:$E$204,SAISIE!$B$5:$B$204,"*Vent Av./Arr.*",SAISIE!$F$5:$F$204,$G$211)&gt;=0,INDEX(SAISIE!$D$5:$D$204,MATCH(_xlfn.MAXIFS(SAISIE!$C$5:$C$204,SAISIE!$B$5:$B$204,"*Vent Av./Arr.*",SAISIE!$F$5:$F$204,$G$211),SAISIE!$C$5:$C$204,0)),INDEX(SAISIE!$D$5:$D$204,MATCH(_xlfn.MINIFS(SAISIE!$E$5:$E$204,SAISIE!$B$5:$B$204,"*Vent Av./Arr.*",SAISIE!$F$5:$F$204,$G$211),SAISIE!$E$5:$E$204,0))),"-"))</f>
        <v/>
      </c>
      <c r="D217" s="6" t="str">
        <f>IF(OR($G$211="",NOT(COUNTIFS(SAISIE!$B$5:$B$204,"*Vent Av./Arr.*",SAISIE!$F$5:$F$204,$G$211)&gt;0)),"",IFERROR(IF(_xlfn.MINIFS(SAISIE!$E$5:$E$204,SAISIE!$B$5:$B$204,"*Vent Av./Arr.*",SAISIE!$F$5:$F$204,$G$211)&gt;=0,0,_xlfn.MINIFS(SAISIE!$E$5:$E$204,SAISIE!$B$5:$B$204,"*Vent Av./Arr.*",SAISIE!$F$5:$F$204,$G$211)),"-"))</f>
        <v/>
      </c>
      <c r="E217" s="6" t="str">
        <f>IF($G$211="","",IF(OR(D217="",D217="-"),"",IF(D217&gt;0,"(soulevement)",IF(D217&lt;0,"(compression)","-"))))</f>
        <v/>
      </c>
    </row>
    <row r="218" spans="1:7" x14ac:dyDescent="0.25">
      <c r="A218" s="5" t="str">
        <f>IF(OR($G$211="",NOT(_xlfn.MAXIFS(SAISIE!$E$5:$E$204,SAISIE!$B$5:$B$204,"*Vent Av./Arr.*",SAISIE!$F$5:$F$204,$G$211)&gt;0)),"","Vent Av./Arr.")</f>
        <v/>
      </c>
      <c r="B218" s="6" t="str">
        <f>IF(OR($G$211="",NOT(_xlfn.MAXIFS(SAISIE!$E$5:$E$204,SAISIE!$B$5:$B$204,"*Vent Av./Arr.*",SAISIE!$F$5:$F$204,$G$211)&gt;0)),"",IFERROR(INDEX(SAISIE!$C$5:$C$204,MATCH(_xlfn.MAXIFS(SAISIE!$E$5:$E$204,SAISIE!$B$5:$B$204,"*Vent Av./Arr.*",SAISIE!$F$5:$F$204,$G$211),SAISIE!$E$5:$E$204,0)),"-"))</f>
        <v/>
      </c>
      <c r="C218" s="6" t="str">
        <f>IF(OR($G$211="",NOT(_xlfn.MAXIFS(SAISIE!$E$5:$E$204,SAISIE!$B$5:$B$204,"*Vent Av./Arr.*",SAISIE!$F$5:$F$204,$G$211)&gt;0)),"",IFERROR(INDEX(SAISIE!$D$5:$D$204,MATCH(_xlfn.MAXIFS(SAISIE!$E$5:$E$204,SAISIE!$B$5:$B$204,"*Vent Av./Arr.*",SAISIE!$F$5:$F$204,$G$211),SAISIE!$E$5:$E$204,0)),"-"))</f>
        <v/>
      </c>
      <c r="D218" s="6" t="str">
        <f>IF(OR($G$211="",NOT(_xlfn.MAXIFS(SAISIE!$E$5:$E$204,SAISIE!$B$5:$B$204,"*Vent Av./Arr.*",SAISIE!$F$5:$F$204,$G$211)&gt;0)),"",IFERROR(_xlfn.MAXIFS(SAISIE!$E$5:$E$204,SAISIE!$B$5:$B$204,"*Vent Av./Arr.*",SAISIE!$F$5:$F$204,$G$211),"-"))</f>
        <v/>
      </c>
      <c r="E218" s="6" t="str">
        <f>IF($G$211="","",IF(OR(D218="",D218="-"),"",IF(D218&gt;0,"(soulevement)",IF(D218&lt;0,"(compression)","-"))))</f>
        <v/>
      </c>
    </row>
    <row r="219" spans="1:7" x14ac:dyDescent="0.25">
      <c r="A219" s="5" t="str">
        <f>IF(OR($G$211="",NOT(COUNTIFS(SAISIE!$B$5:$B$204,"*Vent Arr./Av.*",SAISIE!$F$5:$F$204,$G$211)&gt;0)),"","Vent Arr./Av.")</f>
        <v/>
      </c>
      <c r="B219" s="6" t="str">
        <f>IF(OR($G$211="",NOT(COUNTIFS(SAISIE!$B$5:$B$204,"*Vent Arr./Av.*",SAISIE!$F$5:$F$204,$G$211)&gt;0)),"",IFERROR(IF(_xlfn.MINIFS(SAISIE!$E$5:$E$204,SAISIE!$B$5:$B$204,"*Vent Arr./Av.*",SAISIE!$F$5:$F$204,$G$211)&gt;=0,_xlfn.MAXIFS(SAISIE!$C$5:$C$204,SAISIE!$B$5:$B$204,"*Vent Arr./Av.*",SAISIE!$F$5:$F$204,$G$211),INDEX(SAISIE!$C$5:$C$204,MATCH(_xlfn.MINIFS(SAISIE!$E$5:$E$204,SAISIE!$B$5:$B$204,"*Vent Arr./Av.*",SAISIE!$F$5:$F$204,$G$211),SAISIE!$E$5:$E$204,0))),"-"))</f>
        <v/>
      </c>
      <c r="C219" s="6" t="str">
        <f>IF(OR($G$211="",NOT(COUNTIFS(SAISIE!$B$5:$B$204,"*Vent Arr./Av.*",SAISIE!$F$5:$F$204,$G$211)&gt;0)),"",IFERROR(IF(_xlfn.MINIFS(SAISIE!$E$5:$E$204,SAISIE!$B$5:$B$204,"*Vent Arr./Av.*",SAISIE!$F$5:$F$204,$G$211)&gt;=0,INDEX(SAISIE!$D$5:$D$204,MATCH(_xlfn.MAXIFS(SAISIE!$C$5:$C$204,SAISIE!$B$5:$B$204,"*Vent Arr./Av.*",SAISIE!$F$5:$F$204,$G$211),SAISIE!$C$5:$C$204,0)),INDEX(SAISIE!$D$5:$D$204,MATCH(_xlfn.MINIFS(SAISIE!$E$5:$E$204,SAISIE!$B$5:$B$204,"*Vent Arr./Av.*",SAISIE!$F$5:$F$204,$G$211),SAISIE!$E$5:$E$204,0))),"-"))</f>
        <v/>
      </c>
      <c r="D219" s="6" t="str">
        <f>IF(OR($G$211="",NOT(COUNTIFS(SAISIE!$B$5:$B$204,"*Vent Arr./Av.*",SAISIE!$F$5:$F$204,$G$211)&gt;0)),"",IFERROR(IF(_xlfn.MINIFS(SAISIE!$E$5:$E$204,SAISIE!$B$5:$B$204,"*Vent Arr./Av.*",SAISIE!$F$5:$F$204,$G$211)&gt;=0,0,_xlfn.MINIFS(SAISIE!$E$5:$E$204,SAISIE!$B$5:$B$204,"*Vent Arr./Av.*",SAISIE!$F$5:$F$204,$G$211)),"-"))</f>
        <v/>
      </c>
      <c r="E219" s="6" t="str">
        <f>IF($G$211="","",IF(OR(D219="",D219="-"),"",IF(D219&gt;0,"(soulevement)",IF(D219&lt;0,"(compression)","-"))))</f>
        <v/>
      </c>
    </row>
    <row r="220" spans="1:7" x14ac:dyDescent="0.25">
      <c r="A220" s="5" t="str">
        <f>IF(OR($G$211="",NOT(_xlfn.MAXIFS(SAISIE!$E$5:$E$204,SAISIE!$B$5:$B$204,"*Vent Arr./Av.*",SAISIE!$F$5:$F$204,$G$211)&gt;0)),"","Vent Arr./Av.")</f>
        <v/>
      </c>
      <c r="B220" s="6" t="str">
        <f>IF(OR($G$211="",NOT(_xlfn.MAXIFS(SAISIE!$E$5:$E$204,SAISIE!$B$5:$B$204,"*Vent Arr./Av.*",SAISIE!$F$5:$F$204,$G$211)&gt;0)),"",IFERROR(INDEX(SAISIE!$C$5:$C$204,MATCH(_xlfn.MAXIFS(SAISIE!$E$5:$E$204,SAISIE!$B$5:$B$204,"*Vent Arr./Av.*",SAISIE!$F$5:$F$204,$G$211),SAISIE!$E$5:$E$204,0)),"-"))</f>
        <v/>
      </c>
      <c r="C220" s="6" t="str">
        <f>IF(OR($G$211="",NOT(_xlfn.MAXIFS(SAISIE!$E$5:$E$204,SAISIE!$B$5:$B$204,"*Vent Arr./Av.*",SAISIE!$F$5:$F$204,$G$211)&gt;0)),"",IFERROR(INDEX(SAISIE!$D$5:$D$204,MATCH(_xlfn.MAXIFS(SAISIE!$E$5:$E$204,SAISIE!$B$5:$B$204,"*Vent Arr./Av.*",SAISIE!$F$5:$F$204,$G$211),SAISIE!$E$5:$E$204,0)),"-"))</f>
        <v/>
      </c>
      <c r="D220" s="6" t="str">
        <f>IF(OR($G$211="",NOT(_xlfn.MAXIFS(SAISIE!$E$5:$E$204,SAISIE!$B$5:$B$204,"*Vent Arr./Av.*",SAISIE!$F$5:$F$204,$G$211)&gt;0)),"",IFERROR(_xlfn.MAXIFS(SAISIE!$E$5:$E$204,SAISIE!$B$5:$B$204,"*Vent Arr./Av.*",SAISIE!$F$5:$F$204,$G$211),"-"))</f>
        <v/>
      </c>
      <c r="E220" s="6" t="str">
        <f>IF($G$211="","",IF(OR(D220="",D220="-"),"",IF(D220&gt;0,"(soulevement)",IF(D220&lt;0,"(compression)","-"))))</f>
        <v/>
      </c>
    </row>
    <row r="221" spans="1:7" x14ac:dyDescent="0.25">
      <c r="A221" s="5" t="str">
        <f>IF(OR($G$211="",NOT(TRUE)),"","Neige normale")</f>
        <v/>
      </c>
      <c r="B221" s="6" t="str">
        <f>IF($G$211="","",IFERROR(INDEX(SAISIE!$C$5:$C$204,MATCH(_xlfn.MINIFS(SAISIE!$E$5:$E$204,SAISIE!$B$5:$B$204,"*Neige*",SAISIE!$B$5:$B$204,"&lt;&gt;*accidentel*",SAISIE!$F$5:$F$204,$G$211),SAISIE!$E$5:$E$204,0)),"-"))</f>
        <v/>
      </c>
      <c r="C221" s="6" t="str">
        <f>IF($G$211="","",IFERROR(INDEX(SAISIE!$D$5:$D$204,MATCH(_xlfn.MINIFS(SAISIE!$E$5:$E$204,SAISIE!$B$5:$B$204,"*Neige*",SAISIE!$B$5:$B$204,"&lt;&gt;*accidentel*",SAISIE!$F$5:$F$204,$G$211),SAISIE!$E$5:$E$204,0)),"-"))</f>
        <v/>
      </c>
      <c r="D221" s="6" t="str">
        <f>IF($G$211="","",IFERROR(INDEX(SAISIE!$E$5:$E$204,MATCH(_xlfn.MINIFS(SAISIE!$E$5:$E$204,SAISIE!$B$5:$B$204,"*Neige*",SAISIE!$B$5:$B$204,"&lt;&gt;*accidentel*",SAISIE!$F$5:$F$204,$G$211),SAISIE!$E$5:$E$204,0)),"-"))</f>
        <v/>
      </c>
      <c r="E221" s="6" t="str">
        <f>IF($G$211="","",IF(OR(D221="",D221="-"),"",IF(D221&gt;0,"(soulevement)",IF(D221&lt;0,"(compression)","-"))))</f>
        <v/>
      </c>
    </row>
    <row r="222" spans="1:7" x14ac:dyDescent="0.25">
      <c r="A222" s="5" t="str">
        <f>IF(OR($G$211="",NOT(TRUE)),"","Neige accidentelle")</f>
        <v/>
      </c>
      <c r="B222" s="6" t="str">
        <f>IF($G$211="","",IFERROR(LOOKUP(2,1/((SAISIE!$F$5:$F$204=$G$211)*(ISNUMBER(SEARCH("accidentel",SAISIE!$B$5:$B$204)))),SAISIE!$C$5:$C$204),"-"))</f>
        <v/>
      </c>
      <c r="C222" s="6" t="str">
        <f>IF($G$211="","",IFERROR(LOOKUP(2,1/((SAISIE!$F$5:$F$204=$G$211)*(ISNUMBER(SEARCH("accidentel",SAISIE!$B$5:$B$204)))),SAISIE!$D$5:$D$204),"-"))</f>
        <v/>
      </c>
      <c r="D222" s="6" t="str">
        <f>IF($G$211="","",IFERROR(LOOKUP(2,1/((SAISIE!$F$5:$F$204=$G$211)*(ISNUMBER(SEARCH("accidentel",SAISIE!$B$5:$B$204)))),SAISIE!$E$5:$E$204),"-"))</f>
        <v/>
      </c>
      <c r="E222" s="6" t="str">
        <f>IF($G$211="","",IF(OR(D222="",D222="-"),"",IF(D222&gt;0,"(soulevement)",IF(D222&lt;0,"(compression)","-"))))</f>
        <v/>
      </c>
    </row>
    <row r="223" spans="1:7" ht="15.75" x14ac:dyDescent="0.25">
      <c r="A223" s="11" t="str">
        <f>IF($G$223="","","Noeud "&amp;$G$223)</f>
        <v/>
      </c>
      <c r="B223" s="12"/>
      <c r="C223" s="12"/>
      <c r="D223" s="12"/>
      <c r="E223" s="12"/>
      <c r="G223" t="str">
        <f>IFERROR(INDEX(SAISIE!$F$5:$F$204,_xlfn.AGGREGATE(15,6,ROW(SAISIE!$F$5:$F$204)-ROW(SAISIE!$F$5)+1/(SAISIE!$F$5:$F$204&lt;&gt;"")/(COUNTIF($G$4:G222,SAISIE!$F$5:$F$204)=0),1)),"")</f>
        <v/>
      </c>
    </row>
    <row r="224" spans="1:7" x14ac:dyDescent="0.25">
      <c r="A224" s="5" t="str">
        <f>IF(OR($G$223="",NOT(TRUE)),"","Couverture")</f>
        <v/>
      </c>
      <c r="B224" s="6" t="str">
        <f>IF($G$223="","",IFERROR(IFERROR(LOOKUP(2,1/((SAISIE!$F$5:$F$204=$G$223)*(LEFT(SAISIE!$B$5:$B$204,2)="G ")),SAISIE!$C$5:$C$204),LOOKUP(2,1/((SAISIE!$F$5:$F$204=$G$223)*(ISNUMBER(SEARCH("Couverture",SAISIE!$B$5:$B$204)))),SAISIE!$C$5:$C$204)),"-"))</f>
        <v/>
      </c>
      <c r="C224" s="6" t="str">
        <f>IF($G$223="","",IFERROR(IFERROR(LOOKUP(2,1/((SAISIE!$F$5:$F$204=$G$223)*(LEFT(SAISIE!$B$5:$B$204,2)="G ")),SAISIE!$D$5:$D$204),LOOKUP(2,1/((SAISIE!$F$5:$F$204=$G$223)*(ISNUMBER(SEARCH("Couverture",SAISIE!$B$5:$B$204)))),SAISIE!$D$5:$D$204)),"-"))</f>
        <v/>
      </c>
      <c r="D224" s="6" t="str">
        <f>IF($G$223="","",IFERROR(IFERROR(LOOKUP(2,1/((SAISIE!$F$5:$F$204=$G$223)*(LEFT(SAISIE!$B$5:$B$204,2)="G ")),SAISIE!$E$5:$E$204),LOOKUP(2,1/((SAISIE!$F$5:$F$204=$G$223)*(ISNUMBER(SEARCH("Couverture",SAISIE!$B$5:$B$204)))),SAISIE!$E$5:$E$204)),"-"))</f>
        <v/>
      </c>
      <c r="E224" s="6" t="str">
        <f>IF($G$223="","",IF(OR(D224="",D224="-"),"",IF(D224&gt;0,"(soulevement)",IF(D224&lt;0,"(compression)","-"))))</f>
        <v/>
      </c>
    </row>
    <row r="225" spans="1:7" x14ac:dyDescent="0.25">
      <c r="A225" s="5" t="str">
        <f>IF(OR($G$223="",NOT(COUNTIFS(SAISIE!$B$5:$B$204,"*Vent G/D*",SAISIE!$F$5:$F$204,$G$223)&gt;0)),"","Vent G/D")</f>
        <v/>
      </c>
      <c r="B225" s="6" t="str">
        <f>IF(OR($G$223="",NOT(COUNTIFS(SAISIE!$B$5:$B$204,"*Vent G/D*",SAISIE!$F$5:$F$204,$G$223)&gt;0)),"",IFERROR(IF(_xlfn.MINIFS(SAISIE!$E$5:$E$204,SAISIE!$B$5:$B$204,"*Vent G/D*",SAISIE!$F$5:$F$204,$G$223)&gt;=0,_xlfn.MAXIFS(SAISIE!$C$5:$C$204,SAISIE!$B$5:$B$204,"*Vent G/D*",SAISIE!$F$5:$F$204,$G$223),INDEX(SAISIE!$C$5:$C$204,MATCH(_xlfn.MINIFS(SAISIE!$E$5:$E$204,SAISIE!$B$5:$B$204,"*Vent G/D*",SAISIE!$F$5:$F$204,$G$223),SAISIE!$E$5:$E$204,0))),"-"))</f>
        <v/>
      </c>
      <c r="C225" s="6" t="str">
        <f>IF(OR($G$223="",NOT(COUNTIFS(SAISIE!$B$5:$B$204,"*Vent G/D*",SAISIE!$F$5:$F$204,$G$223)&gt;0)),"",IFERROR(IF(_xlfn.MINIFS(SAISIE!$E$5:$E$204,SAISIE!$B$5:$B$204,"*Vent G/D*",SAISIE!$F$5:$F$204,$G$223)&gt;=0,INDEX(SAISIE!$D$5:$D$204,MATCH(_xlfn.MAXIFS(SAISIE!$C$5:$C$204,SAISIE!$B$5:$B$204,"*Vent G/D*",SAISIE!$F$5:$F$204,$G$223),SAISIE!$C$5:$C$204,0)),INDEX(SAISIE!$D$5:$D$204,MATCH(_xlfn.MINIFS(SAISIE!$E$5:$E$204,SAISIE!$B$5:$B$204,"*Vent G/D*",SAISIE!$F$5:$F$204,$G$223),SAISIE!$E$5:$E$204,0))),"-"))</f>
        <v/>
      </c>
      <c r="D225" s="6" t="str">
        <f>IF(OR($G$223="",NOT(COUNTIFS(SAISIE!$B$5:$B$204,"*Vent G/D*",SAISIE!$F$5:$F$204,$G$223)&gt;0)),"",IFERROR(IF(_xlfn.MINIFS(SAISIE!$E$5:$E$204,SAISIE!$B$5:$B$204,"*Vent G/D*",SAISIE!$F$5:$F$204,$G$223)&gt;=0,0,_xlfn.MINIFS(SAISIE!$E$5:$E$204,SAISIE!$B$5:$B$204,"*Vent G/D*",SAISIE!$F$5:$F$204,$G$223)),"-"))</f>
        <v/>
      </c>
      <c r="E225" s="6" t="str">
        <f>IF($G$223="","",IF(OR(D225="",D225="-"),"",IF(D225&gt;0,"(soulevement)",IF(D225&lt;0,"(compression)","-"))))</f>
        <v/>
      </c>
    </row>
    <row r="226" spans="1:7" x14ac:dyDescent="0.25">
      <c r="A226" s="5" t="str">
        <f>IF(OR($G$223="",NOT(_xlfn.MAXIFS(SAISIE!$E$5:$E$204,SAISIE!$B$5:$B$204,"*Vent G/D*",SAISIE!$F$5:$F$204,$G$223)&gt;0)),"","Vent G/D")</f>
        <v/>
      </c>
      <c r="B226" s="6" t="str">
        <f>IF(OR($G$223="",NOT(_xlfn.MAXIFS(SAISIE!$E$5:$E$204,SAISIE!$B$5:$B$204,"*Vent G/D*",SAISIE!$F$5:$F$204,$G$223)&gt;0)),"",IFERROR(INDEX(SAISIE!$C$5:$C$204,MATCH(_xlfn.MAXIFS(SAISIE!$E$5:$E$204,SAISIE!$B$5:$B$204,"*Vent G/D*",SAISIE!$F$5:$F$204,$G$223),SAISIE!$E$5:$E$204,0)),"-"))</f>
        <v/>
      </c>
      <c r="C226" s="6" t="str">
        <f>IF(OR($G$223="",NOT(_xlfn.MAXIFS(SAISIE!$E$5:$E$204,SAISIE!$B$5:$B$204,"*Vent G/D*",SAISIE!$F$5:$F$204,$G$223)&gt;0)),"",IFERROR(INDEX(SAISIE!$D$5:$D$204,MATCH(_xlfn.MAXIFS(SAISIE!$E$5:$E$204,SAISIE!$B$5:$B$204,"*Vent G/D*",SAISIE!$F$5:$F$204,$G$223),SAISIE!$E$5:$E$204,0)),"-"))</f>
        <v/>
      </c>
      <c r="D226" s="6" t="str">
        <f>IF(OR($G$223="",NOT(_xlfn.MAXIFS(SAISIE!$E$5:$E$204,SAISIE!$B$5:$B$204,"*Vent G/D*",SAISIE!$F$5:$F$204,$G$223)&gt;0)),"",IFERROR(_xlfn.MAXIFS(SAISIE!$E$5:$E$204,SAISIE!$B$5:$B$204,"*Vent G/D*",SAISIE!$F$5:$F$204,$G$223),"-"))</f>
        <v/>
      </c>
      <c r="E226" s="6" t="str">
        <f>IF($G$223="","",IF(OR(D226="",D226="-"),"",IF(D226&gt;0,"(soulevement)",IF(D226&lt;0,"(compression)","-"))))</f>
        <v/>
      </c>
    </row>
    <row r="227" spans="1:7" x14ac:dyDescent="0.25">
      <c r="A227" s="5" t="str">
        <f>IF(OR($G$223="",NOT(COUNTIFS(SAISIE!$B$5:$B$204,"*Vent D/G*",SAISIE!$F$5:$F$204,$G$223)&gt;0)),"","Vent D/G")</f>
        <v/>
      </c>
      <c r="B227" s="6" t="str">
        <f>IF(OR($G$223="",NOT(COUNTIFS(SAISIE!$B$5:$B$204,"*Vent D/G*",SAISIE!$F$5:$F$204,$G$223)&gt;0)),"",IFERROR(IF(_xlfn.MINIFS(SAISIE!$E$5:$E$204,SAISIE!$B$5:$B$204,"*Vent D/G*",SAISIE!$F$5:$F$204,$G$223)&gt;=0,_xlfn.MAXIFS(SAISIE!$C$5:$C$204,SAISIE!$B$5:$B$204,"*Vent D/G*",SAISIE!$F$5:$F$204,$G$223),INDEX(SAISIE!$C$5:$C$204,MATCH(_xlfn.MINIFS(SAISIE!$E$5:$E$204,SAISIE!$B$5:$B$204,"*Vent D/G*",SAISIE!$F$5:$F$204,$G$223),SAISIE!$E$5:$E$204,0))),"-"))</f>
        <v/>
      </c>
      <c r="C227" s="6" t="str">
        <f>IF(OR($G$223="",NOT(COUNTIFS(SAISIE!$B$5:$B$204,"*Vent D/G*",SAISIE!$F$5:$F$204,$G$223)&gt;0)),"",IFERROR(IF(_xlfn.MINIFS(SAISIE!$E$5:$E$204,SAISIE!$B$5:$B$204,"*Vent D/G*",SAISIE!$F$5:$F$204,$G$223)&gt;=0,INDEX(SAISIE!$D$5:$D$204,MATCH(_xlfn.MAXIFS(SAISIE!$C$5:$C$204,SAISIE!$B$5:$B$204,"*Vent D/G*",SAISIE!$F$5:$F$204,$G$223),SAISIE!$C$5:$C$204,0)),INDEX(SAISIE!$D$5:$D$204,MATCH(_xlfn.MINIFS(SAISIE!$E$5:$E$204,SAISIE!$B$5:$B$204,"*Vent D/G*",SAISIE!$F$5:$F$204,$G$223),SAISIE!$E$5:$E$204,0))),"-"))</f>
        <v/>
      </c>
      <c r="D227" s="6" t="str">
        <f>IF(OR($G$223="",NOT(COUNTIFS(SAISIE!$B$5:$B$204,"*Vent D/G*",SAISIE!$F$5:$F$204,$G$223)&gt;0)),"",IFERROR(IF(_xlfn.MINIFS(SAISIE!$E$5:$E$204,SAISIE!$B$5:$B$204,"*Vent D/G*",SAISIE!$F$5:$F$204,$G$223)&gt;=0,0,_xlfn.MINIFS(SAISIE!$E$5:$E$204,SAISIE!$B$5:$B$204,"*Vent D/G*",SAISIE!$F$5:$F$204,$G$223)),"-"))</f>
        <v/>
      </c>
      <c r="E227" s="6" t="str">
        <f>IF($G$223="","",IF(OR(D227="",D227="-"),"",IF(D227&gt;0,"(soulevement)",IF(D227&lt;0,"(compression)","-"))))</f>
        <v/>
      </c>
    </row>
    <row r="228" spans="1:7" x14ac:dyDescent="0.25">
      <c r="A228" s="5" t="str">
        <f>IF(OR($G$223="",NOT(_xlfn.MAXIFS(SAISIE!$E$5:$E$204,SAISIE!$B$5:$B$204,"*Vent D/G*",SAISIE!$F$5:$F$204,$G$223)&gt;0)),"","Vent D/G")</f>
        <v/>
      </c>
      <c r="B228" s="6" t="str">
        <f>IF(OR($G$223="",NOT(_xlfn.MAXIFS(SAISIE!$E$5:$E$204,SAISIE!$B$5:$B$204,"*Vent D/G*",SAISIE!$F$5:$F$204,$G$223)&gt;0)),"",IFERROR(INDEX(SAISIE!$C$5:$C$204,MATCH(_xlfn.MAXIFS(SAISIE!$E$5:$E$204,SAISIE!$B$5:$B$204,"*Vent D/G*",SAISIE!$F$5:$F$204,$G$223),SAISIE!$E$5:$E$204,0)),"-"))</f>
        <v/>
      </c>
      <c r="C228" s="6" t="str">
        <f>IF(OR($G$223="",NOT(_xlfn.MAXIFS(SAISIE!$E$5:$E$204,SAISIE!$B$5:$B$204,"*Vent D/G*",SAISIE!$F$5:$F$204,$G$223)&gt;0)),"",IFERROR(INDEX(SAISIE!$D$5:$D$204,MATCH(_xlfn.MAXIFS(SAISIE!$E$5:$E$204,SAISIE!$B$5:$B$204,"*Vent D/G*",SAISIE!$F$5:$F$204,$G$223),SAISIE!$E$5:$E$204,0)),"-"))</f>
        <v/>
      </c>
      <c r="D228" s="6" t="str">
        <f>IF(OR($G$223="",NOT(_xlfn.MAXIFS(SAISIE!$E$5:$E$204,SAISIE!$B$5:$B$204,"*Vent D/G*",SAISIE!$F$5:$F$204,$G$223)&gt;0)),"",IFERROR(_xlfn.MAXIFS(SAISIE!$E$5:$E$204,SAISIE!$B$5:$B$204,"*Vent D/G*",SAISIE!$F$5:$F$204,$G$223),"-"))</f>
        <v/>
      </c>
      <c r="E228" s="6" t="str">
        <f>IF($G$223="","",IF(OR(D228="",D228="-"),"",IF(D228&gt;0,"(soulevement)",IF(D228&lt;0,"(compression)","-"))))</f>
        <v/>
      </c>
    </row>
    <row r="229" spans="1:7" x14ac:dyDescent="0.25">
      <c r="A229" s="5" t="str">
        <f>IF(OR($G$223="",NOT(COUNTIFS(SAISIE!$B$5:$B$204,"*Vent Av./Arr.*",SAISIE!$F$5:$F$204,$G$223)&gt;0)),"","Vent Av./Arr.")</f>
        <v/>
      </c>
      <c r="B229" s="6" t="str">
        <f>IF(OR($G$223="",NOT(COUNTIFS(SAISIE!$B$5:$B$204,"*Vent Av./Arr.*",SAISIE!$F$5:$F$204,$G$223)&gt;0)),"",IFERROR(IF(_xlfn.MINIFS(SAISIE!$E$5:$E$204,SAISIE!$B$5:$B$204,"*Vent Av./Arr.*",SAISIE!$F$5:$F$204,$G$223)&gt;=0,_xlfn.MAXIFS(SAISIE!$C$5:$C$204,SAISIE!$B$5:$B$204,"*Vent Av./Arr.*",SAISIE!$F$5:$F$204,$G$223),INDEX(SAISIE!$C$5:$C$204,MATCH(_xlfn.MINIFS(SAISIE!$E$5:$E$204,SAISIE!$B$5:$B$204,"*Vent Av./Arr.*",SAISIE!$F$5:$F$204,$G$223),SAISIE!$E$5:$E$204,0))),"-"))</f>
        <v/>
      </c>
      <c r="C229" s="6" t="str">
        <f>IF(OR($G$223="",NOT(COUNTIFS(SAISIE!$B$5:$B$204,"*Vent Av./Arr.*",SAISIE!$F$5:$F$204,$G$223)&gt;0)),"",IFERROR(IF(_xlfn.MINIFS(SAISIE!$E$5:$E$204,SAISIE!$B$5:$B$204,"*Vent Av./Arr.*",SAISIE!$F$5:$F$204,$G$223)&gt;=0,INDEX(SAISIE!$D$5:$D$204,MATCH(_xlfn.MAXIFS(SAISIE!$C$5:$C$204,SAISIE!$B$5:$B$204,"*Vent Av./Arr.*",SAISIE!$F$5:$F$204,$G$223),SAISIE!$C$5:$C$204,0)),INDEX(SAISIE!$D$5:$D$204,MATCH(_xlfn.MINIFS(SAISIE!$E$5:$E$204,SAISIE!$B$5:$B$204,"*Vent Av./Arr.*",SAISIE!$F$5:$F$204,$G$223),SAISIE!$E$5:$E$204,0))),"-"))</f>
        <v/>
      </c>
      <c r="D229" s="6" t="str">
        <f>IF(OR($G$223="",NOT(COUNTIFS(SAISIE!$B$5:$B$204,"*Vent Av./Arr.*",SAISIE!$F$5:$F$204,$G$223)&gt;0)),"",IFERROR(IF(_xlfn.MINIFS(SAISIE!$E$5:$E$204,SAISIE!$B$5:$B$204,"*Vent Av./Arr.*",SAISIE!$F$5:$F$204,$G$223)&gt;=0,0,_xlfn.MINIFS(SAISIE!$E$5:$E$204,SAISIE!$B$5:$B$204,"*Vent Av./Arr.*",SAISIE!$F$5:$F$204,$G$223)),"-"))</f>
        <v/>
      </c>
      <c r="E229" s="6" t="str">
        <f>IF($G$223="","",IF(OR(D229="",D229="-"),"",IF(D229&gt;0,"(soulevement)",IF(D229&lt;0,"(compression)","-"))))</f>
        <v/>
      </c>
    </row>
    <row r="230" spans="1:7" x14ac:dyDescent="0.25">
      <c r="A230" s="5" t="str">
        <f>IF(OR($G$223="",NOT(_xlfn.MAXIFS(SAISIE!$E$5:$E$204,SAISIE!$B$5:$B$204,"*Vent Av./Arr.*",SAISIE!$F$5:$F$204,$G$223)&gt;0)),"","Vent Av./Arr.")</f>
        <v/>
      </c>
      <c r="B230" s="6" t="str">
        <f>IF(OR($G$223="",NOT(_xlfn.MAXIFS(SAISIE!$E$5:$E$204,SAISIE!$B$5:$B$204,"*Vent Av./Arr.*",SAISIE!$F$5:$F$204,$G$223)&gt;0)),"",IFERROR(INDEX(SAISIE!$C$5:$C$204,MATCH(_xlfn.MAXIFS(SAISIE!$E$5:$E$204,SAISIE!$B$5:$B$204,"*Vent Av./Arr.*",SAISIE!$F$5:$F$204,$G$223),SAISIE!$E$5:$E$204,0)),"-"))</f>
        <v/>
      </c>
      <c r="C230" s="6" t="str">
        <f>IF(OR($G$223="",NOT(_xlfn.MAXIFS(SAISIE!$E$5:$E$204,SAISIE!$B$5:$B$204,"*Vent Av./Arr.*",SAISIE!$F$5:$F$204,$G$223)&gt;0)),"",IFERROR(INDEX(SAISIE!$D$5:$D$204,MATCH(_xlfn.MAXIFS(SAISIE!$E$5:$E$204,SAISIE!$B$5:$B$204,"*Vent Av./Arr.*",SAISIE!$F$5:$F$204,$G$223),SAISIE!$E$5:$E$204,0)),"-"))</f>
        <v/>
      </c>
      <c r="D230" s="6" t="str">
        <f>IF(OR($G$223="",NOT(_xlfn.MAXIFS(SAISIE!$E$5:$E$204,SAISIE!$B$5:$B$204,"*Vent Av./Arr.*",SAISIE!$F$5:$F$204,$G$223)&gt;0)),"",IFERROR(_xlfn.MAXIFS(SAISIE!$E$5:$E$204,SAISIE!$B$5:$B$204,"*Vent Av./Arr.*",SAISIE!$F$5:$F$204,$G$223),"-"))</f>
        <v/>
      </c>
      <c r="E230" s="6" t="str">
        <f>IF($G$223="","",IF(OR(D230="",D230="-"),"",IF(D230&gt;0,"(soulevement)",IF(D230&lt;0,"(compression)","-"))))</f>
        <v/>
      </c>
    </row>
    <row r="231" spans="1:7" x14ac:dyDescent="0.25">
      <c r="A231" s="5" t="str">
        <f>IF(OR($G$223="",NOT(COUNTIFS(SAISIE!$B$5:$B$204,"*Vent Arr./Av.*",SAISIE!$F$5:$F$204,$G$223)&gt;0)),"","Vent Arr./Av.")</f>
        <v/>
      </c>
      <c r="B231" s="6" t="str">
        <f>IF(OR($G$223="",NOT(COUNTIFS(SAISIE!$B$5:$B$204,"*Vent Arr./Av.*",SAISIE!$F$5:$F$204,$G$223)&gt;0)),"",IFERROR(IF(_xlfn.MINIFS(SAISIE!$E$5:$E$204,SAISIE!$B$5:$B$204,"*Vent Arr./Av.*",SAISIE!$F$5:$F$204,$G$223)&gt;=0,_xlfn.MAXIFS(SAISIE!$C$5:$C$204,SAISIE!$B$5:$B$204,"*Vent Arr./Av.*",SAISIE!$F$5:$F$204,$G$223),INDEX(SAISIE!$C$5:$C$204,MATCH(_xlfn.MINIFS(SAISIE!$E$5:$E$204,SAISIE!$B$5:$B$204,"*Vent Arr./Av.*",SAISIE!$F$5:$F$204,$G$223),SAISIE!$E$5:$E$204,0))),"-"))</f>
        <v/>
      </c>
      <c r="C231" s="6" t="str">
        <f>IF(OR($G$223="",NOT(COUNTIFS(SAISIE!$B$5:$B$204,"*Vent Arr./Av.*",SAISIE!$F$5:$F$204,$G$223)&gt;0)),"",IFERROR(IF(_xlfn.MINIFS(SAISIE!$E$5:$E$204,SAISIE!$B$5:$B$204,"*Vent Arr./Av.*",SAISIE!$F$5:$F$204,$G$223)&gt;=0,INDEX(SAISIE!$D$5:$D$204,MATCH(_xlfn.MAXIFS(SAISIE!$C$5:$C$204,SAISIE!$B$5:$B$204,"*Vent Arr./Av.*",SAISIE!$F$5:$F$204,$G$223),SAISIE!$C$5:$C$204,0)),INDEX(SAISIE!$D$5:$D$204,MATCH(_xlfn.MINIFS(SAISIE!$E$5:$E$204,SAISIE!$B$5:$B$204,"*Vent Arr./Av.*",SAISIE!$F$5:$F$204,$G$223),SAISIE!$E$5:$E$204,0))),"-"))</f>
        <v/>
      </c>
      <c r="D231" s="6" t="str">
        <f>IF(OR($G$223="",NOT(COUNTIFS(SAISIE!$B$5:$B$204,"*Vent Arr./Av.*",SAISIE!$F$5:$F$204,$G$223)&gt;0)),"",IFERROR(IF(_xlfn.MINIFS(SAISIE!$E$5:$E$204,SAISIE!$B$5:$B$204,"*Vent Arr./Av.*",SAISIE!$F$5:$F$204,$G$223)&gt;=0,0,_xlfn.MINIFS(SAISIE!$E$5:$E$204,SAISIE!$B$5:$B$204,"*Vent Arr./Av.*",SAISIE!$F$5:$F$204,$G$223)),"-"))</f>
        <v/>
      </c>
      <c r="E231" s="6" t="str">
        <f>IF($G$223="","",IF(OR(D231="",D231="-"),"",IF(D231&gt;0,"(soulevement)",IF(D231&lt;0,"(compression)","-"))))</f>
        <v/>
      </c>
    </row>
    <row r="232" spans="1:7" x14ac:dyDescent="0.25">
      <c r="A232" s="5" t="str">
        <f>IF(OR($G$223="",NOT(_xlfn.MAXIFS(SAISIE!$E$5:$E$204,SAISIE!$B$5:$B$204,"*Vent Arr./Av.*",SAISIE!$F$5:$F$204,$G$223)&gt;0)),"","Vent Arr./Av.")</f>
        <v/>
      </c>
      <c r="B232" s="6" t="str">
        <f>IF(OR($G$223="",NOT(_xlfn.MAXIFS(SAISIE!$E$5:$E$204,SAISIE!$B$5:$B$204,"*Vent Arr./Av.*",SAISIE!$F$5:$F$204,$G$223)&gt;0)),"",IFERROR(INDEX(SAISIE!$C$5:$C$204,MATCH(_xlfn.MAXIFS(SAISIE!$E$5:$E$204,SAISIE!$B$5:$B$204,"*Vent Arr./Av.*",SAISIE!$F$5:$F$204,$G$223),SAISIE!$E$5:$E$204,0)),"-"))</f>
        <v/>
      </c>
      <c r="C232" s="6" t="str">
        <f>IF(OR($G$223="",NOT(_xlfn.MAXIFS(SAISIE!$E$5:$E$204,SAISIE!$B$5:$B$204,"*Vent Arr./Av.*",SAISIE!$F$5:$F$204,$G$223)&gt;0)),"",IFERROR(INDEX(SAISIE!$D$5:$D$204,MATCH(_xlfn.MAXIFS(SAISIE!$E$5:$E$204,SAISIE!$B$5:$B$204,"*Vent Arr./Av.*",SAISIE!$F$5:$F$204,$G$223),SAISIE!$E$5:$E$204,0)),"-"))</f>
        <v/>
      </c>
      <c r="D232" s="6" t="str">
        <f>IF(OR($G$223="",NOT(_xlfn.MAXIFS(SAISIE!$E$5:$E$204,SAISIE!$B$5:$B$204,"*Vent Arr./Av.*",SAISIE!$F$5:$F$204,$G$223)&gt;0)),"",IFERROR(_xlfn.MAXIFS(SAISIE!$E$5:$E$204,SAISIE!$B$5:$B$204,"*Vent Arr./Av.*",SAISIE!$F$5:$F$204,$G$223),"-"))</f>
        <v/>
      </c>
      <c r="E232" s="6" t="str">
        <f>IF($G$223="","",IF(OR(D232="",D232="-"),"",IF(D232&gt;0,"(soulevement)",IF(D232&lt;0,"(compression)","-"))))</f>
        <v/>
      </c>
    </row>
    <row r="233" spans="1:7" x14ac:dyDescent="0.25">
      <c r="A233" s="5" t="str">
        <f>IF(OR($G$223="",NOT(TRUE)),"","Neige normale")</f>
        <v/>
      </c>
      <c r="B233" s="6" t="str">
        <f>IF($G$223="","",IFERROR(INDEX(SAISIE!$C$5:$C$204,MATCH(_xlfn.MINIFS(SAISIE!$E$5:$E$204,SAISIE!$B$5:$B$204,"*Neige*",SAISIE!$B$5:$B$204,"&lt;&gt;*accidentel*",SAISIE!$F$5:$F$204,$G$223),SAISIE!$E$5:$E$204,0)),"-"))</f>
        <v/>
      </c>
      <c r="C233" s="6" t="str">
        <f>IF($G$223="","",IFERROR(INDEX(SAISIE!$D$5:$D$204,MATCH(_xlfn.MINIFS(SAISIE!$E$5:$E$204,SAISIE!$B$5:$B$204,"*Neige*",SAISIE!$B$5:$B$204,"&lt;&gt;*accidentel*",SAISIE!$F$5:$F$204,$G$223),SAISIE!$E$5:$E$204,0)),"-"))</f>
        <v/>
      </c>
      <c r="D233" s="6" t="str">
        <f>IF($G$223="","",IFERROR(INDEX(SAISIE!$E$5:$E$204,MATCH(_xlfn.MINIFS(SAISIE!$E$5:$E$204,SAISIE!$B$5:$B$204,"*Neige*",SAISIE!$B$5:$B$204,"&lt;&gt;*accidentel*",SAISIE!$F$5:$F$204,$G$223),SAISIE!$E$5:$E$204,0)),"-"))</f>
        <v/>
      </c>
      <c r="E233" s="6" t="str">
        <f>IF($G$223="","",IF(OR(D233="",D233="-"),"",IF(D233&gt;0,"(soulevement)",IF(D233&lt;0,"(compression)","-"))))</f>
        <v/>
      </c>
    </row>
    <row r="234" spans="1:7" x14ac:dyDescent="0.25">
      <c r="A234" s="5" t="str">
        <f>IF(OR($G$223="",NOT(TRUE)),"","Neige accidentelle")</f>
        <v/>
      </c>
      <c r="B234" s="6" t="str">
        <f>IF($G$223="","",IFERROR(LOOKUP(2,1/((SAISIE!$F$5:$F$204=$G$223)*(ISNUMBER(SEARCH("accidentel",SAISIE!$B$5:$B$204)))),SAISIE!$C$5:$C$204),"-"))</f>
        <v/>
      </c>
      <c r="C234" s="6" t="str">
        <f>IF($G$223="","",IFERROR(LOOKUP(2,1/((SAISIE!$F$5:$F$204=$G$223)*(ISNUMBER(SEARCH("accidentel",SAISIE!$B$5:$B$204)))),SAISIE!$D$5:$D$204),"-"))</f>
        <v/>
      </c>
      <c r="D234" s="6" t="str">
        <f>IF($G$223="","",IFERROR(LOOKUP(2,1/((SAISIE!$F$5:$F$204=$G$223)*(ISNUMBER(SEARCH("accidentel",SAISIE!$B$5:$B$204)))),SAISIE!$E$5:$E$204),"-"))</f>
        <v/>
      </c>
      <c r="E234" s="6" t="str">
        <f>IF($G$223="","",IF(OR(D234="",D234="-"),"",IF(D234&gt;0,"(soulevement)",IF(D234&lt;0,"(compression)","-"))))</f>
        <v/>
      </c>
    </row>
    <row r="235" spans="1:7" ht="15.75" x14ac:dyDescent="0.25">
      <c r="A235" s="11" t="str">
        <f>IF($G$235="","","Noeud "&amp;$G$235)</f>
        <v/>
      </c>
      <c r="B235" s="12"/>
      <c r="C235" s="12"/>
      <c r="D235" s="12"/>
      <c r="E235" s="12"/>
      <c r="G235" t="str">
        <f>IFERROR(INDEX(SAISIE!$F$5:$F$204,_xlfn.AGGREGATE(15,6,ROW(SAISIE!$F$5:$F$204)-ROW(SAISIE!$F$5)+1/(SAISIE!$F$5:$F$204&lt;&gt;"")/(COUNTIF($G$4:G234,SAISIE!$F$5:$F$204)=0),1)),"")</f>
        <v/>
      </c>
    </row>
    <row r="236" spans="1:7" x14ac:dyDescent="0.25">
      <c r="A236" s="5" t="str">
        <f>IF(OR($G$235="",NOT(TRUE)),"","Couverture")</f>
        <v/>
      </c>
      <c r="B236" s="6" t="str">
        <f>IF($G$235="","",IFERROR(IFERROR(LOOKUP(2,1/((SAISIE!$F$5:$F$204=$G$235)*(LEFT(SAISIE!$B$5:$B$204,2)="G ")),SAISIE!$C$5:$C$204),LOOKUP(2,1/((SAISIE!$F$5:$F$204=$G$235)*(ISNUMBER(SEARCH("Couverture",SAISIE!$B$5:$B$204)))),SAISIE!$C$5:$C$204)),"-"))</f>
        <v/>
      </c>
      <c r="C236" s="6" t="str">
        <f>IF($G$235="","",IFERROR(IFERROR(LOOKUP(2,1/((SAISIE!$F$5:$F$204=$G$235)*(LEFT(SAISIE!$B$5:$B$204,2)="G ")),SAISIE!$D$5:$D$204),LOOKUP(2,1/((SAISIE!$F$5:$F$204=$G$235)*(ISNUMBER(SEARCH("Couverture",SAISIE!$B$5:$B$204)))),SAISIE!$D$5:$D$204)),"-"))</f>
        <v/>
      </c>
      <c r="D236" s="6" t="str">
        <f>IF($G$235="","",IFERROR(IFERROR(LOOKUP(2,1/((SAISIE!$F$5:$F$204=$G$235)*(LEFT(SAISIE!$B$5:$B$204,2)="G ")),SAISIE!$E$5:$E$204),LOOKUP(2,1/((SAISIE!$F$5:$F$204=$G$235)*(ISNUMBER(SEARCH("Couverture",SAISIE!$B$5:$B$204)))),SAISIE!$E$5:$E$204)),"-"))</f>
        <v/>
      </c>
      <c r="E236" s="6" t="str">
        <f>IF($G$235="","",IF(OR(D236="",D236="-"),"",IF(D236&gt;0,"(soulevement)",IF(D236&lt;0,"(compression)","-"))))</f>
        <v/>
      </c>
    </row>
    <row r="237" spans="1:7" x14ac:dyDescent="0.25">
      <c r="A237" s="5" t="str">
        <f>IF(OR($G$235="",NOT(COUNTIFS(SAISIE!$B$5:$B$204,"*Vent G/D*",SAISIE!$F$5:$F$204,$G$235)&gt;0)),"","Vent G/D")</f>
        <v/>
      </c>
      <c r="B237" s="6" t="str">
        <f>IF(OR($G$235="",NOT(COUNTIFS(SAISIE!$B$5:$B$204,"*Vent G/D*",SAISIE!$F$5:$F$204,$G$235)&gt;0)),"",IFERROR(IF(_xlfn.MINIFS(SAISIE!$E$5:$E$204,SAISIE!$B$5:$B$204,"*Vent G/D*",SAISIE!$F$5:$F$204,$G$235)&gt;=0,_xlfn.MAXIFS(SAISIE!$C$5:$C$204,SAISIE!$B$5:$B$204,"*Vent G/D*",SAISIE!$F$5:$F$204,$G$235),INDEX(SAISIE!$C$5:$C$204,MATCH(_xlfn.MINIFS(SAISIE!$E$5:$E$204,SAISIE!$B$5:$B$204,"*Vent G/D*",SAISIE!$F$5:$F$204,$G$235),SAISIE!$E$5:$E$204,0))),"-"))</f>
        <v/>
      </c>
      <c r="C237" s="6" t="str">
        <f>IF(OR($G$235="",NOT(COUNTIFS(SAISIE!$B$5:$B$204,"*Vent G/D*",SAISIE!$F$5:$F$204,$G$235)&gt;0)),"",IFERROR(IF(_xlfn.MINIFS(SAISIE!$E$5:$E$204,SAISIE!$B$5:$B$204,"*Vent G/D*",SAISIE!$F$5:$F$204,$G$235)&gt;=0,INDEX(SAISIE!$D$5:$D$204,MATCH(_xlfn.MAXIFS(SAISIE!$C$5:$C$204,SAISIE!$B$5:$B$204,"*Vent G/D*",SAISIE!$F$5:$F$204,$G$235),SAISIE!$C$5:$C$204,0)),INDEX(SAISIE!$D$5:$D$204,MATCH(_xlfn.MINIFS(SAISIE!$E$5:$E$204,SAISIE!$B$5:$B$204,"*Vent G/D*",SAISIE!$F$5:$F$204,$G$235),SAISIE!$E$5:$E$204,0))),"-"))</f>
        <v/>
      </c>
      <c r="D237" s="6" t="str">
        <f>IF(OR($G$235="",NOT(COUNTIFS(SAISIE!$B$5:$B$204,"*Vent G/D*",SAISIE!$F$5:$F$204,$G$235)&gt;0)),"",IFERROR(IF(_xlfn.MINIFS(SAISIE!$E$5:$E$204,SAISIE!$B$5:$B$204,"*Vent G/D*",SAISIE!$F$5:$F$204,$G$235)&gt;=0,0,_xlfn.MINIFS(SAISIE!$E$5:$E$204,SAISIE!$B$5:$B$204,"*Vent G/D*",SAISIE!$F$5:$F$204,$G$235)),"-"))</f>
        <v/>
      </c>
      <c r="E237" s="6" t="str">
        <f>IF($G$235="","",IF(OR(D237="",D237="-"),"",IF(D237&gt;0,"(soulevement)",IF(D237&lt;0,"(compression)","-"))))</f>
        <v/>
      </c>
    </row>
    <row r="238" spans="1:7" x14ac:dyDescent="0.25">
      <c r="A238" s="5" t="str">
        <f>IF(OR($G$235="",NOT(_xlfn.MAXIFS(SAISIE!$E$5:$E$204,SAISIE!$B$5:$B$204,"*Vent G/D*",SAISIE!$F$5:$F$204,$G$235)&gt;0)),"","Vent G/D")</f>
        <v/>
      </c>
      <c r="B238" s="6" t="str">
        <f>IF(OR($G$235="",NOT(_xlfn.MAXIFS(SAISIE!$E$5:$E$204,SAISIE!$B$5:$B$204,"*Vent G/D*",SAISIE!$F$5:$F$204,$G$235)&gt;0)),"",IFERROR(INDEX(SAISIE!$C$5:$C$204,MATCH(_xlfn.MAXIFS(SAISIE!$E$5:$E$204,SAISIE!$B$5:$B$204,"*Vent G/D*",SAISIE!$F$5:$F$204,$G$235),SAISIE!$E$5:$E$204,0)),"-"))</f>
        <v/>
      </c>
      <c r="C238" s="6" t="str">
        <f>IF(OR($G$235="",NOT(_xlfn.MAXIFS(SAISIE!$E$5:$E$204,SAISIE!$B$5:$B$204,"*Vent G/D*",SAISIE!$F$5:$F$204,$G$235)&gt;0)),"",IFERROR(INDEX(SAISIE!$D$5:$D$204,MATCH(_xlfn.MAXIFS(SAISIE!$E$5:$E$204,SAISIE!$B$5:$B$204,"*Vent G/D*",SAISIE!$F$5:$F$204,$G$235),SAISIE!$E$5:$E$204,0)),"-"))</f>
        <v/>
      </c>
      <c r="D238" s="6" t="str">
        <f>IF(OR($G$235="",NOT(_xlfn.MAXIFS(SAISIE!$E$5:$E$204,SAISIE!$B$5:$B$204,"*Vent G/D*",SAISIE!$F$5:$F$204,$G$235)&gt;0)),"",IFERROR(_xlfn.MAXIFS(SAISIE!$E$5:$E$204,SAISIE!$B$5:$B$204,"*Vent G/D*",SAISIE!$F$5:$F$204,$G$235),"-"))</f>
        <v/>
      </c>
      <c r="E238" s="6" t="str">
        <f>IF($G$235="","",IF(OR(D238="",D238="-"),"",IF(D238&gt;0,"(soulevement)",IF(D238&lt;0,"(compression)","-"))))</f>
        <v/>
      </c>
    </row>
    <row r="239" spans="1:7" x14ac:dyDescent="0.25">
      <c r="A239" s="5" t="str">
        <f>IF(OR($G$235="",NOT(COUNTIFS(SAISIE!$B$5:$B$204,"*Vent D/G*",SAISIE!$F$5:$F$204,$G$235)&gt;0)),"","Vent D/G")</f>
        <v/>
      </c>
      <c r="B239" s="6" t="str">
        <f>IF(OR($G$235="",NOT(COUNTIFS(SAISIE!$B$5:$B$204,"*Vent D/G*",SAISIE!$F$5:$F$204,$G$235)&gt;0)),"",IFERROR(IF(_xlfn.MINIFS(SAISIE!$E$5:$E$204,SAISIE!$B$5:$B$204,"*Vent D/G*",SAISIE!$F$5:$F$204,$G$235)&gt;=0,_xlfn.MAXIFS(SAISIE!$C$5:$C$204,SAISIE!$B$5:$B$204,"*Vent D/G*",SAISIE!$F$5:$F$204,$G$235),INDEX(SAISIE!$C$5:$C$204,MATCH(_xlfn.MINIFS(SAISIE!$E$5:$E$204,SAISIE!$B$5:$B$204,"*Vent D/G*",SAISIE!$F$5:$F$204,$G$235),SAISIE!$E$5:$E$204,0))),"-"))</f>
        <v/>
      </c>
      <c r="C239" s="6" t="str">
        <f>IF(OR($G$235="",NOT(COUNTIFS(SAISIE!$B$5:$B$204,"*Vent D/G*",SAISIE!$F$5:$F$204,$G$235)&gt;0)),"",IFERROR(IF(_xlfn.MINIFS(SAISIE!$E$5:$E$204,SAISIE!$B$5:$B$204,"*Vent D/G*",SAISIE!$F$5:$F$204,$G$235)&gt;=0,INDEX(SAISIE!$D$5:$D$204,MATCH(_xlfn.MAXIFS(SAISIE!$C$5:$C$204,SAISIE!$B$5:$B$204,"*Vent D/G*",SAISIE!$F$5:$F$204,$G$235),SAISIE!$C$5:$C$204,0)),INDEX(SAISIE!$D$5:$D$204,MATCH(_xlfn.MINIFS(SAISIE!$E$5:$E$204,SAISIE!$B$5:$B$204,"*Vent D/G*",SAISIE!$F$5:$F$204,$G$235),SAISIE!$E$5:$E$204,0))),"-"))</f>
        <v/>
      </c>
      <c r="D239" s="6" t="str">
        <f>IF(OR($G$235="",NOT(COUNTIFS(SAISIE!$B$5:$B$204,"*Vent D/G*",SAISIE!$F$5:$F$204,$G$235)&gt;0)),"",IFERROR(IF(_xlfn.MINIFS(SAISIE!$E$5:$E$204,SAISIE!$B$5:$B$204,"*Vent D/G*",SAISIE!$F$5:$F$204,$G$235)&gt;=0,0,_xlfn.MINIFS(SAISIE!$E$5:$E$204,SAISIE!$B$5:$B$204,"*Vent D/G*",SAISIE!$F$5:$F$204,$G$235)),"-"))</f>
        <v/>
      </c>
      <c r="E239" s="6" t="str">
        <f>IF($G$235="","",IF(OR(D239="",D239="-"),"",IF(D239&gt;0,"(soulevement)",IF(D239&lt;0,"(compression)","-"))))</f>
        <v/>
      </c>
    </row>
    <row r="240" spans="1:7" x14ac:dyDescent="0.25">
      <c r="A240" s="5" t="str">
        <f>IF(OR($G$235="",NOT(_xlfn.MAXIFS(SAISIE!$E$5:$E$204,SAISIE!$B$5:$B$204,"*Vent D/G*",SAISIE!$F$5:$F$204,$G$235)&gt;0)),"","Vent D/G")</f>
        <v/>
      </c>
      <c r="B240" s="6" t="str">
        <f>IF(OR($G$235="",NOT(_xlfn.MAXIFS(SAISIE!$E$5:$E$204,SAISIE!$B$5:$B$204,"*Vent D/G*",SAISIE!$F$5:$F$204,$G$235)&gt;0)),"",IFERROR(INDEX(SAISIE!$C$5:$C$204,MATCH(_xlfn.MAXIFS(SAISIE!$E$5:$E$204,SAISIE!$B$5:$B$204,"*Vent D/G*",SAISIE!$F$5:$F$204,$G$235),SAISIE!$E$5:$E$204,0)),"-"))</f>
        <v/>
      </c>
      <c r="C240" s="6" t="str">
        <f>IF(OR($G$235="",NOT(_xlfn.MAXIFS(SAISIE!$E$5:$E$204,SAISIE!$B$5:$B$204,"*Vent D/G*",SAISIE!$F$5:$F$204,$G$235)&gt;0)),"",IFERROR(INDEX(SAISIE!$D$5:$D$204,MATCH(_xlfn.MAXIFS(SAISIE!$E$5:$E$204,SAISIE!$B$5:$B$204,"*Vent D/G*",SAISIE!$F$5:$F$204,$G$235),SAISIE!$E$5:$E$204,0)),"-"))</f>
        <v/>
      </c>
      <c r="D240" s="6" t="str">
        <f>IF(OR($G$235="",NOT(_xlfn.MAXIFS(SAISIE!$E$5:$E$204,SAISIE!$B$5:$B$204,"*Vent D/G*",SAISIE!$F$5:$F$204,$G$235)&gt;0)),"",IFERROR(_xlfn.MAXIFS(SAISIE!$E$5:$E$204,SAISIE!$B$5:$B$204,"*Vent D/G*",SAISIE!$F$5:$F$204,$G$235),"-"))</f>
        <v/>
      </c>
      <c r="E240" s="6" t="str">
        <f>IF($G$235="","",IF(OR(D240="",D240="-"),"",IF(D240&gt;0,"(soulevement)",IF(D240&lt;0,"(compression)","-"))))</f>
        <v/>
      </c>
    </row>
    <row r="241" spans="1:8" x14ac:dyDescent="0.25">
      <c r="A241" s="5" t="str">
        <f>IF(OR($G$235="",NOT(COUNTIFS(SAISIE!$B$5:$B$204,"*Vent Av./Arr.*",SAISIE!$F$5:$F$204,$G$235)&gt;0)),"","Vent Av./Arr.")</f>
        <v/>
      </c>
      <c r="B241" s="6" t="str">
        <f>IF(OR($G$235="",NOT(COUNTIFS(SAISIE!$B$5:$B$204,"*Vent Av./Arr.*",SAISIE!$F$5:$F$204,$G$235)&gt;0)),"",IFERROR(IF(_xlfn.MINIFS(SAISIE!$E$5:$E$204,SAISIE!$B$5:$B$204,"*Vent Av./Arr.*",SAISIE!$F$5:$F$204,$G$235)&gt;=0,_xlfn.MAXIFS(SAISIE!$C$5:$C$204,SAISIE!$B$5:$B$204,"*Vent Av./Arr.*",SAISIE!$F$5:$F$204,$G$235),INDEX(SAISIE!$C$5:$C$204,MATCH(_xlfn.MINIFS(SAISIE!$E$5:$E$204,SAISIE!$B$5:$B$204,"*Vent Av./Arr.*",SAISIE!$F$5:$F$204,$G$235),SAISIE!$E$5:$E$204,0))),"-"))</f>
        <v/>
      </c>
      <c r="C241" s="6" t="str">
        <f>IF(OR($G$235="",NOT(COUNTIFS(SAISIE!$B$5:$B$204,"*Vent Av./Arr.*",SAISIE!$F$5:$F$204,$G$235)&gt;0)),"",IFERROR(IF(_xlfn.MINIFS(SAISIE!$E$5:$E$204,SAISIE!$B$5:$B$204,"*Vent Av./Arr.*",SAISIE!$F$5:$F$204,$G$235)&gt;=0,INDEX(SAISIE!$D$5:$D$204,MATCH(_xlfn.MAXIFS(SAISIE!$C$5:$C$204,SAISIE!$B$5:$B$204,"*Vent Av./Arr.*",SAISIE!$F$5:$F$204,$G$235),SAISIE!$C$5:$C$204,0)),INDEX(SAISIE!$D$5:$D$204,MATCH(_xlfn.MINIFS(SAISIE!$E$5:$E$204,SAISIE!$B$5:$B$204,"*Vent Av./Arr.*",SAISIE!$F$5:$F$204,$G$235),SAISIE!$E$5:$E$204,0))),"-"))</f>
        <v/>
      </c>
      <c r="D241" s="6" t="str">
        <f>IF(OR($G$235="",NOT(COUNTIFS(SAISIE!$B$5:$B$204,"*Vent Av./Arr.*",SAISIE!$F$5:$F$204,$G$235)&gt;0)),"",IFERROR(IF(_xlfn.MINIFS(SAISIE!$E$5:$E$204,SAISIE!$B$5:$B$204,"*Vent Av./Arr.*",SAISIE!$F$5:$F$204,$G$235)&gt;=0,0,_xlfn.MINIFS(SAISIE!$E$5:$E$204,SAISIE!$B$5:$B$204,"*Vent Av./Arr.*",SAISIE!$F$5:$F$204,$G$235)),"-"))</f>
        <v/>
      </c>
      <c r="E241" s="6" t="str">
        <f>IF($G$235="","",IF(OR(D241="",D241="-"),"",IF(D241&gt;0,"(soulevement)",IF(D241&lt;0,"(compression)","-"))))</f>
        <v/>
      </c>
    </row>
    <row r="242" spans="1:8" x14ac:dyDescent="0.25">
      <c r="A242" s="5" t="str">
        <f>IF(OR($G$235="",NOT(_xlfn.MAXIFS(SAISIE!$E$5:$E$204,SAISIE!$B$5:$B$204,"*Vent Av./Arr.*",SAISIE!$F$5:$F$204,$G$235)&gt;0)),"","Vent Av./Arr.")</f>
        <v/>
      </c>
      <c r="B242" s="6" t="str">
        <f>IF(OR($G$235="",NOT(_xlfn.MAXIFS(SAISIE!$E$5:$E$204,SAISIE!$B$5:$B$204,"*Vent Av./Arr.*",SAISIE!$F$5:$F$204,$G$235)&gt;0)),"",IFERROR(INDEX(SAISIE!$C$5:$C$204,MATCH(_xlfn.MAXIFS(SAISIE!$E$5:$E$204,SAISIE!$B$5:$B$204,"*Vent Av./Arr.*",SAISIE!$F$5:$F$204,$G$235),SAISIE!$E$5:$E$204,0)),"-"))</f>
        <v/>
      </c>
      <c r="C242" s="6" t="str">
        <f>IF(OR($G$235="",NOT(_xlfn.MAXIFS(SAISIE!$E$5:$E$204,SAISIE!$B$5:$B$204,"*Vent Av./Arr.*",SAISIE!$F$5:$F$204,$G$235)&gt;0)),"",IFERROR(INDEX(SAISIE!$D$5:$D$204,MATCH(_xlfn.MAXIFS(SAISIE!$E$5:$E$204,SAISIE!$B$5:$B$204,"*Vent Av./Arr.*",SAISIE!$F$5:$F$204,$G$235),SAISIE!$E$5:$E$204,0)),"-"))</f>
        <v/>
      </c>
      <c r="D242" s="6" t="str">
        <f>IF(OR($G$235="",NOT(_xlfn.MAXIFS(SAISIE!$E$5:$E$204,SAISIE!$B$5:$B$204,"*Vent Av./Arr.*",SAISIE!$F$5:$F$204,$G$235)&gt;0)),"",IFERROR(_xlfn.MAXIFS(SAISIE!$E$5:$E$204,SAISIE!$B$5:$B$204,"*Vent Av./Arr.*",SAISIE!$F$5:$F$204,$G$235),"-"))</f>
        <v/>
      </c>
      <c r="E242" s="6" t="str">
        <f>IF($G$235="","",IF(OR(D242="",D242="-"),"",IF(D242&gt;0,"(soulevement)",IF(D242&lt;0,"(compression)","-"))))</f>
        <v/>
      </c>
    </row>
    <row r="243" spans="1:8" x14ac:dyDescent="0.25">
      <c r="A243" s="5" t="str">
        <f>IF(OR($G$235="",NOT(COUNTIFS(SAISIE!$B$5:$B$204,"*Vent Arr./Av.*",SAISIE!$F$5:$F$204,$G$235)&gt;0)),"","Vent Arr./Av.")</f>
        <v/>
      </c>
      <c r="B243" s="6" t="str">
        <f>IF(OR($G$235="",NOT(COUNTIFS(SAISIE!$B$5:$B$204,"*Vent Arr./Av.*",SAISIE!$F$5:$F$204,$G$235)&gt;0)),"",IFERROR(IF(_xlfn.MINIFS(SAISIE!$E$5:$E$204,SAISIE!$B$5:$B$204,"*Vent Arr./Av.*",SAISIE!$F$5:$F$204,$G$235)&gt;=0,_xlfn.MAXIFS(SAISIE!$C$5:$C$204,SAISIE!$B$5:$B$204,"*Vent Arr./Av.*",SAISIE!$F$5:$F$204,$G$235),INDEX(SAISIE!$C$5:$C$204,MATCH(_xlfn.MINIFS(SAISIE!$E$5:$E$204,SAISIE!$B$5:$B$204,"*Vent Arr./Av.*",SAISIE!$F$5:$F$204,$G$235),SAISIE!$E$5:$E$204,0))),"-"))</f>
        <v/>
      </c>
      <c r="C243" s="6" t="str">
        <f>IF(OR($G$235="",NOT(COUNTIFS(SAISIE!$B$5:$B$204,"*Vent Arr./Av.*",SAISIE!$F$5:$F$204,$G$235)&gt;0)),"",IFERROR(IF(_xlfn.MINIFS(SAISIE!$E$5:$E$204,SAISIE!$B$5:$B$204,"*Vent Arr./Av.*",SAISIE!$F$5:$F$204,$G$235)&gt;=0,INDEX(SAISIE!$D$5:$D$204,MATCH(_xlfn.MAXIFS(SAISIE!$C$5:$C$204,SAISIE!$B$5:$B$204,"*Vent Arr./Av.*",SAISIE!$F$5:$F$204,$G$235),SAISIE!$C$5:$C$204,0)),INDEX(SAISIE!$D$5:$D$204,MATCH(_xlfn.MINIFS(SAISIE!$E$5:$E$204,SAISIE!$B$5:$B$204,"*Vent Arr./Av.*",SAISIE!$F$5:$F$204,$G$235),SAISIE!$E$5:$E$204,0))),"-"))</f>
        <v/>
      </c>
      <c r="D243" s="6" t="str">
        <f>IF(OR($G$235="",NOT(COUNTIFS(SAISIE!$B$5:$B$204,"*Vent Arr./Av.*",SAISIE!$F$5:$F$204,$G$235)&gt;0)),"",IFERROR(IF(_xlfn.MINIFS(SAISIE!$E$5:$E$204,SAISIE!$B$5:$B$204,"*Vent Arr./Av.*",SAISIE!$F$5:$F$204,$G$235)&gt;=0,0,_xlfn.MINIFS(SAISIE!$E$5:$E$204,SAISIE!$B$5:$B$204,"*Vent Arr./Av.*",SAISIE!$F$5:$F$204,$G$235)),"-"))</f>
        <v/>
      </c>
      <c r="E243" s="6" t="str">
        <f>IF($G$235="","",IF(OR(D243="",D243="-"),"",IF(D243&gt;0,"(soulevement)",IF(D243&lt;0,"(compression)","-"))))</f>
        <v/>
      </c>
    </row>
    <row r="244" spans="1:8" x14ac:dyDescent="0.25">
      <c r="A244" s="5" t="str">
        <f>IF(OR($G$235="",NOT(_xlfn.MAXIFS(SAISIE!$E$5:$E$204,SAISIE!$B$5:$B$204,"*Vent Arr./Av.*",SAISIE!$F$5:$F$204,$G$235)&gt;0)),"","Vent Arr./Av.")</f>
        <v/>
      </c>
      <c r="B244" s="6" t="str">
        <f>IF(OR($G$235="",NOT(_xlfn.MAXIFS(SAISIE!$E$5:$E$204,SAISIE!$B$5:$B$204,"*Vent Arr./Av.*",SAISIE!$F$5:$F$204,$G$235)&gt;0)),"",IFERROR(INDEX(SAISIE!$C$5:$C$204,MATCH(_xlfn.MAXIFS(SAISIE!$E$5:$E$204,SAISIE!$B$5:$B$204,"*Vent Arr./Av.*",SAISIE!$F$5:$F$204,$G$235),SAISIE!$E$5:$E$204,0)),"-"))</f>
        <v/>
      </c>
      <c r="C244" s="6" t="str">
        <f>IF(OR($G$235="",NOT(_xlfn.MAXIFS(SAISIE!$E$5:$E$204,SAISIE!$B$5:$B$204,"*Vent Arr./Av.*",SAISIE!$F$5:$F$204,$G$235)&gt;0)),"",IFERROR(INDEX(SAISIE!$D$5:$D$204,MATCH(_xlfn.MAXIFS(SAISIE!$E$5:$E$204,SAISIE!$B$5:$B$204,"*Vent Arr./Av.*",SAISIE!$F$5:$F$204,$G$235),SAISIE!$E$5:$E$204,0)),"-"))</f>
        <v/>
      </c>
      <c r="D244" s="6" t="str">
        <f>IF(OR($G$235="",NOT(_xlfn.MAXIFS(SAISIE!$E$5:$E$204,SAISIE!$B$5:$B$204,"*Vent Arr./Av.*",SAISIE!$F$5:$F$204,$G$235)&gt;0)),"",IFERROR(_xlfn.MAXIFS(SAISIE!$E$5:$E$204,SAISIE!$B$5:$B$204,"*Vent Arr./Av.*",SAISIE!$F$5:$F$204,$G$235),"-"))</f>
        <v/>
      </c>
      <c r="E244" s="6" t="str">
        <f>IF($G$235="","",IF(OR(D244="",D244="-"),"",IF(D244&gt;0,"(soulevement)",IF(D244&lt;0,"(compression)","-"))))</f>
        <v/>
      </c>
    </row>
    <row r="245" spans="1:8" x14ac:dyDescent="0.25">
      <c r="A245" s="5" t="str">
        <f>IF(OR($G$235="",NOT(TRUE)),"","Neige normale")</f>
        <v/>
      </c>
      <c r="B245" s="6" t="str">
        <f>IF($G$235="","",IFERROR(INDEX(SAISIE!$C$5:$C$204,MATCH(_xlfn.MINIFS(SAISIE!$E$5:$E$204,SAISIE!$B$5:$B$204,"*Neige*",SAISIE!$B$5:$B$204,"&lt;&gt;*accidentel*",SAISIE!$F$5:$F$204,$G$235),SAISIE!$E$5:$E$204,0)),"-"))</f>
        <v/>
      </c>
      <c r="C245" s="6" t="str">
        <f>IF($G$235="","",IFERROR(INDEX(SAISIE!$D$5:$D$204,MATCH(_xlfn.MINIFS(SAISIE!$E$5:$E$204,SAISIE!$B$5:$B$204,"*Neige*",SAISIE!$B$5:$B$204,"&lt;&gt;*accidentel*",SAISIE!$F$5:$F$204,$G$235),SAISIE!$E$5:$E$204,0)),"-"))</f>
        <v/>
      </c>
      <c r="D245" s="6" t="str">
        <f>IF($G$235="","",IFERROR(INDEX(SAISIE!$E$5:$E$204,MATCH(_xlfn.MINIFS(SAISIE!$E$5:$E$204,SAISIE!$B$5:$B$204,"*Neige*",SAISIE!$B$5:$B$204,"&lt;&gt;*accidentel*",SAISIE!$F$5:$F$204,$G$235),SAISIE!$E$5:$E$204,0)),"-"))</f>
        <v/>
      </c>
      <c r="E245" s="6" t="str">
        <f>IF($G$235="","",IF(OR(D245="",D245="-"),"",IF(D245&gt;0,"(soulevement)",IF(D245&lt;0,"(compression)","-"))))</f>
        <v/>
      </c>
    </row>
    <row r="246" spans="1:8" x14ac:dyDescent="0.25">
      <c r="A246" s="5" t="str">
        <f>IF(OR($G$235="",NOT(TRUE)),"","Neige accidentelle")</f>
        <v/>
      </c>
      <c r="B246" s="6" t="str">
        <f>IF($G$235="","",IFERROR(LOOKUP(2,1/((SAISIE!$F$5:$F$204=$G$235)*(ISNUMBER(SEARCH("accidentel",SAISIE!$B$5:$B$204)))),SAISIE!$C$5:$C$204),"-"))</f>
        <v/>
      </c>
      <c r="C246" s="6" t="str">
        <f>IF($G$235="","",IFERROR(LOOKUP(2,1/((SAISIE!$F$5:$F$204=$G$235)*(ISNUMBER(SEARCH("accidentel",SAISIE!$B$5:$B$204)))),SAISIE!$D$5:$D$204),"-"))</f>
        <v/>
      </c>
      <c r="D246" s="6" t="str">
        <f>IF($G$235="","",IFERROR(LOOKUP(2,1/((SAISIE!$F$5:$F$204=$G$235)*(ISNUMBER(SEARCH("accidentel",SAISIE!$B$5:$B$204)))),SAISIE!$E$5:$E$204),"-"))</f>
        <v/>
      </c>
      <c r="E246" s="6" t="str">
        <f>IF($G$235="","",IF(OR(D246="",D246="-"),"",IF(D246&gt;0,"(soulevement)",IF(D246&lt;0,"(compression)","-"))))</f>
        <v/>
      </c>
    </row>
    <row r="249" spans="1:8" x14ac:dyDescent="0.25">
      <c r="A249" s="9" t="s">
        <v>54</v>
      </c>
      <c r="B249" s="7"/>
      <c r="C249" s="7"/>
      <c r="D249" s="7"/>
    </row>
    <row r="250" spans="1:8" x14ac:dyDescent="0.25">
      <c r="A250" s="3" t="s">
        <v>49</v>
      </c>
      <c r="B250" s="3" t="s">
        <v>50</v>
      </c>
      <c r="C250" s="3" t="s">
        <v>52</v>
      </c>
      <c r="D250" s="3" t="s">
        <v>53</v>
      </c>
    </row>
    <row r="251" spans="1:8" ht="15.75" x14ac:dyDescent="0.25">
      <c r="A251" s="11" t="str">
        <f>IF($H$251="","","Noeud "&amp;$H$251)</f>
        <v/>
      </c>
      <c r="B251" s="12"/>
      <c r="C251" s="12"/>
      <c r="D251" s="12"/>
      <c r="H251" t="str">
        <f>IFERROR(INDEX(SAISIE!$E$210:$E$409,_xlfn.AGGREGATE(15,6,ROW(SAISIE!$E$210:$E$409)-ROW(SAISIE!$E$210)+1/(SAISIE!$E$210:$E$409&lt;&gt;"")/(COUNTIF($H$4:H250,SAISIE!$E$210:$E$409)=0),1)),"")</f>
        <v/>
      </c>
    </row>
    <row r="252" spans="1:8" x14ac:dyDescent="0.25">
      <c r="A252" s="5" t="str">
        <f>IF(OR($H$251="",NOT(TRUE)),"","Couverture")</f>
        <v/>
      </c>
      <c r="B252" s="6" t="str">
        <f>IF($H$251="","",IFERROR(IFERROR(LOOKUP(2,1/((SAISIE!$E$210:$E$409=$H$251)*(LEFT(SAISIE!$B$210:$B$409,2)="G ")),SAISIE!$C$210:$C$409),LOOKUP(2,1/((SAISIE!$E$210:$E$409=$H$251)*(ISNUMBER(SEARCH("Couverture",SAISIE!$B$210:$B$409)))),SAISIE!$C$210:$C$409)),"-"))</f>
        <v/>
      </c>
      <c r="C252" s="6" t="str">
        <f>IF($H$251="","",IFERROR(IFERROR(LOOKUP(2,1/((SAISIE!$E$210:$E$409=$H$251)*(LEFT(SAISIE!$B$210:$B$409,2)="G ")),SAISIE!$D$210:$D$409),LOOKUP(2,1/((SAISIE!$E$210:$E$409=$H$251)*(ISNUMBER(SEARCH("Couverture",SAISIE!$B$210:$B$409)))),SAISIE!$D$210:$D$409)),"-"))</f>
        <v/>
      </c>
      <c r="D252" s="6" t="str">
        <f>IF($H$251="","",IF(OR(C252="",C252="-"),"",IF(C252&gt;0,"(soulevement)",IF(C252&lt;0,"(compression)","-"))))</f>
        <v/>
      </c>
    </row>
    <row r="253" spans="1:8" x14ac:dyDescent="0.25">
      <c r="A253" s="5" t="str">
        <f>IF(OR($H$251="",NOT(COUNTIFS(SAISIE!$B$210:$B$409,"*Vent G/D*",SAISIE!$E$210:$E$409,$H$251)&gt;0)),"","Vent G/D")</f>
        <v/>
      </c>
      <c r="B253" s="6" t="str">
        <f>IF(OR($H$251="",NOT(COUNTIFS(SAISIE!$B$210:$B$409,"*Vent G/D*",SAISIE!$E$210:$E$409,$H$251)&gt;0)),"",IFERROR(IF(_xlfn.MINIFS(SAISIE!$D$210:$D$409,SAISIE!$B$210:$B$409,"*Vent G/D*",SAISIE!$E$210:$E$409,$H$251)&gt;=0,_xlfn.MAXIFS(SAISIE!$C$210:$C$409,SAISIE!$B$210:$B$409,"*Vent G/D*",SAISIE!$E$210:$E$409,$H$251),INDEX(SAISIE!$C$210:$C$409,MATCH(_xlfn.MINIFS(SAISIE!$D$210:$D$409,SAISIE!$B$210:$B$409,"*Vent G/D*",SAISIE!$E$210:$E$409,$H$251),SAISIE!$D$210:$D$409,0))),"-"))</f>
        <v/>
      </c>
      <c r="C253" s="6" t="str">
        <f>IF(OR($H$251="",NOT(COUNTIFS(SAISIE!$B$210:$B$409,"*Vent G/D*",SAISIE!$E$210:$E$409,$H$251)&gt;0)),"",IFERROR(IF(_xlfn.MINIFS(SAISIE!$D$210:$D$409,SAISIE!$B$210:$B$409,"*Vent G/D*",SAISIE!$E$210:$E$409,$H$251)&gt;=0,0,_xlfn.MINIFS(SAISIE!$D$210:$D$409,SAISIE!$B$210:$B$409,"*Vent G/D*",SAISIE!$E$210:$E$409,$H$251)),"-"))</f>
        <v/>
      </c>
      <c r="D253" s="6" t="str">
        <f>IF($H$251="","",IF(OR(C253="",C253="-"),"",IF(C253&gt;0,"(soulevement)",IF(C253&lt;0,"(compression)","-"))))</f>
        <v/>
      </c>
    </row>
    <row r="254" spans="1:8" x14ac:dyDescent="0.25">
      <c r="A254" s="5" t="str">
        <f>IF(OR($H$251="",NOT(_xlfn.MAXIFS(SAISIE!$D$210:$D$409,SAISIE!$B$210:$B$409,"*Vent G/D*",SAISIE!$E$210:$E$409,$H$251)&gt;0)),"","Vent G/D")</f>
        <v/>
      </c>
      <c r="B254" s="6" t="str">
        <f>IF(OR($H$251="",NOT(_xlfn.MAXIFS(SAISIE!$D$210:$D$409,SAISIE!$B$210:$B$409,"*Vent G/D*",SAISIE!$E$210:$E$409,$H$251)&gt;0)),"",IFERROR(INDEX(SAISIE!$C$210:$C$409,MATCH(_xlfn.MAXIFS(SAISIE!$D$210:$D$409,SAISIE!$B$210:$B$409,"*Vent G/D*",SAISIE!$E$210:$E$409,$H$251),SAISIE!$D$210:$D$409,0)),"-"))</f>
        <v/>
      </c>
      <c r="C254" s="6" t="str">
        <f>IF(OR($H$251="",NOT(_xlfn.MAXIFS(SAISIE!$D$210:$D$409,SAISIE!$B$210:$B$409,"*Vent G/D*",SAISIE!$E$210:$E$409,$H$251)&gt;0)),"",IFERROR(_xlfn.MAXIFS(SAISIE!$D$210:$D$409,SAISIE!$B$210:$B$409,"*Vent G/D*",SAISIE!$E$210:$E$409,$H$251),"-"))</f>
        <v/>
      </c>
      <c r="D254" s="6" t="str">
        <f>IF($H$251="","",IF(OR(C254="",C254="-"),"",IF(C254&gt;0,"(soulevement)",IF(C254&lt;0,"(compression)","-"))))</f>
        <v/>
      </c>
    </row>
    <row r="255" spans="1:8" x14ac:dyDescent="0.25">
      <c r="A255" s="5" t="str">
        <f>IF(OR($H$251="",NOT(COUNTIFS(SAISIE!$B$210:$B$409,"*Vent D/G*",SAISIE!$E$210:$E$409,$H$251)&gt;0)),"","Vent D/G")</f>
        <v/>
      </c>
      <c r="B255" s="6" t="str">
        <f>IF(OR($H$251="",NOT(COUNTIFS(SAISIE!$B$210:$B$409,"*Vent D/G*",SAISIE!$E$210:$E$409,$H$251)&gt;0)),"",IFERROR(IF(_xlfn.MINIFS(SAISIE!$D$210:$D$409,SAISIE!$B$210:$B$409,"*Vent D/G*",SAISIE!$E$210:$E$409,$H$251)&gt;=0,_xlfn.MAXIFS(SAISIE!$C$210:$C$409,SAISIE!$B$210:$B$409,"*Vent D/G*",SAISIE!$E$210:$E$409,$H$251),INDEX(SAISIE!$C$210:$C$409,MATCH(_xlfn.MINIFS(SAISIE!$D$210:$D$409,SAISIE!$B$210:$B$409,"*Vent D/G*",SAISIE!$E$210:$E$409,$H$251),SAISIE!$D$210:$D$409,0))),"-"))</f>
        <v/>
      </c>
      <c r="C255" s="6" t="str">
        <f>IF(OR($H$251="",NOT(COUNTIFS(SAISIE!$B$210:$B$409,"*Vent D/G*",SAISIE!$E$210:$E$409,$H$251)&gt;0)),"",IFERROR(IF(_xlfn.MINIFS(SAISIE!$D$210:$D$409,SAISIE!$B$210:$B$409,"*Vent D/G*",SAISIE!$E$210:$E$409,$H$251)&gt;=0,0,_xlfn.MINIFS(SAISIE!$D$210:$D$409,SAISIE!$B$210:$B$409,"*Vent D/G*",SAISIE!$E$210:$E$409,$H$251)),"-"))</f>
        <v/>
      </c>
      <c r="D255" s="6" t="str">
        <f>IF($H$251="","",IF(OR(C255="",C255="-"),"",IF(C255&gt;0,"(soulevement)",IF(C255&lt;0,"(compression)","-"))))</f>
        <v/>
      </c>
    </row>
    <row r="256" spans="1:8" x14ac:dyDescent="0.25">
      <c r="A256" s="5" t="str">
        <f>IF(OR($H$251="",NOT(_xlfn.MAXIFS(SAISIE!$D$210:$D$409,SAISIE!$B$210:$B$409,"*Vent D/G*",SAISIE!$E$210:$E$409,$H$251)&gt;0)),"","Vent D/G")</f>
        <v/>
      </c>
      <c r="B256" s="6" t="str">
        <f>IF(OR($H$251="",NOT(_xlfn.MAXIFS(SAISIE!$D$210:$D$409,SAISIE!$B$210:$B$409,"*Vent D/G*",SAISIE!$E$210:$E$409,$H$251)&gt;0)),"",IFERROR(INDEX(SAISIE!$C$210:$C$409,MATCH(_xlfn.MAXIFS(SAISIE!$D$210:$D$409,SAISIE!$B$210:$B$409,"*Vent D/G*",SAISIE!$E$210:$E$409,$H$251),SAISIE!$D$210:$D$409,0)),"-"))</f>
        <v/>
      </c>
      <c r="C256" s="6" t="str">
        <f>IF(OR($H$251="",NOT(_xlfn.MAXIFS(SAISIE!$D$210:$D$409,SAISIE!$B$210:$B$409,"*Vent D/G*",SAISIE!$E$210:$E$409,$H$251)&gt;0)),"",IFERROR(_xlfn.MAXIFS(SAISIE!$D$210:$D$409,SAISIE!$B$210:$B$409,"*Vent D/G*",SAISIE!$E$210:$E$409,$H$251),"-"))</f>
        <v/>
      </c>
      <c r="D256" s="6" t="str">
        <f>IF($H$251="","",IF(OR(C256="",C256="-"),"",IF(C256&gt;0,"(soulevement)",IF(C256&lt;0,"(compression)","-"))))</f>
        <v/>
      </c>
    </row>
    <row r="257" spans="1:8" x14ac:dyDescent="0.25">
      <c r="A257" s="5" t="str">
        <f>IF(OR($H$251="",NOT(COUNTIFS(SAISIE!$B$210:$B$409,"*Vent Av./Arr.*",SAISIE!$E$210:$E$409,$H$251)&gt;0)),"","Vent Av./Arr.")</f>
        <v/>
      </c>
      <c r="B257" s="6" t="str">
        <f>IF(OR($H$251="",NOT(COUNTIFS(SAISIE!$B$210:$B$409,"*Vent Av./Arr.*",SAISIE!$E$210:$E$409,$H$251)&gt;0)),"",IFERROR(IF(_xlfn.MINIFS(SAISIE!$D$210:$D$409,SAISIE!$B$210:$B$409,"*Vent Av./Arr.*",SAISIE!$E$210:$E$409,$H$251)&gt;=0,_xlfn.MAXIFS(SAISIE!$C$210:$C$409,SAISIE!$B$210:$B$409,"*Vent Av./Arr.*",SAISIE!$E$210:$E$409,$H$251),INDEX(SAISIE!$C$210:$C$409,MATCH(_xlfn.MINIFS(SAISIE!$D$210:$D$409,SAISIE!$B$210:$B$409,"*Vent Av./Arr.*",SAISIE!$E$210:$E$409,$H$251),SAISIE!$D$210:$D$409,0))),"-"))</f>
        <v/>
      </c>
      <c r="C257" s="6" t="str">
        <f>IF(OR($H$251="",NOT(COUNTIFS(SAISIE!$B$210:$B$409,"*Vent Av./Arr.*",SAISIE!$E$210:$E$409,$H$251)&gt;0)),"",IFERROR(IF(_xlfn.MINIFS(SAISIE!$D$210:$D$409,SAISIE!$B$210:$B$409,"*Vent Av./Arr.*",SAISIE!$E$210:$E$409,$H$251)&gt;=0,0,_xlfn.MINIFS(SAISIE!$D$210:$D$409,SAISIE!$B$210:$B$409,"*Vent Av./Arr.*",SAISIE!$E$210:$E$409,$H$251)),"-"))</f>
        <v/>
      </c>
      <c r="D257" s="6" t="str">
        <f>IF($H$251="","",IF(OR(C257="",C257="-"),"",IF(C257&gt;0,"(soulevement)",IF(C257&lt;0,"(compression)","-"))))</f>
        <v/>
      </c>
    </row>
    <row r="258" spans="1:8" x14ac:dyDescent="0.25">
      <c r="A258" s="5" t="str">
        <f>IF(OR($H$251="",NOT(_xlfn.MAXIFS(SAISIE!$D$210:$D$409,SAISIE!$B$210:$B$409,"*Vent Av./Arr.*",SAISIE!$E$210:$E$409,$H$251)&gt;0)),"","Vent Av./Arr.")</f>
        <v/>
      </c>
      <c r="B258" s="6" t="str">
        <f>IF(OR($H$251="",NOT(_xlfn.MAXIFS(SAISIE!$D$210:$D$409,SAISIE!$B$210:$B$409,"*Vent Av./Arr.*",SAISIE!$E$210:$E$409,$H$251)&gt;0)),"",IFERROR(INDEX(SAISIE!$C$210:$C$409,MATCH(_xlfn.MAXIFS(SAISIE!$D$210:$D$409,SAISIE!$B$210:$B$409,"*Vent Av./Arr.*",SAISIE!$E$210:$E$409,$H$251),SAISIE!$D$210:$D$409,0)),"-"))</f>
        <v/>
      </c>
      <c r="C258" s="6" t="str">
        <f>IF(OR($H$251="",NOT(_xlfn.MAXIFS(SAISIE!$D$210:$D$409,SAISIE!$B$210:$B$409,"*Vent Av./Arr.*",SAISIE!$E$210:$E$409,$H$251)&gt;0)),"",IFERROR(_xlfn.MAXIFS(SAISIE!$D$210:$D$409,SAISIE!$B$210:$B$409,"*Vent Av./Arr.*",SAISIE!$E$210:$E$409,$H$251),"-"))</f>
        <v/>
      </c>
      <c r="D258" s="6" t="str">
        <f>IF($H$251="","",IF(OR(C258="",C258="-"),"",IF(C258&gt;0,"(soulevement)",IF(C258&lt;0,"(compression)","-"))))</f>
        <v/>
      </c>
    </row>
    <row r="259" spans="1:8" x14ac:dyDescent="0.25">
      <c r="A259" s="5" t="str">
        <f>IF(OR($H$251="",NOT(COUNTIFS(SAISIE!$B$210:$B$409,"*Vent Arr./Av.*",SAISIE!$E$210:$E$409,$H$251)&gt;0)),"","Vent Arr./Av.")</f>
        <v/>
      </c>
      <c r="B259" s="6" t="str">
        <f>IF(OR($H$251="",NOT(COUNTIFS(SAISIE!$B$210:$B$409,"*Vent Arr./Av.*",SAISIE!$E$210:$E$409,$H$251)&gt;0)),"",IFERROR(IF(_xlfn.MINIFS(SAISIE!$D$210:$D$409,SAISIE!$B$210:$B$409,"*Vent Arr./Av.*",SAISIE!$E$210:$E$409,$H$251)&gt;=0,_xlfn.MAXIFS(SAISIE!$C$210:$C$409,SAISIE!$B$210:$B$409,"*Vent Arr./Av.*",SAISIE!$E$210:$E$409,$H$251),INDEX(SAISIE!$C$210:$C$409,MATCH(_xlfn.MINIFS(SAISIE!$D$210:$D$409,SAISIE!$B$210:$B$409,"*Vent Arr./Av.*",SAISIE!$E$210:$E$409,$H$251),SAISIE!$D$210:$D$409,0))),"-"))</f>
        <v/>
      </c>
      <c r="C259" s="6" t="str">
        <f>IF(OR($H$251="",NOT(COUNTIFS(SAISIE!$B$210:$B$409,"*Vent Arr./Av.*",SAISIE!$E$210:$E$409,$H$251)&gt;0)),"",IFERROR(IF(_xlfn.MINIFS(SAISIE!$D$210:$D$409,SAISIE!$B$210:$B$409,"*Vent Arr./Av.*",SAISIE!$E$210:$E$409,$H$251)&gt;=0,0,_xlfn.MINIFS(SAISIE!$D$210:$D$409,SAISIE!$B$210:$B$409,"*Vent Arr./Av.*",SAISIE!$E$210:$E$409,$H$251)),"-"))</f>
        <v/>
      </c>
      <c r="D259" s="6" t="str">
        <f>IF($H$251="","",IF(OR(C259="",C259="-"),"",IF(C259&gt;0,"(soulevement)",IF(C259&lt;0,"(compression)","-"))))</f>
        <v/>
      </c>
    </row>
    <row r="260" spans="1:8" x14ac:dyDescent="0.25">
      <c r="A260" s="5" t="str">
        <f>IF(OR($H$251="",NOT(_xlfn.MAXIFS(SAISIE!$D$210:$D$409,SAISIE!$B$210:$B$409,"*Vent Arr./Av.*",SAISIE!$E$210:$E$409,$H$251)&gt;0)),"","Vent Arr./Av.")</f>
        <v/>
      </c>
      <c r="B260" s="6" t="str">
        <f>IF(OR($H$251="",NOT(_xlfn.MAXIFS(SAISIE!$D$210:$D$409,SAISIE!$B$210:$B$409,"*Vent Arr./Av.*",SAISIE!$E$210:$E$409,$H$251)&gt;0)),"",IFERROR(INDEX(SAISIE!$C$210:$C$409,MATCH(_xlfn.MAXIFS(SAISIE!$D$210:$D$409,SAISIE!$B$210:$B$409,"*Vent Arr./Av.*",SAISIE!$E$210:$E$409,$H$251),SAISIE!$D$210:$D$409,0)),"-"))</f>
        <v/>
      </c>
      <c r="C260" s="6" t="str">
        <f>IF(OR($H$251="",NOT(_xlfn.MAXIFS(SAISIE!$D$210:$D$409,SAISIE!$B$210:$B$409,"*Vent Arr./Av.*",SAISIE!$E$210:$E$409,$H$251)&gt;0)),"",IFERROR(_xlfn.MAXIFS(SAISIE!$D$210:$D$409,SAISIE!$B$210:$B$409,"*Vent Arr./Av.*",SAISIE!$E$210:$E$409,$H$251),"-"))</f>
        <v/>
      </c>
      <c r="D260" s="6" t="str">
        <f>IF($H$251="","",IF(OR(C260="",C260="-"),"",IF(C260&gt;0,"(soulevement)",IF(C260&lt;0,"(compression)","-"))))</f>
        <v/>
      </c>
    </row>
    <row r="261" spans="1:8" x14ac:dyDescent="0.25">
      <c r="A261" s="5" t="str">
        <f>IF(OR($H$251="",NOT(TRUE)),"","Neige normale")</f>
        <v/>
      </c>
      <c r="B261" s="6" t="str">
        <f>IF($H$251="","",IFERROR(INDEX(SAISIE!$C$210:$C$409,MATCH(_xlfn.MINIFS(SAISIE!$D$210:$D$409,SAISIE!$B$210:$B$409,"*Neige*",SAISIE!$B$210:$B$409,"&lt;&gt;*accidentel*",SAISIE!$E$210:$E$409,$H$251),SAISIE!$D$210:$D$409,0)),"-"))</f>
        <v/>
      </c>
      <c r="C261" s="6" t="str">
        <f>IF($H$251="","",IFERROR(INDEX(SAISIE!$D$210:$D$409,MATCH(_xlfn.MINIFS(SAISIE!$D$210:$D$409,SAISIE!$B$210:$B$409,"*Neige*",SAISIE!$B$210:$B$409,"&lt;&gt;*accidentel*",SAISIE!$E$210:$E$409,$H$251),SAISIE!$D$210:$D$409,0)),"-"))</f>
        <v/>
      </c>
      <c r="D261" s="6" t="str">
        <f>IF($H$251="","",IF(OR(C261="",C261="-"),"",IF(C261&gt;0,"(soulevement)",IF(C261&lt;0,"(compression)","-"))))</f>
        <v/>
      </c>
    </row>
    <row r="262" spans="1:8" x14ac:dyDescent="0.25">
      <c r="A262" s="5" t="str">
        <f>IF(OR($H$251="",NOT(TRUE)),"","Neige accidentelle")</f>
        <v/>
      </c>
      <c r="B262" s="6" t="str">
        <f>IF($H$251="","",IFERROR(LOOKUP(2,1/((SAISIE!$E$210:$E$409=$H$251)*(ISNUMBER(SEARCH("accidentel",SAISIE!$B$210:$B$409)))),SAISIE!$C$210:$C$409),"-"))</f>
        <v/>
      </c>
      <c r="C262" s="6" t="str">
        <f>IF($H$251="","",IFERROR(LOOKUP(2,1/((SAISIE!$E$210:$E$409=$H$251)*(ISNUMBER(SEARCH("accidentel",SAISIE!$B$210:$B$409)))),SAISIE!$D$210:$D$409),"-"))</f>
        <v/>
      </c>
      <c r="D262" s="6" t="str">
        <f>IF($H$251="","",IF(OR(C262="",C262="-"),"",IF(C262&gt;0,"(soulevement)",IF(C262&lt;0,"(compression)","-"))))</f>
        <v/>
      </c>
    </row>
    <row r="263" spans="1:8" ht="15.75" x14ac:dyDescent="0.25">
      <c r="A263" s="11" t="str">
        <f>IF($H$263="","","Noeud "&amp;$H$263)</f>
        <v/>
      </c>
      <c r="B263" s="12"/>
      <c r="C263" s="12"/>
      <c r="D263" s="12"/>
      <c r="H263" t="str">
        <f>IFERROR(INDEX(SAISIE!$E$210:$E$409,_xlfn.AGGREGATE(15,6,ROW(SAISIE!$E$210:$E$409)-ROW(SAISIE!$E$210)+1/(SAISIE!$E$210:$E$409&lt;&gt;"")/(COUNTIF($H$4:H262,SAISIE!$E$210:$E$409)=0),1)),"")</f>
        <v/>
      </c>
    </row>
    <row r="264" spans="1:8" x14ac:dyDescent="0.25">
      <c r="A264" s="5" t="str">
        <f>IF(OR($H$263="",NOT(TRUE)),"","Couverture")</f>
        <v/>
      </c>
      <c r="B264" s="6" t="str">
        <f>IF($H$263="","",IFERROR(IFERROR(LOOKUP(2,1/((SAISIE!$E$210:$E$409=$H$263)*(LEFT(SAISIE!$B$210:$B$409,2)="G ")),SAISIE!$C$210:$C$409),LOOKUP(2,1/((SAISIE!$E$210:$E$409=$H$263)*(ISNUMBER(SEARCH("Couverture",SAISIE!$B$210:$B$409)))),SAISIE!$C$210:$C$409)),"-"))</f>
        <v/>
      </c>
      <c r="C264" s="6" t="str">
        <f>IF($H$263="","",IFERROR(IFERROR(LOOKUP(2,1/((SAISIE!$E$210:$E$409=$H$263)*(LEFT(SAISIE!$B$210:$B$409,2)="G ")),SAISIE!$D$210:$D$409),LOOKUP(2,1/((SAISIE!$E$210:$E$409=$H$263)*(ISNUMBER(SEARCH("Couverture",SAISIE!$B$210:$B$409)))),SAISIE!$D$210:$D$409)),"-"))</f>
        <v/>
      </c>
      <c r="D264" s="6" t="str">
        <f>IF($H$263="","",IF(OR(C264="",C264="-"),"",IF(C264&gt;0,"(soulevement)",IF(C264&lt;0,"(compression)","-"))))</f>
        <v/>
      </c>
    </row>
    <row r="265" spans="1:8" x14ac:dyDescent="0.25">
      <c r="A265" s="5" t="str">
        <f>IF(OR($H$263="",NOT(COUNTIFS(SAISIE!$B$210:$B$409,"*Vent G/D*",SAISIE!$E$210:$E$409,$H$263)&gt;0)),"","Vent G/D")</f>
        <v/>
      </c>
      <c r="B265" s="6" t="str">
        <f>IF(OR($H$263="",NOT(COUNTIFS(SAISIE!$B$210:$B$409,"*Vent G/D*",SAISIE!$E$210:$E$409,$H$263)&gt;0)),"",IFERROR(IF(_xlfn.MINIFS(SAISIE!$D$210:$D$409,SAISIE!$B$210:$B$409,"*Vent G/D*",SAISIE!$E$210:$E$409,$H$263)&gt;=0,_xlfn.MAXIFS(SAISIE!$C$210:$C$409,SAISIE!$B$210:$B$409,"*Vent G/D*",SAISIE!$E$210:$E$409,$H$263),INDEX(SAISIE!$C$210:$C$409,MATCH(_xlfn.MINIFS(SAISIE!$D$210:$D$409,SAISIE!$B$210:$B$409,"*Vent G/D*",SAISIE!$E$210:$E$409,$H$263),SAISIE!$D$210:$D$409,0))),"-"))</f>
        <v/>
      </c>
      <c r="C265" s="6" t="str">
        <f>IF(OR($H$263="",NOT(COUNTIFS(SAISIE!$B$210:$B$409,"*Vent G/D*",SAISIE!$E$210:$E$409,$H$263)&gt;0)),"",IFERROR(IF(_xlfn.MINIFS(SAISIE!$D$210:$D$409,SAISIE!$B$210:$B$409,"*Vent G/D*",SAISIE!$E$210:$E$409,$H$263)&gt;=0,0,_xlfn.MINIFS(SAISIE!$D$210:$D$409,SAISIE!$B$210:$B$409,"*Vent G/D*",SAISIE!$E$210:$E$409,$H$263)),"-"))</f>
        <v/>
      </c>
      <c r="D265" s="6" t="str">
        <f>IF($H$263="","",IF(OR(C265="",C265="-"),"",IF(C265&gt;0,"(soulevement)",IF(C265&lt;0,"(compression)","-"))))</f>
        <v/>
      </c>
    </row>
    <row r="266" spans="1:8" x14ac:dyDescent="0.25">
      <c r="A266" s="5" t="str">
        <f>IF(OR($H$263="",NOT(_xlfn.MAXIFS(SAISIE!$D$210:$D$409,SAISIE!$B$210:$B$409,"*Vent G/D*",SAISIE!$E$210:$E$409,$H$263)&gt;0)),"","Vent G/D")</f>
        <v/>
      </c>
      <c r="B266" s="6" t="str">
        <f>IF(OR($H$263="",NOT(_xlfn.MAXIFS(SAISIE!$D$210:$D$409,SAISIE!$B$210:$B$409,"*Vent G/D*",SAISIE!$E$210:$E$409,$H$263)&gt;0)),"",IFERROR(INDEX(SAISIE!$C$210:$C$409,MATCH(_xlfn.MAXIFS(SAISIE!$D$210:$D$409,SAISIE!$B$210:$B$409,"*Vent G/D*",SAISIE!$E$210:$E$409,$H$263),SAISIE!$D$210:$D$409,0)),"-"))</f>
        <v/>
      </c>
      <c r="C266" s="6" t="str">
        <f>IF(OR($H$263="",NOT(_xlfn.MAXIFS(SAISIE!$D$210:$D$409,SAISIE!$B$210:$B$409,"*Vent G/D*",SAISIE!$E$210:$E$409,$H$263)&gt;0)),"",IFERROR(_xlfn.MAXIFS(SAISIE!$D$210:$D$409,SAISIE!$B$210:$B$409,"*Vent G/D*",SAISIE!$E$210:$E$409,$H$263),"-"))</f>
        <v/>
      </c>
      <c r="D266" s="6" t="str">
        <f>IF($H$263="","",IF(OR(C266="",C266="-"),"",IF(C266&gt;0,"(soulevement)",IF(C266&lt;0,"(compression)","-"))))</f>
        <v/>
      </c>
    </row>
    <row r="267" spans="1:8" x14ac:dyDescent="0.25">
      <c r="A267" s="5" t="str">
        <f>IF(OR($H$263="",NOT(COUNTIFS(SAISIE!$B$210:$B$409,"*Vent D/G*",SAISIE!$E$210:$E$409,$H$263)&gt;0)),"","Vent D/G")</f>
        <v/>
      </c>
      <c r="B267" s="6" t="str">
        <f>IF(OR($H$263="",NOT(COUNTIFS(SAISIE!$B$210:$B$409,"*Vent D/G*",SAISIE!$E$210:$E$409,$H$263)&gt;0)),"",IFERROR(IF(_xlfn.MINIFS(SAISIE!$D$210:$D$409,SAISIE!$B$210:$B$409,"*Vent D/G*",SAISIE!$E$210:$E$409,$H$263)&gt;=0,_xlfn.MAXIFS(SAISIE!$C$210:$C$409,SAISIE!$B$210:$B$409,"*Vent D/G*",SAISIE!$E$210:$E$409,$H$263),INDEX(SAISIE!$C$210:$C$409,MATCH(_xlfn.MINIFS(SAISIE!$D$210:$D$409,SAISIE!$B$210:$B$409,"*Vent D/G*",SAISIE!$E$210:$E$409,$H$263),SAISIE!$D$210:$D$409,0))),"-"))</f>
        <v/>
      </c>
      <c r="C267" s="6" t="str">
        <f>IF(OR($H$263="",NOT(COUNTIFS(SAISIE!$B$210:$B$409,"*Vent D/G*",SAISIE!$E$210:$E$409,$H$263)&gt;0)),"",IFERROR(IF(_xlfn.MINIFS(SAISIE!$D$210:$D$409,SAISIE!$B$210:$B$409,"*Vent D/G*",SAISIE!$E$210:$E$409,$H$263)&gt;=0,0,_xlfn.MINIFS(SAISIE!$D$210:$D$409,SAISIE!$B$210:$B$409,"*Vent D/G*",SAISIE!$E$210:$E$409,$H$263)),"-"))</f>
        <v/>
      </c>
      <c r="D267" s="6" t="str">
        <f>IF($H$263="","",IF(OR(C267="",C267="-"),"",IF(C267&gt;0,"(soulevement)",IF(C267&lt;0,"(compression)","-"))))</f>
        <v/>
      </c>
    </row>
    <row r="268" spans="1:8" x14ac:dyDescent="0.25">
      <c r="A268" s="5" t="str">
        <f>IF(OR($H$263="",NOT(_xlfn.MAXIFS(SAISIE!$D$210:$D$409,SAISIE!$B$210:$B$409,"*Vent D/G*",SAISIE!$E$210:$E$409,$H$263)&gt;0)),"","Vent D/G")</f>
        <v/>
      </c>
      <c r="B268" s="6" t="str">
        <f>IF(OR($H$263="",NOT(_xlfn.MAXIFS(SAISIE!$D$210:$D$409,SAISIE!$B$210:$B$409,"*Vent D/G*",SAISIE!$E$210:$E$409,$H$263)&gt;0)),"",IFERROR(INDEX(SAISIE!$C$210:$C$409,MATCH(_xlfn.MAXIFS(SAISIE!$D$210:$D$409,SAISIE!$B$210:$B$409,"*Vent D/G*",SAISIE!$E$210:$E$409,$H$263),SAISIE!$D$210:$D$409,0)),"-"))</f>
        <v/>
      </c>
      <c r="C268" s="6" t="str">
        <f>IF(OR($H$263="",NOT(_xlfn.MAXIFS(SAISIE!$D$210:$D$409,SAISIE!$B$210:$B$409,"*Vent D/G*",SAISIE!$E$210:$E$409,$H$263)&gt;0)),"",IFERROR(_xlfn.MAXIFS(SAISIE!$D$210:$D$409,SAISIE!$B$210:$B$409,"*Vent D/G*",SAISIE!$E$210:$E$409,$H$263),"-"))</f>
        <v/>
      </c>
      <c r="D268" s="6" t="str">
        <f>IF($H$263="","",IF(OR(C268="",C268="-"),"",IF(C268&gt;0,"(soulevement)",IF(C268&lt;0,"(compression)","-"))))</f>
        <v/>
      </c>
    </row>
    <row r="269" spans="1:8" x14ac:dyDescent="0.25">
      <c r="A269" s="5" t="str">
        <f>IF(OR($H$263="",NOT(COUNTIFS(SAISIE!$B$210:$B$409,"*Vent Av./Arr.*",SAISIE!$E$210:$E$409,$H$263)&gt;0)),"","Vent Av./Arr.")</f>
        <v/>
      </c>
      <c r="B269" s="6" t="str">
        <f>IF(OR($H$263="",NOT(COUNTIFS(SAISIE!$B$210:$B$409,"*Vent Av./Arr.*",SAISIE!$E$210:$E$409,$H$263)&gt;0)),"",IFERROR(IF(_xlfn.MINIFS(SAISIE!$D$210:$D$409,SAISIE!$B$210:$B$409,"*Vent Av./Arr.*",SAISIE!$E$210:$E$409,$H$263)&gt;=0,_xlfn.MAXIFS(SAISIE!$C$210:$C$409,SAISIE!$B$210:$B$409,"*Vent Av./Arr.*",SAISIE!$E$210:$E$409,$H$263),INDEX(SAISIE!$C$210:$C$409,MATCH(_xlfn.MINIFS(SAISIE!$D$210:$D$409,SAISIE!$B$210:$B$409,"*Vent Av./Arr.*",SAISIE!$E$210:$E$409,$H$263),SAISIE!$D$210:$D$409,0))),"-"))</f>
        <v/>
      </c>
      <c r="C269" s="6" t="str">
        <f>IF(OR($H$263="",NOT(COUNTIFS(SAISIE!$B$210:$B$409,"*Vent Av./Arr.*",SAISIE!$E$210:$E$409,$H$263)&gt;0)),"",IFERROR(IF(_xlfn.MINIFS(SAISIE!$D$210:$D$409,SAISIE!$B$210:$B$409,"*Vent Av./Arr.*",SAISIE!$E$210:$E$409,$H$263)&gt;=0,0,_xlfn.MINIFS(SAISIE!$D$210:$D$409,SAISIE!$B$210:$B$409,"*Vent Av./Arr.*",SAISIE!$E$210:$E$409,$H$263)),"-"))</f>
        <v/>
      </c>
      <c r="D269" s="6" t="str">
        <f>IF($H$263="","",IF(OR(C269="",C269="-"),"",IF(C269&gt;0,"(soulevement)",IF(C269&lt;0,"(compression)","-"))))</f>
        <v/>
      </c>
    </row>
    <row r="270" spans="1:8" x14ac:dyDescent="0.25">
      <c r="A270" s="5" t="str">
        <f>IF(OR($H$263="",NOT(_xlfn.MAXIFS(SAISIE!$D$210:$D$409,SAISIE!$B$210:$B$409,"*Vent Av./Arr.*",SAISIE!$E$210:$E$409,$H$263)&gt;0)),"","Vent Av./Arr.")</f>
        <v/>
      </c>
      <c r="B270" s="6" t="str">
        <f>IF(OR($H$263="",NOT(_xlfn.MAXIFS(SAISIE!$D$210:$D$409,SAISIE!$B$210:$B$409,"*Vent Av./Arr.*",SAISIE!$E$210:$E$409,$H$263)&gt;0)),"",IFERROR(INDEX(SAISIE!$C$210:$C$409,MATCH(_xlfn.MAXIFS(SAISIE!$D$210:$D$409,SAISIE!$B$210:$B$409,"*Vent Av./Arr.*",SAISIE!$E$210:$E$409,$H$263),SAISIE!$D$210:$D$409,0)),"-"))</f>
        <v/>
      </c>
      <c r="C270" s="6" t="str">
        <f>IF(OR($H$263="",NOT(_xlfn.MAXIFS(SAISIE!$D$210:$D$409,SAISIE!$B$210:$B$409,"*Vent Av./Arr.*",SAISIE!$E$210:$E$409,$H$263)&gt;0)),"",IFERROR(_xlfn.MAXIFS(SAISIE!$D$210:$D$409,SAISIE!$B$210:$B$409,"*Vent Av./Arr.*",SAISIE!$E$210:$E$409,$H$263),"-"))</f>
        <v/>
      </c>
      <c r="D270" s="6" t="str">
        <f>IF($H$263="","",IF(OR(C270="",C270="-"),"",IF(C270&gt;0,"(soulevement)",IF(C270&lt;0,"(compression)","-"))))</f>
        <v/>
      </c>
    </row>
    <row r="271" spans="1:8" x14ac:dyDescent="0.25">
      <c r="A271" s="5" t="str">
        <f>IF(OR($H$263="",NOT(COUNTIFS(SAISIE!$B$210:$B$409,"*Vent Arr./Av.*",SAISIE!$E$210:$E$409,$H$263)&gt;0)),"","Vent Arr./Av.")</f>
        <v/>
      </c>
      <c r="B271" s="6" t="str">
        <f>IF(OR($H$263="",NOT(COUNTIFS(SAISIE!$B$210:$B$409,"*Vent Arr./Av.*",SAISIE!$E$210:$E$409,$H$263)&gt;0)),"",IFERROR(IF(_xlfn.MINIFS(SAISIE!$D$210:$D$409,SAISIE!$B$210:$B$409,"*Vent Arr./Av.*",SAISIE!$E$210:$E$409,$H$263)&gt;=0,_xlfn.MAXIFS(SAISIE!$C$210:$C$409,SAISIE!$B$210:$B$409,"*Vent Arr./Av.*",SAISIE!$E$210:$E$409,$H$263),INDEX(SAISIE!$C$210:$C$409,MATCH(_xlfn.MINIFS(SAISIE!$D$210:$D$409,SAISIE!$B$210:$B$409,"*Vent Arr./Av.*",SAISIE!$E$210:$E$409,$H$263),SAISIE!$D$210:$D$409,0))),"-"))</f>
        <v/>
      </c>
      <c r="C271" s="6" t="str">
        <f>IF(OR($H$263="",NOT(COUNTIFS(SAISIE!$B$210:$B$409,"*Vent Arr./Av.*",SAISIE!$E$210:$E$409,$H$263)&gt;0)),"",IFERROR(IF(_xlfn.MINIFS(SAISIE!$D$210:$D$409,SAISIE!$B$210:$B$409,"*Vent Arr./Av.*",SAISIE!$E$210:$E$409,$H$263)&gt;=0,0,_xlfn.MINIFS(SAISIE!$D$210:$D$409,SAISIE!$B$210:$B$409,"*Vent Arr./Av.*",SAISIE!$E$210:$E$409,$H$263)),"-"))</f>
        <v/>
      </c>
      <c r="D271" s="6" t="str">
        <f>IF($H$263="","",IF(OR(C271="",C271="-"),"",IF(C271&gt;0,"(soulevement)",IF(C271&lt;0,"(compression)","-"))))</f>
        <v/>
      </c>
    </row>
    <row r="272" spans="1:8" x14ac:dyDescent="0.25">
      <c r="A272" s="5" t="str">
        <f>IF(OR($H$263="",NOT(_xlfn.MAXIFS(SAISIE!$D$210:$D$409,SAISIE!$B$210:$B$409,"*Vent Arr./Av.*",SAISIE!$E$210:$E$409,$H$263)&gt;0)),"","Vent Arr./Av.")</f>
        <v/>
      </c>
      <c r="B272" s="6" t="str">
        <f>IF(OR($H$263="",NOT(_xlfn.MAXIFS(SAISIE!$D$210:$D$409,SAISIE!$B$210:$B$409,"*Vent Arr./Av.*",SAISIE!$E$210:$E$409,$H$263)&gt;0)),"",IFERROR(INDEX(SAISIE!$C$210:$C$409,MATCH(_xlfn.MAXIFS(SAISIE!$D$210:$D$409,SAISIE!$B$210:$B$409,"*Vent Arr./Av.*",SAISIE!$E$210:$E$409,$H$263),SAISIE!$D$210:$D$409,0)),"-"))</f>
        <v/>
      </c>
      <c r="C272" s="6" t="str">
        <f>IF(OR($H$263="",NOT(_xlfn.MAXIFS(SAISIE!$D$210:$D$409,SAISIE!$B$210:$B$409,"*Vent Arr./Av.*",SAISIE!$E$210:$E$409,$H$263)&gt;0)),"",IFERROR(_xlfn.MAXIFS(SAISIE!$D$210:$D$409,SAISIE!$B$210:$B$409,"*Vent Arr./Av.*",SAISIE!$E$210:$E$409,$H$263),"-"))</f>
        <v/>
      </c>
      <c r="D272" s="6" t="str">
        <f>IF($H$263="","",IF(OR(C272="",C272="-"),"",IF(C272&gt;0,"(soulevement)",IF(C272&lt;0,"(compression)","-"))))</f>
        <v/>
      </c>
    </row>
    <row r="273" spans="1:8" x14ac:dyDescent="0.25">
      <c r="A273" s="5" t="str">
        <f>IF(OR($H$263="",NOT(TRUE)),"","Neige normale")</f>
        <v/>
      </c>
      <c r="B273" s="6" t="str">
        <f>IF($H$263="","",IFERROR(INDEX(SAISIE!$C$210:$C$409,MATCH(_xlfn.MINIFS(SAISIE!$D$210:$D$409,SAISIE!$B$210:$B$409,"*Neige*",SAISIE!$B$210:$B$409,"&lt;&gt;*accidentel*",SAISIE!$E$210:$E$409,$H$263),SAISIE!$D$210:$D$409,0)),"-"))</f>
        <v/>
      </c>
      <c r="C273" s="6" t="str">
        <f>IF($H$263="","",IFERROR(INDEX(SAISIE!$D$210:$D$409,MATCH(_xlfn.MINIFS(SAISIE!$D$210:$D$409,SAISIE!$B$210:$B$409,"*Neige*",SAISIE!$B$210:$B$409,"&lt;&gt;*accidentel*",SAISIE!$E$210:$E$409,$H$263),SAISIE!$D$210:$D$409,0)),"-"))</f>
        <v/>
      </c>
      <c r="D273" s="6" t="str">
        <f>IF($H$263="","",IF(OR(C273="",C273="-"),"",IF(C273&gt;0,"(soulevement)",IF(C273&lt;0,"(compression)","-"))))</f>
        <v/>
      </c>
    </row>
    <row r="274" spans="1:8" x14ac:dyDescent="0.25">
      <c r="A274" s="5" t="str">
        <f>IF(OR($H$263="",NOT(TRUE)),"","Neige accidentelle")</f>
        <v/>
      </c>
      <c r="B274" s="6" t="str">
        <f>IF($H$263="","",IFERROR(LOOKUP(2,1/((SAISIE!$E$210:$E$409=$H$263)*(ISNUMBER(SEARCH("accidentel",SAISIE!$B$210:$B$409)))),SAISIE!$C$210:$C$409),"-"))</f>
        <v/>
      </c>
      <c r="C274" s="6" t="str">
        <f>IF($H$263="","",IFERROR(LOOKUP(2,1/((SAISIE!$E$210:$E$409=$H$263)*(ISNUMBER(SEARCH("accidentel",SAISIE!$B$210:$B$409)))),SAISIE!$D$210:$D$409),"-"))</f>
        <v/>
      </c>
      <c r="D274" s="6" t="str">
        <f>IF($H$263="","",IF(OR(C274="",C274="-"),"",IF(C274&gt;0,"(soulevement)",IF(C274&lt;0,"(compression)","-"))))</f>
        <v/>
      </c>
    </row>
    <row r="275" spans="1:8" ht="15.75" x14ac:dyDescent="0.25">
      <c r="A275" s="11" t="str">
        <f>IF($H$275="","","Noeud "&amp;$H$275)</f>
        <v/>
      </c>
      <c r="B275" s="12"/>
      <c r="C275" s="12"/>
      <c r="D275" s="12"/>
      <c r="H275" t="str">
        <f>IFERROR(INDEX(SAISIE!$E$210:$E$409,_xlfn.AGGREGATE(15,6,ROW(SAISIE!$E$210:$E$409)-ROW(SAISIE!$E$210)+1/(SAISIE!$E$210:$E$409&lt;&gt;"")/(COUNTIF($H$4:H274,SAISIE!$E$210:$E$409)=0),1)),"")</f>
        <v/>
      </c>
    </row>
    <row r="276" spans="1:8" x14ac:dyDescent="0.25">
      <c r="A276" s="5" t="str">
        <f>IF(OR($H$275="",NOT(TRUE)),"","Couverture")</f>
        <v/>
      </c>
      <c r="B276" s="6" t="str">
        <f>IF($H$275="","",IFERROR(IFERROR(LOOKUP(2,1/((SAISIE!$E$210:$E$409=$H$275)*(LEFT(SAISIE!$B$210:$B$409,2)="G ")),SAISIE!$C$210:$C$409),LOOKUP(2,1/((SAISIE!$E$210:$E$409=$H$275)*(ISNUMBER(SEARCH("Couverture",SAISIE!$B$210:$B$409)))),SAISIE!$C$210:$C$409)),"-"))</f>
        <v/>
      </c>
      <c r="C276" s="6" t="str">
        <f>IF($H$275="","",IFERROR(IFERROR(LOOKUP(2,1/((SAISIE!$E$210:$E$409=$H$275)*(LEFT(SAISIE!$B$210:$B$409,2)="G ")),SAISIE!$D$210:$D$409),LOOKUP(2,1/((SAISIE!$E$210:$E$409=$H$275)*(ISNUMBER(SEARCH("Couverture",SAISIE!$B$210:$B$409)))),SAISIE!$D$210:$D$409)),"-"))</f>
        <v/>
      </c>
      <c r="D276" s="6" t="str">
        <f>IF($H$275="","",IF(OR(C276="",C276="-"),"",IF(C276&gt;0,"(soulevement)",IF(C276&lt;0,"(compression)","-"))))</f>
        <v/>
      </c>
    </row>
    <row r="277" spans="1:8" x14ac:dyDescent="0.25">
      <c r="A277" s="5" t="str">
        <f>IF(OR($H$275="",NOT(COUNTIFS(SAISIE!$B$210:$B$409,"*Vent G/D*",SAISIE!$E$210:$E$409,$H$275)&gt;0)),"","Vent G/D")</f>
        <v/>
      </c>
      <c r="B277" s="6" t="str">
        <f>IF(OR($H$275="",NOT(COUNTIFS(SAISIE!$B$210:$B$409,"*Vent G/D*",SAISIE!$E$210:$E$409,$H$275)&gt;0)),"",IFERROR(IF(_xlfn.MINIFS(SAISIE!$D$210:$D$409,SAISIE!$B$210:$B$409,"*Vent G/D*",SAISIE!$E$210:$E$409,$H$275)&gt;=0,_xlfn.MAXIFS(SAISIE!$C$210:$C$409,SAISIE!$B$210:$B$409,"*Vent G/D*",SAISIE!$E$210:$E$409,$H$275),INDEX(SAISIE!$C$210:$C$409,MATCH(_xlfn.MINIFS(SAISIE!$D$210:$D$409,SAISIE!$B$210:$B$409,"*Vent G/D*",SAISIE!$E$210:$E$409,$H$275),SAISIE!$D$210:$D$409,0))),"-"))</f>
        <v/>
      </c>
      <c r="C277" s="6" t="str">
        <f>IF(OR($H$275="",NOT(COUNTIFS(SAISIE!$B$210:$B$409,"*Vent G/D*",SAISIE!$E$210:$E$409,$H$275)&gt;0)),"",IFERROR(IF(_xlfn.MINIFS(SAISIE!$D$210:$D$409,SAISIE!$B$210:$B$409,"*Vent G/D*",SAISIE!$E$210:$E$409,$H$275)&gt;=0,0,_xlfn.MINIFS(SAISIE!$D$210:$D$409,SAISIE!$B$210:$B$409,"*Vent G/D*",SAISIE!$E$210:$E$409,$H$275)),"-"))</f>
        <v/>
      </c>
      <c r="D277" s="6" t="str">
        <f>IF($H$275="","",IF(OR(C277="",C277="-"),"",IF(C277&gt;0,"(soulevement)",IF(C277&lt;0,"(compression)","-"))))</f>
        <v/>
      </c>
    </row>
    <row r="278" spans="1:8" x14ac:dyDescent="0.25">
      <c r="A278" s="5" t="str">
        <f>IF(OR($H$275="",NOT(_xlfn.MAXIFS(SAISIE!$D$210:$D$409,SAISIE!$B$210:$B$409,"*Vent G/D*",SAISIE!$E$210:$E$409,$H$275)&gt;0)),"","Vent G/D")</f>
        <v/>
      </c>
      <c r="B278" s="6" t="str">
        <f>IF(OR($H$275="",NOT(_xlfn.MAXIFS(SAISIE!$D$210:$D$409,SAISIE!$B$210:$B$409,"*Vent G/D*",SAISIE!$E$210:$E$409,$H$275)&gt;0)),"",IFERROR(INDEX(SAISIE!$C$210:$C$409,MATCH(_xlfn.MAXIFS(SAISIE!$D$210:$D$409,SAISIE!$B$210:$B$409,"*Vent G/D*",SAISIE!$E$210:$E$409,$H$275),SAISIE!$D$210:$D$409,0)),"-"))</f>
        <v/>
      </c>
      <c r="C278" s="6" t="str">
        <f>IF(OR($H$275="",NOT(_xlfn.MAXIFS(SAISIE!$D$210:$D$409,SAISIE!$B$210:$B$409,"*Vent G/D*",SAISIE!$E$210:$E$409,$H$275)&gt;0)),"",IFERROR(_xlfn.MAXIFS(SAISIE!$D$210:$D$409,SAISIE!$B$210:$B$409,"*Vent G/D*",SAISIE!$E$210:$E$409,$H$275),"-"))</f>
        <v/>
      </c>
      <c r="D278" s="6" t="str">
        <f>IF($H$275="","",IF(OR(C278="",C278="-"),"",IF(C278&gt;0,"(soulevement)",IF(C278&lt;0,"(compression)","-"))))</f>
        <v/>
      </c>
    </row>
    <row r="279" spans="1:8" x14ac:dyDescent="0.25">
      <c r="A279" s="5" t="str">
        <f>IF(OR($H$275="",NOT(COUNTIFS(SAISIE!$B$210:$B$409,"*Vent D/G*",SAISIE!$E$210:$E$409,$H$275)&gt;0)),"","Vent D/G")</f>
        <v/>
      </c>
      <c r="B279" s="6" t="str">
        <f>IF(OR($H$275="",NOT(COUNTIFS(SAISIE!$B$210:$B$409,"*Vent D/G*",SAISIE!$E$210:$E$409,$H$275)&gt;0)),"",IFERROR(IF(_xlfn.MINIFS(SAISIE!$D$210:$D$409,SAISIE!$B$210:$B$409,"*Vent D/G*",SAISIE!$E$210:$E$409,$H$275)&gt;=0,_xlfn.MAXIFS(SAISIE!$C$210:$C$409,SAISIE!$B$210:$B$409,"*Vent D/G*",SAISIE!$E$210:$E$409,$H$275),INDEX(SAISIE!$C$210:$C$409,MATCH(_xlfn.MINIFS(SAISIE!$D$210:$D$409,SAISIE!$B$210:$B$409,"*Vent D/G*",SAISIE!$E$210:$E$409,$H$275),SAISIE!$D$210:$D$409,0))),"-"))</f>
        <v/>
      </c>
      <c r="C279" s="6" t="str">
        <f>IF(OR($H$275="",NOT(COUNTIFS(SAISIE!$B$210:$B$409,"*Vent D/G*",SAISIE!$E$210:$E$409,$H$275)&gt;0)),"",IFERROR(IF(_xlfn.MINIFS(SAISIE!$D$210:$D$409,SAISIE!$B$210:$B$409,"*Vent D/G*",SAISIE!$E$210:$E$409,$H$275)&gt;=0,0,_xlfn.MINIFS(SAISIE!$D$210:$D$409,SAISIE!$B$210:$B$409,"*Vent D/G*",SAISIE!$E$210:$E$409,$H$275)),"-"))</f>
        <v/>
      </c>
      <c r="D279" s="6" t="str">
        <f>IF($H$275="","",IF(OR(C279="",C279="-"),"",IF(C279&gt;0,"(soulevement)",IF(C279&lt;0,"(compression)","-"))))</f>
        <v/>
      </c>
    </row>
    <row r="280" spans="1:8" x14ac:dyDescent="0.25">
      <c r="A280" s="5" t="str">
        <f>IF(OR($H$275="",NOT(_xlfn.MAXIFS(SAISIE!$D$210:$D$409,SAISIE!$B$210:$B$409,"*Vent D/G*",SAISIE!$E$210:$E$409,$H$275)&gt;0)),"","Vent D/G")</f>
        <v/>
      </c>
      <c r="B280" s="6" t="str">
        <f>IF(OR($H$275="",NOT(_xlfn.MAXIFS(SAISIE!$D$210:$D$409,SAISIE!$B$210:$B$409,"*Vent D/G*",SAISIE!$E$210:$E$409,$H$275)&gt;0)),"",IFERROR(INDEX(SAISIE!$C$210:$C$409,MATCH(_xlfn.MAXIFS(SAISIE!$D$210:$D$409,SAISIE!$B$210:$B$409,"*Vent D/G*",SAISIE!$E$210:$E$409,$H$275),SAISIE!$D$210:$D$409,0)),"-"))</f>
        <v/>
      </c>
      <c r="C280" s="6" t="str">
        <f>IF(OR($H$275="",NOT(_xlfn.MAXIFS(SAISIE!$D$210:$D$409,SAISIE!$B$210:$B$409,"*Vent D/G*",SAISIE!$E$210:$E$409,$H$275)&gt;0)),"",IFERROR(_xlfn.MAXIFS(SAISIE!$D$210:$D$409,SAISIE!$B$210:$B$409,"*Vent D/G*",SAISIE!$E$210:$E$409,$H$275),"-"))</f>
        <v/>
      </c>
      <c r="D280" s="6" t="str">
        <f>IF($H$275="","",IF(OR(C280="",C280="-"),"",IF(C280&gt;0,"(soulevement)",IF(C280&lt;0,"(compression)","-"))))</f>
        <v/>
      </c>
    </row>
    <row r="281" spans="1:8" x14ac:dyDescent="0.25">
      <c r="A281" s="5" t="str">
        <f>IF(OR($H$275="",NOT(COUNTIFS(SAISIE!$B$210:$B$409,"*Vent Av./Arr.*",SAISIE!$E$210:$E$409,$H$275)&gt;0)),"","Vent Av./Arr.")</f>
        <v/>
      </c>
      <c r="B281" s="6" t="str">
        <f>IF(OR($H$275="",NOT(COUNTIFS(SAISIE!$B$210:$B$409,"*Vent Av./Arr.*",SAISIE!$E$210:$E$409,$H$275)&gt;0)),"",IFERROR(IF(_xlfn.MINIFS(SAISIE!$D$210:$D$409,SAISIE!$B$210:$B$409,"*Vent Av./Arr.*",SAISIE!$E$210:$E$409,$H$275)&gt;=0,_xlfn.MAXIFS(SAISIE!$C$210:$C$409,SAISIE!$B$210:$B$409,"*Vent Av./Arr.*",SAISIE!$E$210:$E$409,$H$275),INDEX(SAISIE!$C$210:$C$409,MATCH(_xlfn.MINIFS(SAISIE!$D$210:$D$409,SAISIE!$B$210:$B$409,"*Vent Av./Arr.*",SAISIE!$E$210:$E$409,$H$275),SAISIE!$D$210:$D$409,0))),"-"))</f>
        <v/>
      </c>
      <c r="C281" s="6" t="str">
        <f>IF(OR($H$275="",NOT(COUNTIFS(SAISIE!$B$210:$B$409,"*Vent Av./Arr.*",SAISIE!$E$210:$E$409,$H$275)&gt;0)),"",IFERROR(IF(_xlfn.MINIFS(SAISIE!$D$210:$D$409,SAISIE!$B$210:$B$409,"*Vent Av./Arr.*",SAISIE!$E$210:$E$409,$H$275)&gt;=0,0,_xlfn.MINIFS(SAISIE!$D$210:$D$409,SAISIE!$B$210:$B$409,"*Vent Av./Arr.*",SAISIE!$E$210:$E$409,$H$275)),"-"))</f>
        <v/>
      </c>
      <c r="D281" s="6" t="str">
        <f>IF($H$275="","",IF(OR(C281="",C281="-"),"",IF(C281&gt;0,"(soulevement)",IF(C281&lt;0,"(compression)","-"))))</f>
        <v/>
      </c>
    </row>
    <row r="282" spans="1:8" x14ac:dyDescent="0.25">
      <c r="A282" s="5" t="str">
        <f>IF(OR($H$275="",NOT(_xlfn.MAXIFS(SAISIE!$D$210:$D$409,SAISIE!$B$210:$B$409,"*Vent Av./Arr.*",SAISIE!$E$210:$E$409,$H$275)&gt;0)),"","Vent Av./Arr.")</f>
        <v/>
      </c>
      <c r="B282" s="6" t="str">
        <f>IF(OR($H$275="",NOT(_xlfn.MAXIFS(SAISIE!$D$210:$D$409,SAISIE!$B$210:$B$409,"*Vent Av./Arr.*",SAISIE!$E$210:$E$409,$H$275)&gt;0)),"",IFERROR(INDEX(SAISIE!$C$210:$C$409,MATCH(_xlfn.MAXIFS(SAISIE!$D$210:$D$409,SAISIE!$B$210:$B$409,"*Vent Av./Arr.*",SAISIE!$E$210:$E$409,$H$275),SAISIE!$D$210:$D$409,0)),"-"))</f>
        <v/>
      </c>
      <c r="C282" s="6" t="str">
        <f>IF(OR($H$275="",NOT(_xlfn.MAXIFS(SAISIE!$D$210:$D$409,SAISIE!$B$210:$B$409,"*Vent Av./Arr.*",SAISIE!$E$210:$E$409,$H$275)&gt;0)),"",IFERROR(_xlfn.MAXIFS(SAISIE!$D$210:$D$409,SAISIE!$B$210:$B$409,"*Vent Av./Arr.*",SAISIE!$E$210:$E$409,$H$275),"-"))</f>
        <v/>
      </c>
      <c r="D282" s="6" t="str">
        <f>IF($H$275="","",IF(OR(C282="",C282="-"),"",IF(C282&gt;0,"(soulevement)",IF(C282&lt;0,"(compression)","-"))))</f>
        <v/>
      </c>
    </row>
    <row r="283" spans="1:8" x14ac:dyDescent="0.25">
      <c r="A283" s="5" t="str">
        <f>IF(OR($H$275="",NOT(COUNTIFS(SAISIE!$B$210:$B$409,"*Vent Arr./Av.*",SAISIE!$E$210:$E$409,$H$275)&gt;0)),"","Vent Arr./Av.")</f>
        <v/>
      </c>
      <c r="B283" s="6" t="str">
        <f>IF(OR($H$275="",NOT(COUNTIFS(SAISIE!$B$210:$B$409,"*Vent Arr./Av.*",SAISIE!$E$210:$E$409,$H$275)&gt;0)),"",IFERROR(IF(_xlfn.MINIFS(SAISIE!$D$210:$D$409,SAISIE!$B$210:$B$409,"*Vent Arr./Av.*",SAISIE!$E$210:$E$409,$H$275)&gt;=0,_xlfn.MAXIFS(SAISIE!$C$210:$C$409,SAISIE!$B$210:$B$409,"*Vent Arr./Av.*",SAISIE!$E$210:$E$409,$H$275),INDEX(SAISIE!$C$210:$C$409,MATCH(_xlfn.MINIFS(SAISIE!$D$210:$D$409,SAISIE!$B$210:$B$409,"*Vent Arr./Av.*",SAISIE!$E$210:$E$409,$H$275),SAISIE!$D$210:$D$409,0))),"-"))</f>
        <v/>
      </c>
      <c r="C283" s="6" t="str">
        <f>IF(OR($H$275="",NOT(COUNTIFS(SAISIE!$B$210:$B$409,"*Vent Arr./Av.*",SAISIE!$E$210:$E$409,$H$275)&gt;0)),"",IFERROR(IF(_xlfn.MINIFS(SAISIE!$D$210:$D$409,SAISIE!$B$210:$B$409,"*Vent Arr./Av.*",SAISIE!$E$210:$E$409,$H$275)&gt;=0,0,_xlfn.MINIFS(SAISIE!$D$210:$D$409,SAISIE!$B$210:$B$409,"*Vent Arr./Av.*",SAISIE!$E$210:$E$409,$H$275)),"-"))</f>
        <v/>
      </c>
      <c r="D283" s="6" t="str">
        <f>IF($H$275="","",IF(OR(C283="",C283="-"),"",IF(C283&gt;0,"(soulevement)",IF(C283&lt;0,"(compression)","-"))))</f>
        <v/>
      </c>
    </row>
    <row r="284" spans="1:8" x14ac:dyDescent="0.25">
      <c r="A284" s="5" t="str">
        <f>IF(OR($H$275="",NOT(_xlfn.MAXIFS(SAISIE!$D$210:$D$409,SAISIE!$B$210:$B$409,"*Vent Arr./Av.*",SAISIE!$E$210:$E$409,$H$275)&gt;0)),"","Vent Arr./Av.")</f>
        <v/>
      </c>
      <c r="B284" s="6" t="str">
        <f>IF(OR($H$275="",NOT(_xlfn.MAXIFS(SAISIE!$D$210:$D$409,SAISIE!$B$210:$B$409,"*Vent Arr./Av.*",SAISIE!$E$210:$E$409,$H$275)&gt;0)),"",IFERROR(INDEX(SAISIE!$C$210:$C$409,MATCH(_xlfn.MAXIFS(SAISIE!$D$210:$D$409,SAISIE!$B$210:$B$409,"*Vent Arr./Av.*",SAISIE!$E$210:$E$409,$H$275),SAISIE!$D$210:$D$409,0)),"-"))</f>
        <v/>
      </c>
      <c r="C284" s="6" t="str">
        <f>IF(OR($H$275="",NOT(_xlfn.MAXIFS(SAISIE!$D$210:$D$409,SAISIE!$B$210:$B$409,"*Vent Arr./Av.*",SAISIE!$E$210:$E$409,$H$275)&gt;0)),"",IFERROR(_xlfn.MAXIFS(SAISIE!$D$210:$D$409,SAISIE!$B$210:$B$409,"*Vent Arr./Av.*",SAISIE!$E$210:$E$409,$H$275),"-"))</f>
        <v/>
      </c>
      <c r="D284" s="6" t="str">
        <f>IF($H$275="","",IF(OR(C284="",C284="-"),"",IF(C284&gt;0,"(soulevement)",IF(C284&lt;0,"(compression)","-"))))</f>
        <v/>
      </c>
    </row>
    <row r="285" spans="1:8" x14ac:dyDescent="0.25">
      <c r="A285" s="5" t="str">
        <f>IF(OR($H$275="",NOT(TRUE)),"","Neige normale")</f>
        <v/>
      </c>
      <c r="B285" s="6" t="str">
        <f>IF($H$275="","",IFERROR(INDEX(SAISIE!$C$210:$C$409,MATCH(_xlfn.MINIFS(SAISIE!$D$210:$D$409,SAISIE!$B$210:$B$409,"*Neige*",SAISIE!$B$210:$B$409,"&lt;&gt;*accidentel*",SAISIE!$E$210:$E$409,$H$275),SAISIE!$D$210:$D$409,0)),"-"))</f>
        <v/>
      </c>
      <c r="C285" s="6" t="str">
        <f>IF($H$275="","",IFERROR(INDEX(SAISIE!$D$210:$D$409,MATCH(_xlfn.MINIFS(SAISIE!$D$210:$D$409,SAISIE!$B$210:$B$409,"*Neige*",SAISIE!$B$210:$B$409,"&lt;&gt;*accidentel*",SAISIE!$E$210:$E$409,$H$275),SAISIE!$D$210:$D$409,0)),"-"))</f>
        <v/>
      </c>
      <c r="D285" s="6" t="str">
        <f>IF($H$275="","",IF(OR(C285="",C285="-"),"",IF(C285&gt;0,"(soulevement)",IF(C285&lt;0,"(compression)","-"))))</f>
        <v/>
      </c>
    </row>
    <row r="286" spans="1:8" x14ac:dyDescent="0.25">
      <c r="A286" s="5" t="str">
        <f>IF(OR($H$275="",NOT(TRUE)),"","Neige accidentelle")</f>
        <v/>
      </c>
      <c r="B286" s="6" t="str">
        <f>IF($H$275="","",IFERROR(LOOKUP(2,1/((SAISIE!$E$210:$E$409=$H$275)*(ISNUMBER(SEARCH("accidentel",SAISIE!$B$210:$B$409)))),SAISIE!$C$210:$C$409),"-"))</f>
        <v/>
      </c>
      <c r="C286" s="6" t="str">
        <f>IF($H$275="","",IFERROR(LOOKUP(2,1/((SAISIE!$E$210:$E$409=$H$275)*(ISNUMBER(SEARCH("accidentel",SAISIE!$B$210:$B$409)))),SAISIE!$D$210:$D$409),"-"))</f>
        <v/>
      </c>
      <c r="D286" s="6" t="str">
        <f>IF($H$275="","",IF(OR(C286="",C286="-"),"",IF(C286&gt;0,"(soulevement)",IF(C286&lt;0,"(compression)","-"))))</f>
        <v/>
      </c>
    </row>
    <row r="287" spans="1:8" ht="15.75" x14ac:dyDescent="0.25">
      <c r="A287" s="11" t="str">
        <f>IF($H$287="","","Noeud "&amp;$H$287)</f>
        <v/>
      </c>
      <c r="B287" s="12"/>
      <c r="C287" s="12"/>
      <c r="D287" s="12"/>
      <c r="H287" t="str">
        <f>IFERROR(INDEX(SAISIE!$E$210:$E$409,_xlfn.AGGREGATE(15,6,ROW(SAISIE!$E$210:$E$409)-ROW(SAISIE!$E$210)+1/(SAISIE!$E$210:$E$409&lt;&gt;"")/(COUNTIF($H$4:H286,SAISIE!$E$210:$E$409)=0),1)),"")</f>
        <v/>
      </c>
    </row>
    <row r="288" spans="1:8" x14ac:dyDescent="0.25">
      <c r="A288" s="5" t="str">
        <f>IF(OR($H$287="",NOT(TRUE)),"","Couverture")</f>
        <v/>
      </c>
      <c r="B288" s="6" t="str">
        <f>IF($H$287="","",IFERROR(IFERROR(LOOKUP(2,1/((SAISIE!$E$210:$E$409=$H$287)*(LEFT(SAISIE!$B$210:$B$409,2)="G ")),SAISIE!$C$210:$C$409),LOOKUP(2,1/((SAISIE!$E$210:$E$409=$H$287)*(ISNUMBER(SEARCH("Couverture",SAISIE!$B$210:$B$409)))),SAISIE!$C$210:$C$409)),"-"))</f>
        <v/>
      </c>
      <c r="C288" s="6" t="str">
        <f>IF($H$287="","",IFERROR(IFERROR(LOOKUP(2,1/((SAISIE!$E$210:$E$409=$H$287)*(LEFT(SAISIE!$B$210:$B$409,2)="G ")),SAISIE!$D$210:$D$409),LOOKUP(2,1/((SAISIE!$E$210:$E$409=$H$287)*(ISNUMBER(SEARCH("Couverture",SAISIE!$B$210:$B$409)))),SAISIE!$D$210:$D$409)),"-"))</f>
        <v/>
      </c>
      <c r="D288" s="6" t="str">
        <f>IF($H$287="","",IF(OR(C288="",C288="-"),"",IF(C288&gt;0,"(soulevement)",IF(C288&lt;0,"(compression)","-"))))</f>
        <v/>
      </c>
    </row>
    <row r="289" spans="1:8" x14ac:dyDescent="0.25">
      <c r="A289" s="5" t="str">
        <f>IF(OR($H$287="",NOT(COUNTIFS(SAISIE!$B$210:$B$409,"*Vent G/D*",SAISIE!$E$210:$E$409,$H$287)&gt;0)),"","Vent G/D")</f>
        <v/>
      </c>
      <c r="B289" s="6" t="str">
        <f>IF(OR($H$287="",NOT(COUNTIFS(SAISIE!$B$210:$B$409,"*Vent G/D*",SAISIE!$E$210:$E$409,$H$287)&gt;0)),"",IFERROR(IF(_xlfn.MINIFS(SAISIE!$D$210:$D$409,SAISIE!$B$210:$B$409,"*Vent G/D*",SAISIE!$E$210:$E$409,$H$287)&gt;=0,_xlfn.MAXIFS(SAISIE!$C$210:$C$409,SAISIE!$B$210:$B$409,"*Vent G/D*",SAISIE!$E$210:$E$409,$H$287),INDEX(SAISIE!$C$210:$C$409,MATCH(_xlfn.MINIFS(SAISIE!$D$210:$D$409,SAISIE!$B$210:$B$409,"*Vent G/D*",SAISIE!$E$210:$E$409,$H$287),SAISIE!$D$210:$D$409,0))),"-"))</f>
        <v/>
      </c>
      <c r="C289" s="6" t="str">
        <f>IF(OR($H$287="",NOT(COUNTIFS(SAISIE!$B$210:$B$409,"*Vent G/D*",SAISIE!$E$210:$E$409,$H$287)&gt;0)),"",IFERROR(IF(_xlfn.MINIFS(SAISIE!$D$210:$D$409,SAISIE!$B$210:$B$409,"*Vent G/D*",SAISIE!$E$210:$E$409,$H$287)&gt;=0,0,_xlfn.MINIFS(SAISIE!$D$210:$D$409,SAISIE!$B$210:$B$409,"*Vent G/D*",SAISIE!$E$210:$E$409,$H$287)),"-"))</f>
        <v/>
      </c>
      <c r="D289" s="6" t="str">
        <f>IF($H$287="","",IF(OR(C289="",C289="-"),"",IF(C289&gt;0,"(soulevement)",IF(C289&lt;0,"(compression)","-"))))</f>
        <v/>
      </c>
    </row>
    <row r="290" spans="1:8" x14ac:dyDescent="0.25">
      <c r="A290" s="5" t="str">
        <f>IF(OR($H$287="",NOT(_xlfn.MAXIFS(SAISIE!$D$210:$D$409,SAISIE!$B$210:$B$409,"*Vent G/D*",SAISIE!$E$210:$E$409,$H$287)&gt;0)),"","Vent G/D")</f>
        <v/>
      </c>
      <c r="B290" s="6" t="str">
        <f>IF(OR($H$287="",NOT(_xlfn.MAXIFS(SAISIE!$D$210:$D$409,SAISIE!$B$210:$B$409,"*Vent G/D*",SAISIE!$E$210:$E$409,$H$287)&gt;0)),"",IFERROR(INDEX(SAISIE!$C$210:$C$409,MATCH(_xlfn.MAXIFS(SAISIE!$D$210:$D$409,SAISIE!$B$210:$B$409,"*Vent G/D*",SAISIE!$E$210:$E$409,$H$287),SAISIE!$D$210:$D$409,0)),"-"))</f>
        <v/>
      </c>
      <c r="C290" s="6" t="str">
        <f>IF(OR($H$287="",NOT(_xlfn.MAXIFS(SAISIE!$D$210:$D$409,SAISIE!$B$210:$B$409,"*Vent G/D*",SAISIE!$E$210:$E$409,$H$287)&gt;0)),"",IFERROR(_xlfn.MAXIFS(SAISIE!$D$210:$D$409,SAISIE!$B$210:$B$409,"*Vent G/D*",SAISIE!$E$210:$E$409,$H$287),"-"))</f>
        <v/>
      </c>
      <c r="D290" s="6" t="str">
        <f>IF($H$287="","",IF(OR(C290="",C290="-"),"",IF(C290&gt;0,"(soulevement)",IF(C290&lt;0,"(compression)","-"))))</f>
        <v/>
      </c>
    </row>
    <row r="291" spans="1:8" x14ac:dyDescent="0.25">
      <c r="A291" s="5" t="str">
        <f>IF(OR($H$287="",NOT(COUNTIFS(SAISIE!$B$210:$B$409,"*Vent D/G*",SAISIE!$E$210:$E$409,$H$287)&gt;0)),"","Vent D/G")</f>
        <v/>
      </c>
      <c r="B291" s="6" t="str">
        <f>IF(OR($H$287="",NOT(COUNTIFS(SAISIE!$B$210:$B$409,"*Vent D/G*",SAISIE!$E$210:$E$409,$H$287)&gt;0)),"",IFERROR(IF(_xlfn.MINIFS(SAISIE!$D$210:$D$409,SAISIE!$B$210:$B$409,"*Vent D/G*",SAISIE!$E$210:$E$409,$H$287)&gt;=0,_xlfn.MAXIFS(SAISIE!$C$210:$C$409,SAISIE!$B$210:$B$409,"*Vent D/G*",SAISIE!$E$210:$E$409,$H$287),INDEX(SAISIE!$C$210:$C$409,MATCH(_xlfn.MINIFS(SAISIE!$D$210:$D$409,SAISIE!$B$210:$B$409,"*Vent D/G*",SAISIE!$E$210:$E$409,$H$287),SAISIE!$D$210:$D$409,0))),"-"))</f>
        <v/>
      </c>
      <c r="C291" s="6" t="str">
        <f>IF(OR($H$287="",NOT(COUNTIFS(SAISIE!$B$210:$B$409,"*Vent D/G*",SAISIE!$E$210:$E$409,$H$287)&gt;0)),"",IFERROR(IF(_xlfn.MINIFS(SAISIE!$D$210:$D$409,SAISIE!$B$210:$B$409,"*Vent D/G*",SAISIE!$E$210:$E$409,$H$287)&gt;=0,0,_xlfn.MINIFS(SAISIE!$D$210:$D$409,SAISIE!$B$210:$B$409,"*Vent D/G*",SAISIE!$E$210:$E$409,$H$287)),"-"))</f>
        <v/>
      </c>
      <c r="D291" s="6" t="str">
        <f>IF($H$287="","",IF(OR(C291="",C291="-"),"",IF(C291&gt;0,"(soulevement)",IF(C291&lt;0,"(compression)","-"))))</f>
        <v/>
      </c>
    </row>
    <row r="292" spans="1:8" x14ac:dyDescent="0.25">
      <c r="A292" s="5" t="str">
        <f>IF(OR($H$287="",NOT(_xlfn.MAXIFS(SAISIE!$D$210:$D$409,SAISIE!$B$210:$B$409,"*Vent D/G*",SAISIE!$E$210:$E$409,$H$287)&gt;0)),"","Vent D/G")</f>
        <v/>
      </c>
      <c r="B292" s="6" t="str">
        <f>IF(OR($H$287="",NOT(_xlfn.MAXIFS(SAISIE!$D$210:$D$409,SAISIE!$B$210:$B$409,"*Vent D/G*",SAISIE!$E$210:$E$409,$H$287)&gt;0)),"",IFERROR(INDEX(SAISIE!$C$210:$C$409,MATCH(_xlfn.MAXIFS(SAISIE!$D$210:$D$409,SAISIE!$B$210:$B$409,"*Vent D/G*",SAISIE!$E$210:$E$409,$H$287),SAISIE!$D$210:$D$409,0)),"-"))</f>
        <v/>
      </c>
      <c r="C292" s="6" t="str">
        <f>IF(OR($H$287="",NOT(_xlfn.MAXIFS(SAISIE!$D$210:$D$409,SAISIE!$B$210:$B$409,"*Vent D/G*",SAISIE!$E$210:$E$409,$H$287)&gt;0)),"",IFERROR(_xlfn.MAXIFS(SAISIE!$D$210:$D$409,SAISIE!$B$210:$B$409,"*Vent D/G*",SAISIE!$E$210:$E$409,$H$287),"-"))</f>
        <v/>
      </c>
      <c r="D292" s="6" t="str">
        <f>IF($H$287="","",IF(OR(C292="",C292="-"),"",IF(C292&gt;0,"(soulevement)",IF(C292&lt;0,"(compression)","-"))))</f>
        <v/>
      </c>
    </row>
    <row r="293" spans="1:8" x14ac:dyDescent="0.25">
      <c r="A293" s="5" t="str">
        <f>IF(OR($H$287="",NOT(COUNTIFS(SAISIE!$B$210:$B$409,"*Vent Av./Arr.*",SAISIE!$E$210:$E$409,$H$287)&gt;0)),"","Vent Av./Arr.")</f>
        <v/>
      </c>
      <c r="B293" s="6" t="str">
        <f>IF(OR($H$287="",NOT(COUNTIFS(SAISIE!$B$210:$B$409,"*Vent Av./Arr.*",SAISIE!$E$210:$E$409,$H$287)&gt;0)),"",IFERROR(IF(_xlfn.MINIFS(SAISIE!$D$210:$D$409,SAISIE!$B$210:$B$409,"*Vent Av./Arr.*",SAISIE!$E$210:$E$409,$H$287)&gt;=0,_xlfn.MAXIFS(SAISIE!$C$210:$C$409,SAISIE!$B$210:$B$409,"*Vent Av./Arr.*",SAISIE!$E$210:$E$409,$H$287),INDEX(SAISIE!$C$210:$C$409,MATCH(_xlfn.MINIFS(SAISIE!$D$210:$D$409,SAISIE!$B$210:$B$409,"*Vent Av./Arr.*",SAISIE!$E$210:$E$409,$H$287),SAISIE!$D$210:$D$409,0))),"-"))</f>
        <v/>
      </c>
      <c r="C293" s="6" t="str">
        <f>IF(OR($H$287="",NOT(COUNTIFS(SAISIE!$B$210:$B$409,"*Vent Av./Arr.*",SAISIE!$E$210:$E$409,$H$287)&gt;0)),"",IFERROR(IF(_xlfn.MINIFS(SAISIE!$D$210:$D$409,SAISIE!$B$210:$B$409,"*Vent Av./Arr.*",SAISIE!$E$210:$E$409,$H$287)&gt;=0,0,_xlfn.MINIFS(SAISIE!$D$210:$D$409,SAISIE!$B$210:$B$409,"*Vent Av./Arr.*",SAISIE!$E$210:$E$409,$H$287)),"-"))</f>
        <v/>
      </c>
      <c r="D293" s="6" t="str">
        <f>IF($H$287="","",IF(OR(C293="",C293="-"),"",IF(C293&gt;0,"(soulevement)",IF(C293&lt;0,"(compression)","-"))))</f>
        <v/>
      </c>
    </row>
    <row r="294" spans="1:8" x14ac:dyDescent="0.25">
      <c r="A294" s="5" t="str">
        <f>IF(OR($H$287="",NOT(_xlfn.MAXIFS(SAISIE!$D$210:$D$409,SAISIE!$B$210:$B$409,"*Vent Av./Arr.*",SAISIE!$E$210:$E$409,$H$287)&gt;0)),"","Vent Av./Arr.")</f>
        <v/>
      </c>
      <c r="B294" s="6" t="str">
        <f>IF(OR($H$287="",NOT(_xlfn.MAXIFS(SAISIE!$D$210:$D$409,SAISIE!$B$210:$B$409,"*Vent Av./Arr.*",SAISIE!$E$210:$E$409,$H$287)&gt;0)),"",IFERROR(INDEX(SAISIE!$C$210:$C$409,MATCH(_xlfn.MAXIFS(SAISIE!$D$210:$D$409,SAISIE!$B$210:$B$409,"*Vent Av./Arr.*",SAISIE!$E$210:$E$409,$H$287),SAISIE!$D$210:$D$409,0)),"-"))</f>
        <v/>
      </c>
      <c r="C294" s="6" t="str">
        <f>IF(OR($H$287="",NOT(_xlfn.MAXIFS(SAISIE!$D$210:$D$409,SAISIE!$B$210:$B$409,"*Vent Av./Arr.*",SAISIE!$E$210:$E$409,$H$287)&gt;0)),"",IFERROR(_xlfn.MAXIFS(SAISIE!$D$210:$D$409,SAISIE!$B$210:$B$409,"*Vent Av./Arr.*",SAISIE!$E$210:$E$409,$H$287),"-"))</f>
        <v/>
      </c>
      <c r="D294" s="6" t="str">
        <f>IF($H$287="","",IF(OR(C294="",C294="-"),"",IF(C294&gt;0,"(soulevement)",IF(C294&lt;0,"(compression)","-"))))</f>
        <v/>
      </c>
    </row>
    <row r="295" spans="1:8" x14ac:dyDescent="0.25">
      <c r="A295" s="5" t="str">
        <f>IF(OR($H$287="",NOT(COUNTIFS(SAISIE!$B$210:$B$409,"*Vent Arr./Av.*",SAISIE!$E$210:$E$409,$H$287)&gt;0)),"","Vent Arr./Av.")</f>
        <v/>
      </c>
      <c r="B295" s="6" t="str">
        <f>IF(OR($H$287="",NOT(COUNTIFS(SAISIE!$B$210:$B$409,"*Vent Arr./Av.*",SAISIE!$E$210:$E$409,$H$287)&gt;0)),"",IFERROR(IF(_xlfn.MINIFS(SAISIE!$D$210:$D$409,SAISIE!$B$210:$B$409,"*Vent Arr./Av.*",SAISIE!$E$210:$E$409,$H$287)&gt;=0,_xlfn.MAXIFS(SAISIE!$C$210:$C$409,SAISIE!$B$210:$B$409,"*Vent Arr./Av.*",SAISIE!$E$210:$E$409,$H$287),INDEX(SAISIE!$C$210:$C$409,MATCH(_xlfn.MINIFS(SAISIE!$D$210:$D$409,SAISIE!$B$210:$B$409,"*Vent Arr./Av.*",SAISIE!$E$210:$E$409,$H$287),SAISIE!$D$210:$D$409,0))),"-"))</f>
        <v/>
      </c>
      <c r="C295" s="6" t="str">
        <f>IF(OR($H$287="",NOT(COUNTIFS(SAISIE!$B$210:$B$409,"*Vent Arr./Av.*",SAISIE!$E$210:$E$409,$H$287)&gt;0)),"",IFERROR(IF(_xlfn.MINIFS(SAISIE!$D$210:$D$409,SAISIE!$B$210:$B$409,"*Vent Arr./Av.*",SAISIE!$E$210:$E$409,$H$287)&gt;=0,0,_xlfn.MINIFS(SAISIE!$D$210:$D$409,SAISIE!$B$210:$B$409,"*Vent Arr./Av.*",SAISIE!$E$210:$E$409,$H$287)),"-"))</f>
        <v/>
      </c>
      <c r="D295" s="6" t="str">
        <f>IF($H$287="","",IF(OR(C295="",C295="-"),"",IF(C295&gt;0,"(soulevement)",IF(C295&lt;0,"(compression)","-"))))</f>
        <v/>
      </c>
    </row>
    <row r="296" spans="1:8" x14ac:dyDescent="0.25">
      <c r="A296" s="5" t="str">
        <f>IF(OR($H$287="",NOT(_xlfn.MAXIFS(SAISIE!$D$210:$D$409,SAISIE!$B$210:$B$409,"*Vent Arr./Av.*",SAISIE!$E$210:$E$409,$H$287)&gt;0)),"","Vent Arr./Av.")</f>
        <v/>
      </c>
      <c r="B296" s="6" t="str">
        <f>IF(OR($H$287="",NOT(_xlfn.MAXIFS(SAISIE!$D$210:$D$409,SAISIE!$B$210:$B$409,"*Vent Arr./Av.*",SAISIE!$E$210:$E$409,$H$287)&gt;0)),"",IFERROR(INDEX(SAISIE!$C$210:$C$409,MATCH(_xlfn.MAXIFS(SAISIE!$D$210:$D$409,SAISIE!$B$210:$B$409,"*Vent Arr./Av.*",SAISIE!$E$210:$E$409,$H$287),SAISIE!$D$210:$D$409,0)),"-"))</f>
        <v/>
      </c>
      <c r="C296" s="6" t="str">
        <f>IF(OR($H$287="",NOT(_xlfn.MAXIFS(SAISIE!$D$210:$D$409,SAISIE!$B$210:$B$409,"*Vent Arr./Av.*",SAISIE!$E$210:$E$409,$H$287)&gt;0)),"",IFERROR(_xlfn.MAXIFS(SAISIE!$D$210:$D$409,SAISIE!$B$210:$B$409,"*Vent Arr./Av.*",SAISIE!$E$210:$E$409,$H$287),"-"))</f>
        <v/>
      </c>
      <c r="D296" s="6" t="str">
        <f>IF($H$287="","",IF(OR(C296="",C296="-"),"",IF(C296&gt;0,"(soulevement)",IF(C296&lt;0,"(compression)","-"))))</f>
        <v/>
      </c>
    </row>
    <row r="297" spans="1:8" x14ac:dyDescent="0.25">
      <c r="A297" s="5" t="str">
        <f>IF(OR($H$287="",NOT(TRUE)),"","Neige normale")</f>
        <v/>
      </c>
      <c r="B297" s="6" t="str">
        <f>IF($H$287="","",IFERROR(INDEX(SAISIE!$C$210:$C$409,MATCH(_xlfn.MINIFS(SAISIE!$D$210:$D$409,SAISIE!$B$210:$B$409,"*Neige*",SAISIE!$B$210:$B$409,"&lt;&gt;*accidentel*",SAISIE!$E$210:$E$409,$H$287),SAISIE!$D$210:$D$409,0)),"-"))</f>
        <v/>
      </c>
      <c r="C297" s="6" t="str">
        <f>IF($H$287="","",IFERROR(INDEX(SAISIE!$D$210:$D$409,MATCH(_xlfn.MINIFS(SAISIE!$D$210:$D$409,SAISIE!$B$210:$B$409,"*Neige*",SAISIE!$B$210:$B$409,"&lt;&gt;*accidentel*",SAISIE!$E$210:$E$409,$H$287),SAISIE!$D$210:$D$409,0)),"-"))</f>
        <v/>
      </c>
      <c r="D297" s="6" t="str">
        <f>IF($H$287="","",IF(OR(C297="",C297="-"),"",IF(C297&gt;0,"(soulevement)",IF(C297&lt;0,"(compression)","-"))))</f>
        <v/>
      </c>
    </row>
    <row r="298" spans="1:8" x14ac:dyDescent="0.25">
      <c r="A298" s="5" t="str">
        <f>IF(OR($H$287="",NOT(TRUE)),"","Neige accidentelle")</f>
        <v/>
      </c>
      <c r="B298" s="6" t="str">
        <f>IF($H$287="","",IFERROR(LOOKUP(2,1/((SAISIE!$E$210:$E$409=$H$287)*(ISNUMBER(SEARCH("accidentel",SAISIE!$B$210:$B$409)))),SAISIE!$C$210:$C$409),"-"))</f>
        <v/>
      </c>
      <c r="C298" s="6" t="str">
        <f>IF($H$287="","",IFERROR(LOOKUP(2,1/((SAISIE!$E$210:$E$409=$H$287)*(ISNUMBER(SEARCH("accidentel",SAISIE!$B$210:$B$409)))),SAISIE!$D$210:$D$409),"-"))</f>
        <v/>
      </c>
      <c r="D298" s="6" t="str">
        <f>IF($H$287="","",IF(OR(C298="",C298="-"),"",IF(C298&gt;0,"(soulevement)",IF(C298&lt;0,"(compression)","-"))))</f>
        <v/>
      </c>
    </row>
    <row r="299" spans="1:8" ht="15.75" x14ac:dyDescent="0.25">
      <c r="A299" s="11" t="str">
        <f>IF($H$299="","","Noeud "&amp;$H$299)</f>
        <v/>
      </c>
      <c r="B299" s="12"/>
      <c r="C299" s="12"/>
      <c r="D299" s="12"/>
      <c r="H299" t="str">
        <f>IFERROR(INDEX(SAISIE!$E$210:$E$409,_xlfn.AGGREGATE(15,6,ROW(SAISIE!$E$210:$E$409)-ROW(SAISIE!$E$210)+1/(SAISIE!$E$210:$E$409&lt;&gt;"")/(COUNTIF($H$4:H298,SAISIE!$E$210:$E$409)=0),1)),"")</f>
        <v/>
      </c>
    </row>
    <row r="300" spans="1:8" x14ac:dyDescent="0.25">
      <c r="A300" s="5" t="str">
        <f>IF(OR($H$299="",NOT(TRUE)),"","Couverture")</f>
        <v/>
      </c>
      <c r="B300" s="6" t="str">
        <f>IF($H$299="","",IFERROR(IFERROR(LOOKUP(2,1/((SAISIE!$E$210:$E$409=$H$299)*(LEFT(SAISIE!$B$210:$B$409,2)="G ")),SAISIE!$C$210:$C$409),LOOKUP(2,1/((SAISIE!$E$210:$E$409=$H$299)*(ISNUMBER(SEARCH("Couverture",SAISIE!$B$210:$B$409)))),SAISIE!$C$210:$C$409)),"-"))</f>
        <v/>
      </c>
      <c r="C300" s="6" t="str">
        <f>IF($H$299="","",IFERROR(IFERROR(LOOKUP(2,1/((SAISIE!$E$210:$E$409=$H$299)*(LEFT(SAISIE!$B$210:$B$409,2)="G ")),SAISIE!$D$210:$D$409),LOOKUP(2,1/((SAISIE!$E$210:$E$409=$H$299)*(ISNUMBER(SEARCH("Couverture",SAISIE!$B$210:$B$409)))),SAISIE!$D$210:$D$409)),"-"))</f>
        <v/>
      </c>
      <c r="D300" s="6" t="str">
        <f>IF($H$299="","",IF(OR(C300="",C300="-"),"",IF(C300&gt;0,"(soulevement)",IF(C300&lt;0,"(compression)","-"))))</f>
        <v/>
      </c>
    </row>
    <row r="301" spans="1:8" x14ac:dyDescent="0.25">
      <c r="A301" s="5" t="str">
        <f>IF(OR($H$299="",NOT(COUNTIFS(SAISIE!$B$210:$B$409,"*Vent G/D*",SAISIE!$E$210:$E$409,$H$299)&gt;0)),"","Vent G/D")</f>
        <v/>
      </c>
      <c r="B301" s="6" t="str">
        <f>IF(OR($H$299="",NOT(COUNTIFS(SAISIE!$B$210:$B$409,"*Vent G/D*",SAISIE!$E$210:$E$409,$H$299)&gt;0)),"",IFERROR(IF(_xlfn.MINIFS(SAISIE!$D$210:$D$409,SAISIE!$B$210:$B$409,"*Vent G/D*",SAISIE!$E$210:$E$409,$H$299)&gt;=0,_xlfn.MAXIFS(SAISIE!$C$210:$C$409,SAISIE!$B$210:$B$409,"*Vent G/D*",SAISIE!$E$210:$E$409,$H$299),INDEX(SAISIE!$C$210:$C$409,MATCH(_xlfn.MINIFS(SAISIE!$D$210:$D$409,SAISIE!$B$210:$B$409,"*Vent G/D*",SAISIE!$E$210:$E$409,$H$299),SAISIE!$D$210:$D$409,0))),"-"))</f>
        <v/>
      </c>
      <c r="C301" s="6" t="str">
        <f>IF(OR($H$299="",NOT(COUNTIFS(SAISIE!$B$210:$B$409,"*Vent G/D*",SAISIE!$E$210:$E$409,$H$299)&gt;0)),"",IFERROR(IF(_xlfn.MINIFS(SAISIE!$D$210:$D$409,SAISIE!$B$210:$B$409,"*Vent G/D*",SAISIE!$E$210:$E$409,$H$299)&gt;=0,0,_xlfn.MINIFS(SAISIE!$D$210:$D$409,SAISIE!$B$210:$B$409,"*Vent G/D*",SAISIE!$E$210:$E$409,$H$299)),"-"))</f>
        <v/>
      </c>
      <c r="D301" s="6" t="str">
        <f>IF($H$299="","",IF(OR(C301="",C301="-"),"",IF(C301&gt;0,"(soulevement)",IF(C301&lt;0,"(compression)","-"))))</f>
        <v/>
      </c>
    </row>
    <row r="302" spans="1:8" x14ac:dyDescent="0.25">
      <c r="A302" s="5" t="str">
        <f>IF(OR($H$299="",NOT(_xlfn.MAXIFS(SAISIE!$D$210:$D$409,SAISIE!$B$210:$B$409,"*Vent G/D*",SAISIE!$E$210:$E$409,$H$299)&gt;0)),"","Vent G/D")</f>
        <v/>
      </c>
      <c r="B302" s="6" t="str">
        <f>IF(OR($H$299="",NOT(_xlfn.MAXIFS(SAISIE!$D$210:$D$409,SAISIE!$B$210:$B$409,"*Vent G/D*",SAISIE!$E$210:$E$409,$H$299)&gt;0)),"",IFERROR(INDEX(SAISIE!$C$210:$C$409,MATCH(_xlfn.MAXIFS(SAISIE!$D$210:$D$409,SAISIE!$B$210:$B$409,"*Vent G/D*",SAISIE!$E$210:$E$409,$H$299),SAISIE!$D$210:$D$409,0)),"-"))</f>
        <v/>
      </c>
      <c r="C302" s="6" t="str">
        <f>IF(OR($H$299="",NOT(_xlfn.MAXIFS(SAISIE!$D$210:$D$409,SAISIE!$B$210:$B$409,"*Vent G/D*",SAISIE!$E$210:$E$409,$H$299)&gt;0)),"",IFERROR(_xlfn.MAXIFS(SAISIE!$D$210:$D$409,SAISIE!$B$210:$B$409,"*Vent G/D*",SAISIE!$E$210:$E$409,$H$299),"-"))</f>
        <v/>
      </c>
      <c r="D302" s="6" t="str">
        <f>IF($H$299="","",IF(OR(C302="",C302="-"),"",IF(C302&gt;0,"(soulevement)",IF(C302&lt;0,"(compression)","-"))))</f>
        <v/>
      </c>
    </row>
    <row r="303" spans="1:8" x14ac:dyDescent="0.25">
      <c r="A303" s="5" t="str">
        <f>IF(OR($H$299="",NOT(COUNTIFS(SAISIE!$B$210:$B$409,"*Vent D/G*",SAISIE!$E$210:$E$409,$H$299)&gt;0)),"","Vent D/G")</f>
        <v/>
      </c>
      <c r="B303" s="6" t="str">
        <f>IF(OR($H$299="",NOT(COUNTIFS(SAISIE!$B$210:$B$409,"*Vent D/G*",SAISIE!$E$210:$E$409,$H$299)&gt;0)),"",IFERROR(IF(_xlfn.MINIFS(SAISIE!$D$210:$D$409,SAISIE!$B$210:$B$409,"*Vent D/G*",SAISIE!$E$210:$E$409,$H$299)&gt;=0,_xlfn.MAXIFS(SAISIE!$C$210:$C$409,SAISIE!$B$210:$B$409,"*Vent D/G*",SAISIE!$E$210:$E$409,$H$299),INDEX(SAISIE!$C$210:$C$409,MATCH(_xlfn.MINIFS(SAISIE!$D$210:$D$409,SAISIE!$B$210:$B$409,"*Vent D/G*",SAISIE!$E$210:$E$409,$H$299),SAISIE!$D$210:$D$409,0))),"-"))</f>
        <v/>
      </c>
      <c r="C303" s="6" t="str">
        <f>IF(OR($H$299="",NOT(COUNTIFS(SAISIE!$B$210:$B$409,"*Vent D/G*",SAISIE!$E$210:$E$409,$H$299)&gt;0)),"",IFERROR(IF(_xlfn.MINIFS(SAISIE!$D$210:$D$409,SAISIE!$B$210:$B$409,"*Vent D/G*",SAISIE!$E$210:$E$409,$H$299)&gt;=0,0,_xlfn.MINIFS(SAISIE!$D$210:$D$409,SAISIE!$B$210:$B$409,"*Vent D/G*",SAISIE!$E$210:$E$409,$H$299)),"-"))</f>
        <v/>
      </c>
      <c r="D303" s="6" t="str">
        <f>IF($H$299="","",IF(OR(C303="",C303="-"),"",IF(C303&gt;0,"(soulevement)",IF(C303&lt;0,"(compression)","-"))))</f>
        <v/>
      </c>
    </row>
    <row r="304" spans="1:8" x14ac:dyDescent="0.25">
      <c r="A304" s="5" t="str">
        <f>IF(OR($H$299="",NOT(_xlfn.MAXIFS(SAISIE!$D$210:$D$409,SAISIE!$B$210:$B$409,"*Vent D/G*",SAISIE!$E$210:$E$409,$H$299)&gt;0)),"","Vent D/G")</f>
        <v/>
      </c>
      <c r="B304" s="6" t="str">
        <f>IF(OR($H$299="",NOT(_xlfn.MAXIFS(SAISIE!$D$210:$D$409,SAISIE!$B$210:$B$409,"*Vent D/G*",SAISIE!$E$210:$E$409,$H$299)&gt;0)),"",IFERROR(INDEX(SAISIE!$C$210:$C$409,MATCH(_xlfn.MAXIFS(SAISIE!$D$210:$D$409,SAISIE!$B$210:$B$409,"*Vent D/G*",SAISIE!$E$210:$E$409,$H$299),SAISIE!$D$210:$D$409,0)),"-"))</f>
        <v/>
      </c>
      <c r="C304" s="6" t="str">
        <f>IF(OR($H$299="",NOT(_xlfn.MAXIFS(SAISIE!$D$210:$D$409,SAISIE!$B$210:$B$409,"*Vent D/G*",SAISIE!$E$210:$E$409,$H$299)&gt;0)),"",IFERROR(_xlfn.MAXIFS(SAISIE!$D$210:$D$409,SAISIE!$B$210:$B$409,"*Vent D/G*",SAISIE!$E$210:$E$409,$H$299),"-"))</f>
        <v/>
      </c>
      <c r="D304" s="6" t="str">
        <f>IF($H$299="","",IF(OR(C304="",C304="-"),"",IF(C304&gt;0,"(soulevement)",IF(C304&lt;0,"(compression)","-"))))</f>
        <v/>
      </c>
    </row>
    <row r="305" spans="1:8" x14ac:dyDescent="0.25">
      <c r="A305" s="5" t="str">
        <f>IF(OR($H$299="",NOT(COUNTIFS(SAISIE!$B$210:$B$409,"*Vent Av./Arr.*",SAISIE!$E$210:$E$409,$H$299)&gt;0)),"","Vent Av./Arr.")</f>
        <v/>
      </c>
      <c r="B305" s="6" t="str">
        <f>IF(OR($H$299="",NOT(COUNTIFS(SAISIE!$B$210:$B$409,"*Vent Av./Arr.*",SAISIE!$E$210:$E$409,$H$299)&gt;0)),"",IFERROR(IF(_xlfn.MINIFS(SAISIE!$D$210:$D$409,SAISIE!$B$210:$B$409,"*Vent Av./Arr.*",SAISIE!$E$210:$E$409,$H$299)&gt;=0,_xlfn.MAXIFS(SAISIE!$C$210:$C$409,SAISIE!$B$210:$B$409,"*Vent Av./Arr.*",SAISIE!$E$210:$E$409,$H$299),INDEX(SAISIE!$C$210:$C$409,MATCH(_xlfn.MINIFS(SAISIE!$D$210:$D$409,SAISIE!$B$210:$B$409,"*Vent Av./Arr.*",SAISIE!$E$210:$E$409,$H$299),SAISIE!$D$210:$D$409,0))),"-"))</f>
        <v/>
      </c>
      <c r="C305" s="6" t="str">
        <f>IF(OR($H$299="",NOT(COUNTIFS(SAISIE!$B$210:$B$409,"*Vent Av./Arr.*",SAISIE!$E$210:$E$409,$H$299)&gt;0)),"",IFERROR(IF(_xlfn.MINIFS(SAISIE!$D$210:$D$409,SAISIE!$B$210:$B$409,"*Vent Av./Arr.*",SAISIE!$E$210:$E$409,$H$299)&gt;=0,0,_xlfn.MINIFS(SAISIE!$D$210:$D$409,SAISIE!$B$210:$B$409,"*Vent Av./Arr.*",SAISIE!$E$210:$E$409,$H$299)),"-"))</f>
        <v/>
      </c>
      <c r="D305" s="6" t="str">
        <f>IF($H$299="","",IF(OR(C305="",C305="-"),"",IF(C305&gt;0,"(soulevement)",IF(C305&lt;0,"(compression)","-"))))</f>
        <v/>
      </c>
    </row>
    <row r="306" spans="1:8" x14ac:dyDescent="0.25">
      <c r="A306" s="5" t="str">
        <f>IF(OR($H$299="",NOT(_xlfn.MAXIFS(SAISIE!$D$210:$D$409,SAISIE!$B$210:$B$409,"*Vent Av./Arr.*",SAISIE!$E$210:$E$409,$H$299)&gt;0)),"","Vent Av./Arr.")</f>
        <v/>
      </c>
      <c r="B306" s="6" t="str">
        <f>IF(OR($H$299="",NOT(_xlfn.MAXIFS(SAISIE!$D$210:$D$409,SAISIE!$B$210:$B$409,"*Vent Av./Arr.*",SAISIE!$E$210:$E$409,$H$299)&gt;0)),"",IFERROR(INDEX(SAISIE!$C$210:$C$409,MATCH(_xlfn.MAXIFS(SAISIE!$D$210:$D$409,SAISIE!$B$210:$B$409,"*Vent Av./Arr.*",SAISIE!$E$210:$E$409,$H$299),SAISIE!$D$210:$D$409,0)),"-"))</f>
        <v/>
      </c>
      <c r="C306" s="6" t="str">
        <f>IF(OR($H$299="",NOT(_xlfn.MAXIFS(SAISIE!$D$210:$D$409,SAISIE!$B$210:$B$409,"*Vent Av./Arr.*",SAISIE!$E$210:$E$409,$H$299)&gt;0)),"",IFERROR(_xlfn.MAXIFS(SAISIE!$D$210:$D$409,SAISIE!$B$210:$B$409,"*Vent Av./Arr.*",SAISIE!$E$210:$E$409,$H$299),"-"))</f>
        <v/>
      </c>
      <c r="D306" s="6" t="str">
        <f>IF($H$299="","",IF(OR(C306="",C306="-"),"",IF(C306&gt;0,"(soulevement)",IF(C306&lt;0,"(compression)","-"))))</f>
        <v/>
      </c>
    </row>
    <row r="307" spans="1:8" x14ac:dyDescent="0.25">
      <c r="A307" s="5" t="str">
        <f>IF(OR($H$299="",NOT(COUNTIFS(SAISIE!$B$210:$B$409,"*Vent Arr./Av.*",SAISIE!$E$210:$E$409,$H$299)&gt;0)),"","Vent Arr./Av.")</f>
        <v/>
      </c>
      <c r="B307" s="6" t="str">
        <f>IF(OR($H$299="",NOT(COUNTIFS(SAISIE!$B$210:$B$409,"*Vent Arr./Av.*",SAISIE!$E$210:$E$409,$H$299)&gt;0)),"",IFERROR(IF(_xlfn.MINIFS(SAISIE!$D$210:$D$409,SAISIE!$B$210:$B$409,"*Vent Arr./Av.*",SAISIE!$E$210:$E$409,$H$299)&gt;=0,_xlfn.MAXIFS(SAISIE!$C$210:$C$409,SAISIE!$B$210:$B$409,"*Vent Arr./Av.*",SAISIE!$E$210:$E$409,$H$299),INDEX(SAISIE!$C$210:$C$409,MATCH(_xlfn.MINIFS(SAISIE!$D$210:$D$409,SAISIE!$B$210:$B$409,"*Vent Arr./Av.*",SAISIE!$E$210:$E$409,$H$299),SAISIE!$D$210:$D$409,0))),"-"))</f>
        <v/>
      </c>
      <c r="C307" s="6" t="str">
        <f>IF(OR($H$299="",NOT(COUNTIFS(SAISIE!$B$210:$B$409,"*Vent Arr./Av.*",SAISIE!$E$210:$E$409,$H$299)&gt;0)),"",IFERROR(IF(_xlfn.MINIFS(SAISIE!$D$210:$D$409,SAISIE!$B$210:$B$409,"*Vent Arr./Av.*",SAISIE!$E$210:$E$409,$H$299)&gt;=0,0,_xlfn.MINIFS(SAISIE!$D$210:$D$409,SAISIE!$B$210:$B$409,"*Vent Arr./Av.*",SAISIE!$E$210:$E$409,$H$299)),"-"))</f>
        <v/>
      </c>
      <c r="D307" s="6" t="str">
        <f>IF($H$299="","",IF(OR(C307="",C307="-"),"",IF(C307&gt;0,"(soulevement)",IF(C307&lt;0,"(compression)","-"))))</f>
        <v/>
      </c>
    </row>
    <row r="308" spans="1:8" x14ac:dyDescent="0.25">
      <c r="A308" s="5" t="str">
        <f>IF(OR($H$299="",NOT(_xlfn.MAXIFS(SAISIE!$D$210:$D$409,SAISIE!$B$210:$B$409,"*Vent Arr./Av.*",SAISIE!$E$210:$E$409,$H$299)&gt;0)),"","Vent Arr./Av.")</f>
        <v/>
      </c>
      <c r="B308" s="6" t="str">
        <f>IF(OR($H$299="",NOT(_xlfn.MAXIFS(SAISIE!$D$210:$D$409,SAISIE!$B$210:$B$409,"*Vent Arr./Av.*",SAISIE!$E$210:$E$409,$H$299)&gt;0)),"",IFERROR(INDEX(SAISIE!$C$210:$C$409,MATCH(_xlfn.MAXIFS(SAISIE!$D$210:$D$409,SAISIE!$B$210:$B$409,"*Vent Arr./Av.*",SAISIE!$E$210:$E$409,$H$299),SAISIE!$D$210:$D$409,0)),"-"))</f>
        <v/>
      </c>
      <c r="C308" s="6" t="str">
        <f>IF(OR($H$299="",NOT(_xlfn.MAXIFS(SAISIE!$D$210:$D$409,SAISIE!$B$210:$B$409,"*Vent Arr./Av.*",SAISIE!$E$210:$E$409,$H$299)&gt;0)),"",IFERROR(_xlfn.MAXIFS(SAISIE!$D$210:$D$409,SAISIE!$B$210:$B$409,"*Vent Arr./Av.*",SAISIE!$E$210:$E$409,$H$299),"-"))</f>
        <v/>
      </c>
      <c r="D308" s="6" t="str">
        <f>IF($H$299="","",IF(OR(C308="",C308="-"),"",IF(C308&gt;0,"(soulevement)",IF(C308&lt;0,"(compression)","-"))))</f>
        <v/>
      </c>
    </row>
    <row r="309" spans="1:8" x14ac:dyDescent="0.25">
      <c r="A309" s="5" t="str">
        <f>IF(OR($H$299="",NOT(TRUE)),"","Neige normale")</f>
        <v/>
      </c>
      <c r="B309" s="6" t="str">
        <f>IF($H$299="","",IFERROR(INDEX(SAISIE!$C$210:$C$409,MATCH(_xlfn.MINIFS(SAISIE!$D$210:$D$409,SAISIE!$B$210:$B$409,"*Neige*",SAISIE!$B$210:$B$409,"&lt;&gt;*accidentel*",SAISIE!$E$210:$E$409,$H$299),SAISIE!$D$210:$D$409,0)),"-"))</f>
        <v/>
      </c>
      <c r="C309" s="6" t="str">
        <f>IF($H$299="","",IFERROR(INDEX(SAISIE!$D$210:$D$409,MATCH(_xlfn.MINIFS(SAISIE!$D$210:$D$409,SAISIE!$B$210:$B$409,"*Neige*",SAISIE!$B$210:$B$409,"&lt;&gt;*accidentel*",SAISIE!$E$210:$E$409,$H$299),SAISIE!$D$210:$D$409,0)),"-"))</f>
        <v/>
      </c>
      <c r="D309" s="6" t="str">
        <f>IF($H$299="","",IF(OR(C309="",C309="-"),"",IF(C309&gt;0,"(soulevement)",IF(C309&lt;0,"(compression)","-"))))</f>
        <v/>
      </c>
    </row>
    <row r="310" spans="1:8" x14ac:dyDescent="0.25">
      <c r="A310" s="5" t="str">
        <f>IF(OR($H$299="",NOT(TRUE)),"","Neige accidentelle")</f>
        <v/>
      </c>
      <c r="B310" s="6" t="str">
        <f>IF($H$299="","",IFERROR(LOOKUP(2,1/((SAISIE!$E$210:$E$409=$H$299)*(ISNUMBER(SEARCH("accidentel",SAISIE!$B$210:$B$409)))),SAISIE!$C$210:$C$409),"-"))</f>
        <v/>
      </c>
      <c r="C310" s="6" t="str">
        <f>IF($H$299="","",IFERROR(LOOKUP(2,1/((SAISIE!$E$210:$E$409=$H$299)*(ISNUMBER(SEARCH("accidentel",SAISIE!$B$210:$B$409)))),SAISIE!$D$210:$D$409),"-"))</f>
        <v/>
      </c>
      <c r="D310" s="6" t="str">
        <f>IF($H$299="","",IF(OR(C310="",C310="-"),"",IF(C310&gt;0,"(soulevement)",IF(C310&lt;0,"(compression)","-"))))</f>
        <v/>
      </c>
    </row>
    <row r="311" spans="1:8" ht="15.75" x14ac:dyDescent="0.25">
      <c r="A311" s="11" t="str">
        <f>IF($H$311="","","Noeud "&amp;$H$311)</f>
        <v/>
      </c>
      <c r="B311" s="12"/>
      <c r="C311" s="12"/>
      <c r="D311" s="12"/>
      <c r="H311" t="str">
        <f>IFERROR(INDEX(SAISIE!$E$210:$E$409,_xlfn.AGGREGATE(15,6,ROW(SAISIE!$E$210:$E$409)-ROW(SAISIE!$E$210)+1/(SAISIE!$E$210:$E$409&lt;&gt;"")/(COUNTIF($H$4:H310,SAISIE!$E$210:$E$409)=0),1)),"")</f>
        <v/>
      </c>
    </row>
    <row r="312" spans="1:8" x14ac:dyDescent="0.25">
      <c r="A312" s="5" t="str">
        <f>IF(OR($H$311="",NOT(TRUE)),"","Couverture")</f>
        <v/>
      </c>
      <c r="B312" s="6" t="str">
        <f>IF($H$311="","",IFERROR(IFERROR(LOOKUP(2,1/((SAISIE!$E$210:$E$409=$H$311)*(LEFT(SAISIE!$B$210:$B$409,2)="G ")),SAISIE!$C$210:$C$409),LOOKUP(2,1/((SAISIE!$E$210:$E$409=$H$311)*(ISNUMBER(SEARCH("Couverture",SAISIE!$B$210:$B$409)))),SAISIE!$C$210:$C$409)),"-"))</f>
        <v/>
      </c>
      <c r="C312" s="6" t="str">
        <f>IF($H$311="","",IFERROR(IFERROR(LOOKUP(2,1/((SAISIE!$E$210:$E$409=$H$311)*(LEFT(SAISIE!$B$210:$B$409,2)="G ")),SAISIE!$D$210:$D$409),LOOKUP(2,1/((SAISIE!$E$210:$E$409=$H$311)*(ISNUMBER(SEARCH("Couverture",SAISIE!$B$210:$B$409)))),SAISIE!$D$210:$D$409)),"-"))</f>
        <v/>
      </c>
      <c r="D312" s="6" t="str">
        <f>IF($H$311="","",IF(OR(C312="",C312="-"),"",IF(C312&gt;0,"(soulevement)",IF(C312&lt;0,"(compression)","-"))))</f>
        <v/>
      </c>
    </row>
    <row r="313" spans="1:8" x14ac:dyDescent="0.25">
      <c r="A313" s="5" t="str">
        <f>IF(OR($H$311="",NOT(COUNTIFS(SAISIE!$B$210:$B$409,"*Vent G/D*",SAISIE!$E$210:$E$409,$H$311)&gt;0)),"","Vent G/D")</f>
        <v/>
      </c>
      <c r="B313" s="6" t="str">
        <f>IF(OR($H$311="",NOT(COUNTIFS(SAISIE!$B$210:$B$409,"*Vent G/D*",SAISIE!$E$210:$E$409,$H$311)&gt;0)),"",IFERROR(IF(_xlfn.MINIFS(SAISIE!$D$210:$D$409,SAISIE!$B$210:$B$409,"*Vent G/D*",SAISIE!$E$210:$E$409,$H$311)&gt;=0,_xlfn.MAXIFS(SAISIE!$C$210:$C$409,SAISIE!$B$210:$B$409,"*Vent G/D*",SAISIE!$E$210:$E$409,$H$311),INDEX(SAISIE!$C$210:$C$409,MATCH(_xlfn.MINIFS(SAISIE!$D$210:$D$409,SAISIE!$B$210:$B$409,"*Vent G/D*",SAISIE!$E$210:$E$409,$H$311),SAISIE!$D$210:$D$409,0))),"-"))</f>
        <v/>
      </c>
      <c r="C313" s="6" t="str">
        <f>IF(OR($H$311="",NOT(COUNTIFS(SAISIE!$B$210:$B$409,"*Vent G/D*",SAISIE!$E$210:$E$409,$H$311)&gt;0)),"",IFERROR(IF(_xlfn.MINIFS(SAISIE!$D$210:$D$409,SAISIE!$B$210:$B$409,"*Vent G/D*",SAISIE!$E$210:$E$409,$H$311)&gt;=0,0,_xlfn.MINIFS(SAISIE!$D$210:$D$409,SAISIE!$B$210:$B$409,"*Vent G/D*",SAISIE!$E$210:$E$409,$H$311)),"-"))</f>
        <v/>
      </c>
      <c r="D313" s="6" t="str">
        <f>IF($H$311="","",IF(OR(C313="",C313="-"),"",IF(C313&gt;0,"(soulevement)",IF(C313&lt;0,"(compression)","-"))))</f>
        <v/>
      </c>
    </row>
    <row r="314" spans="1:8" x14ac:dyDescent="0.25">
      <c r="A314" s="5" t="str">
        <f>IF(OR($H$311="",NOT(_xlfn.MAXIFS(SAISIE!$D$210:$D$409,SAISIE!$B$210:$B$409,"*Vent G/D*",SAISIE!$E$210:$E$409,$H$311)&gt;0)),"","Vent G/D")</f>
        <v/>
      </c>
      <c r="B314" s="6" t="str">
        <f>IF(OR($H$311="",NOT(_xlfn.MAXIFS(SAISIE!$D$210:$D$409,SAISIE!$B$210:$B$409,"*Vent G/D*",SAISIE!$E$210:$E$409,$H$311)&gt;0)),"",IFERROR(INDEX(SAISIE!$C$210:$C$409,MATCH(_xlfn.MAXIFS(SAISIE!$D$210:$D$409,SAISIE!$B$210:$B$409,"*Vent G/D*",SAISIE!$E$210:$E$409,$H$311),SAISIE!$D$210:$D$409,0)),"-"))</f>
        <v/>
      </c>
      <c r="C314" s="6" t="str">
        <f>IF(OR($H$311="",NOT(_xlfn.MAXIFS(SAISIE!$D$210:$D$409,SAISIE!$B$210:$B$409,"*Vent G/D*",SAISIE!$E$210:$E$409,$H$311)&gt;0)),"",IFERROR(_xlfn.MAXIFS(SAISIE!$D$210:$D$409,SAISIE!$B$210:$B$409,"*Vent G/D*",SAISIE!$E$210:$E$409,$H$311),"-"))</f>
        <v/>
      </c>
      <c r="D314" s="6" t="str">
        <f>IF($H$311="","",IF(OR(C314="",C314="-"),"",IF(C314&gt;0,"(soulevement)",IF(C314&lt;0,"(compression)","-"))))</f>
        <v/>
      </c>
    </row>
    <row r="315" spans="1:8" x14ac:dyDescent="0.25">
      <c r="A315" s="5" t="str">
        <f>IF(OR($H$311="",NOT(COUNTIFS(SAISIE!$B$210:$B$409,"*Vent D/G*",SAISIE!$E$210:$E$409,$H$311)&gt;0)),"","Vent D/G")</f>
        <v/>
      </c>
      <c r="B315" s="6" t="str">
        <f>IF(OR($H$311="",NOT(COUNTIFS(SAISIE!$B$210:$B$409,"*Vent D/G*",SAISIE!$E$210:$E$409,$H$311)&gt;0)),"",IFERROR(IF(_xlfn.MINIFS(SAISIE!$D$210:$D$409,SAISIE!$B$210:$B$409,"*Vent D/G*",SAISIE!$E$210:$E$409,$H$311)&gt;=0,_xlfn.MAXIFS(SAISIE!$C$210:$C$409,SAISIE!$B$210:$B$409,"*Vent D/G*",SAISIE!$E$210:$E$409,$H$311),INDEX(SAISIE!$C$210:$C$409,MATCH(_xlfn.MINIFS(SAISIE!$D$210:$D$409,SAISIE!$B$210:$B$409,"*Vent D/G*",SAISIE!$E$210:$E$409,$H$311),SAISIE!$D$210:$D$409,0))),"-"))</f>
        <v/>
      </c>
      <c r="C315" s="6" t="str">
        <f>IF(OR($H$311="",NOT(COUNTIFS(SAISIE!$B$210:$B$409,"*Vent D/G*",SAISIE!$E$210:$E$409,$H$311)&gt;0)),"",IFERROR(IF(_xlfn.MINIFS(SAISIE!$D$210:$D$409,SAISIE!$B$210:$B$409,"*Vent D/G*",SAISIE!$E$210:$E$409,$H$311)&gt;=0,0,_xlfn.MINIFS(SAISIE!$D$210:$D$409,SAISIE!$B$210:$B$409,"*Vent D/G*",SAISIE!$E$210:$E$409,$H$311)),"-"))</f>
        <v/>
      </c>
      <c r="D315" s="6" t="str">
        <f>IF($H$311="","",IF(OR(C315="",C315="-"),"",IF(C315&gt;0,"(soulevement)",IF(C315&lt;0,"(compression)","-"))))</f>
        <v/>
      </c>
    </row>
    <row r="316" spans="1:8" x14ac:dyDescent="0.25">
      <c r="A316" s="5" t="str">
        <f>IF(OR($H$311="",NOT(_xlfn.MAXIFS(SAISIE!$D$210:$D$409,SAISIE!$B$210:$B$409,"*Vent D/G*",SAISIE!$E$210:$E$409,$H$311)&gt;0)),"","Vent D/G")</f>
        <v/>
      </c>
      <c r="B316" s="6" t="str">
        <f>IF(OR($H$311="",NOT(_xlfn.MAXIFS(SAISIE!$D$210:$D$409,SAISIE!$B$210:$B$409,"*Vent D/G*",SAISIE!$E$210:$E$409,$H$311)&gt;0)),"",IFERROR(INDEX(SAISIE!$C$210:$C$409,MATCH(_xlfn.MAXIFS(SAISIE!$D$210:$D$409,SAISIE!$B$210:$B$409,"*Vent D/G*",SAISIE!$E$210:$E$409,$H$311),SAISIE!$D$210:$D$409,0)),"-"))</f>
        <v/>
      </c>
      <c r="C316" s="6" t="str">
        <f>IF(OR($H$311="",NOT(_xlfn.MAXIFS(SAISIE!$D$210:$D$409,SAISIE!$B$210:$B$409,"*Vent D/G*",SAISIE!$E$210:$E$409,$H$311)&gt;0)),"",IFERROR(_xlfn.MAXIFS(SAISIE!$D$210:$D$409,SAISIE!$B$210:$B$409,"*Vent D/G*",SAISIE!$E$210:$E$409,$H$311),"-"))</f>
        <v/>
      </c>
      <c r="D316" s="6" t="str">
        <f>IF($H$311="","",IF(OR(C316="",C316="-"),"",IF(C316&gt;0,"(soulevement)",IF(C316&lt;0,"(compression)","-"))))</f>
        <v/>
      </c>
    </row>
    <row r="317" spans="1:8" x14ac:dyDescent="0.25">
      <c r="A317" s="5" t="str">
        <f>IF(OR($H$311="",NOT(COUNTIFS(SAISIE!$B$210:$B$409,"*Vent Av./Arr.*",SAISIE!$E$210:$E$409,$H$311)&gt;0)),"","Vent Av./Arr.")</f>
        <v/>
      </c>
      <c r="B317" s="6" t="str">
        <f>IF(OR($H$311="",NOT(COUNTIFS(SAISIE!$B$210:$B$409,"*Vent Av./Arr.*",SAISIE!$E$210:$E$409,$H$311)&gt;0)),"",IFERROR(IF(_xlfn.MINIFS(SAISIE!$D$210:$D$409,SAISIE!$B$210:$B$409,"*Vent Av./Arr.*",SAISIE!$E$210:$E$409,$H$311)&gt;=0,_xlfn.MAXIFS(SAISIE!$C$210:$C$409,SAISIE!$B$210:$B$409,"*Vent Av./Arr.*",SAISIE!$E$210:$E$409,$H$311),INDEX(SAISIE!$C$210:$C$409,MATCH(_xlfn.MINIFS(SAISIE!$D$210:$D$409,SAISIE!$B$210:$B$409,"*Vent Av./Arr.*",SAISIE!$E$210:$E$409,$H$311),SAISIE!$D$210:$D$409,0))),"-"))</f>
        <v/>
      </c>
      <c r="C317" s="6" t="str">
        <f>IF(OR($H$311="",NOT(COUNTIFS(SAISIE!$B$210:$B$409,"*Vent Av./Arr.*",SAISIE!$E$210:$E$409,$H$311)&gt;0)),"",IFERROR(IF(_xlfn.MINIFS(SAISIE!$D$210:$D$409,SAISIE!$B$210:$B$409,"*Vent Av./Arr.*",SAISIE!$E$210:$E$409,$H$311)&gt;=0,0,_xlfn.MINIFS(SAISIE!$D$210:$D$409,SAISIE!$B$210:$B$409,"*Vent Av./Arr.*",SAISIE!$E$210:$E$409,$H$311)),"-"))</f>
        <v/>
      </c>
      <c r="D317" s="6" t="str">
        <f>IF($H$311="","",IF(OR(C317="",C317="-"),"",IF(C317&gt;0,"(soulevement)",IF(C317&lt;0,"(compression)","-"))))</f>
        <v/>
      </c>
    </row>
    <row r="318" spans="1:8" x14ac:dyDescent="0.25">
      <c r="A318" s="5" t="str">
        <f>IF(OR($H$311="",NOT(_xlfn.MAXIFS(SAISIE!$D$210:$D$409,SAISIE!$B$210:$B$409,"*Vent Av./Arr.*",SAISIE!$E$210:$E$409,$H$311)&gt;0)),"","Vent Av./Arr.")</f>
        <v/>
      </c>
      <c r="B318" s="6" t="str">
        <f>IF(OR($H$311="",NOT(_xlfn.MAXIFS(SAISIE!$D$210:$D$409,SAISIE!$B$210:$B$409,"*Vent Av./Arr.*",SAISIE!$E$210:$E$409,$H$311)&gt;0)),"",IFERROR(INDEX(SAISIE!$C$210:$C$409,MATCH(_xlfn.MAXIFS(SAISIE!$D$210:$D$409,SAISIE!$B$210:$B$409,"*Vent Av./Arr.*",SAISIE!$E$210:$E$409,$H$311),SAISIE!$D$210:$D$409,0)),"-"))</f>
        <v/>
      </c>
      <c r="C318" s="6" t="str">
        <f>IF(OR($H$311="",NOT(_xlfn.MAXIFS(SAISIE!$D$210:$D$409,SAISIE!$B$210:$B$409,"*Vent Av./Arr.*",SAISIE!$E$210:$E$409,$H$311)&gt;0)),"",IFERROR(_xlfn.MAXIFS(SAISIE!$D$210:$D$409,SAISIE!$B$210:$B$409,"*Vent Av./Arr.*",SAISIE!$E$210:$E$409,$H$311),"-"))</f>
        <v/>
      </c>
      <c r="D318" s="6" t="str">
        <f>IF($H$311="","",IF(OR(C318="",C318="-"),"",IF(C318&gt;0,"(soulevement)",IF(C318&lt;0,"(compression)","-"))))</f>
        <v/>
      </c>
    </row>
    <row r="319" spans="1:8" x14ac:dyDescent="0.25">
      <c r="A319" s="5" t="str">
        <f>IF(OR($H$311="",NOT(COUNTIFS(SAISIE!$B$210:$B$409,"*Vent Arr./Av.*",SAISIE!$E$210:$E$409,$H$311)&gt;0)),"","Vent Arr./Av.")</f>
        <v/>
      </c>
      <c r="B319" s="6" t="str">
        <f>IF(OR($H$311="",NOT(COUNTIFS(SAISIE!$B$210:$B$409,"*Vent Arr./Av.*",SAISIE!$E$210:$E$409,$H$311)&gt;0)),"",IFERROR(IF(_xlfn.MINIFS(SAISIE!$D$210:$D$409,SAISIE!$B$210:$B$409,"*Vent Arr./Av.*",SAISIE!$E$210:$E$409,$H$311)&gt;=0,_xlfn.MAXIFS(SAISIE!$C$210:$C$409,SAISIE!$B$210:$B$409,"*Vent Arr./Av.*",SAISIE!$E$210:$E$409,$H$311),INDEX(SAISIE!$C$210:$C$409,MATCH(_xlfn.MINIFS(SAISIE!$D$210:$D$409,SAISIE!$B$210:$B$409,"*Vent Arr./Av.*",SAISIE!$E$210:$E$409,$H$311),SAISIE!$D$210:$D$409,0))),"-"))</f>
        <v/>
      </c>
      <c r="C319" s="6" t="str">
        <f>IF(OR($H$311="",NOT(COUNTIFS(SAISIE!$B$210:$B$409,"*Vent Arr./Av.*",SAISIE!$E$210:$E$409,$H$311)&gt;0)),"",IFERROR(IF(_xlfn.MINIFS(SAISIE!$D$210:$D$409,SAISIE!$B$210:$B$409,"*Vent Arr./Av.*",SAISIE!$E$210:$E$409,$H$311)&gt;=0,0,_xlfn.MINIFS(SAISIE!$D$210:$D$409,SAISIE!$B$210:$B$409,"*Vent Arr./Av.*",SAISIE!$E$210:$E$409,$H$311)),"-"))</f>
        <v/>
      </c>
      <c r="D319" s="6" t="str">
        <f>IF($H$311="","",IF(OR(C319="",C319="-"),"",IF(C319&gt;0,"(soulevement)",IF(C319&lt;0,"(compression)","-"))))</f>
        <v/>
      </c>
    </row>
    <row r="320" spans="1:8" x14ac:dyDescent="0.25">
      <c r="A320" s="5" t="str">
        <f>IF(OR($H$311="",NOT(_xlfn.MAXIFS(SAISIE!$D$210:$D$409,SAISIE!$B$210:$B$409,"*Vent Arr./Av.*",SAISIE!$E$210:$E$409,$H$311)&gt;0)),"","Vent Arr./Av.")</f>
        <v/>
      </c>
      <c r="B320" s="6" t="str">
        <f>IF(OR($H$311="",NOT(_xlfn.MAXIFS(SAISIE!$D$210:$D$409,SAISIE!$B$210:$B$409,"*Vent Arr./Av.*",SAISIE!$E$210:$E$409,$H$311)&gt;0)),"",IFERROR(INDEX(SAISIE!$C$210:$C$409,MATCH(_xlfn.MAXIFS(SAISIE!$D$210:$D$409,SAISIE!$B$210:$B$409,"*Vent Arr./Av.*",SAISIE!$E$210:$E$409,$H$311),SAISIE!$D$210:$D$409,0)),"-"))</f>
        <v/>
      </c>
      <c r="C320" s="6" t="str">
        <f>IF(OR($H$311="",NOT(_xlfn.MAXIFS(SAISIE!$D$210:$D$409,SAISIE!$B$210:$B$409,"*Vent Arr./Av.*",SAISIE!$E$210:$E$409,$H$311)&gt;0)),"",IFERROR(_xlfn.MAXIFS(SAISIE!$D$210:$D$409,SAISIE!$B$210:$B$409,"*Vent Arr./Av.*",SAISIE!$E$210:$E$409,$H$311),"-"))</f>
        <v/>
      </c>
      <c r="D320" s="6" t="str">
        <f>IF($H$311="","",IF(OR(C320="",C320="-"),"",IF(C320&gt;0,"(soulevement)",IF(C320&lt;0,"(compression)","-"))))</f>
        <v/>
      </c>
    </row>
    <row r="321" spans="1:8" x14ac:dyDescent="0.25">
      <c r="A321" s="5" t="str">
        <f>IF(OR($H$311="",NOT(TRUE)),"","Neige normale")</f>
        <v/>
      </c>
      <c r="B321" s="6" t="str">
        <f>IF($H$311="","",IFERROR(INDEX(SAISIE!$C$210:$C$409,MATCH(_xlfn.MINIFS(SAISIE!$D$210:$D$409,SAISIE!$B$210:$B$409,"*Neige*",SAISIE!$B$210:$B$409,"&lt;&gt;*accidentel*",SAISIE!$E$210:$E$409,$H$311),SAISIE!$D$210:$D$409,0)),"-"))</f>
        <v/>
      </c>
      <c r="C321" s="6" t="str">
        <f>IF($H$311="","",IFERROR(INDEX(SAISIE!$D$210:$D$409,MATCH(_xlfn.MINIFS(SAISIE!$D$210:$D$409,SAISIE!$B$210:$B$409,"*Neige*",SAISIE!$B$210:$B$409,"&lt;&gt;*accidentel*",SAISIE!$E$210:$E$409,$H$311),SAISIE!$D$210:$D$409,0)),"-"))</f>
        <v/>
      </c>
      <c r="D321" s="6" t="str">
        <f>IF($H$311="","",IF(OR(C321="",C321="-"),"",IF(C321&gt;0,"(soulevement)",IF(C321&lt;0,"(compression)","-"))))</f>
        <v/>
      </c>
    </row>
    <row r="322" spans="1:8" x14ac:dyDescent="0.25">
      <c r="A322" s="5" t="str">
        <f>IF(OR($H$311="",NOT(TRUE)),"","Neige accidentelle")</f>
        <v/>
      </c>
      <c r="B322" s="6" t="str">
        <f>IF($H$311="","",IFERROR(LOOKUP(2,1/((SAISIE!$E$210:$E$409=$H$311)*(ISNUMBER(SEARCH("accidentel",SAISIE!$B$210:$B$409)))),SAISIE!$C$210:$C$409),"-"))</f>
        <v/>
      </c>
      <c r="C322" s="6" t="str">
        <f>IF($H$311="","",IFERROR(LOOKUP(2,1/((SAISIE!$E$210:$E$409=$H$311)*(ISNUMBER(SEARCH("accidentel",SAISIE!$B$210:$B$409)))),SAISIE!$D$210:$D$409),"-"))</f>
        <v/>
      </c>
      <c r="D322" s="6" t="str">
        <f>IF($H$311="","",IF(OR(C322="",C322="-"),"",IF(C322&gt;0,"(soulevement)",IF(C322&lt;0,"(compression)","-"))))</f>
        <v/>
      </c>
    </row>
    <row r="323" spans="1:8" ht="15.75" x14ac:dyDescent="0.25">
      <c r="A323" s="11" t="str">
        <f>IF($H$323="","","Noeud "&amp;$H$323)</f>
        <v/>
      </c>
      <c r="B323" s="12"/>
      <c r="C323" s="12"/>
      <c r="D323" s="12"/>
      <c r="H323" t="str">
        <f>IFERROR(INDEX(SAISIE!$E$210:$E$409,_xlfn.AGGREGATE(15,6,ROW(SAISIE!$E$210:$E$409)-ROW(SAISIE!$E$210)+1/(SAISIE!$E$210:$E$409&lt;&gt;"")/(COUNTIF($H$4:H322,SAISIE!$E$210:$E$409)=0),1)),"")</f>
        <v/>
      </c>
    </row>
    <row r="324" spans="1:8" x14ac:dyDescent="0.25">
      <c r="A324" s="5" t="str">
        <f>IF(OR($H$323="",NOT(TRUE)),"","Couverture")</f>
        <v/>
      </c>
      <c r="B324" s="6" t="str">
        <f>IF($H$323="","",IFERROR(IFERROR(LOOKUP(2,1/((SAISIE!$E$210:$E$409=$H$323)*(LEFT(SAISIE!$B$210:$B$409,2)="G ")),SAISIE!$C$210:$C$409),LOOKUP(2,1/((SAISIE!$E$210:$E$409=$H$323)*(ISNUMBER(SEARCH("Couverture",SAISIE!$B$210:$B$409)))),SAISIE!$C$210:$C$409)),"-"))</f>
        <v/>
      </c>
      <c r="C324" s="6" t="str">
        <f>IF($H$323="","",IFERROR(IFERROR(LOOKUP(2,1/((SAISIE!$E$210:$E$409=$H$323)*(LEFT(SAISIE!$B$210:$B$409,2)="G ")),SAISIE!$D$210:$D$409),LOOKUP(2,1/((SAISIE!$E$210:$E$409=$H$323)*(ISNUMBER(SEARCH("Couverture",SAISIE!$B$210:$B$409)))),SAISIE!$D$210:$D$409)),"-"))</f>
        <v/>
      </c>
      <c r="D324" s="6" t="str">
        <f>IF($H$323="","",IF(OR(C324="",C324="-"),"",IF(C324&gt;0,"(soulevement)",IF(C324&lt;0,"(compression)","-"))))</f>
        <v/>
      </c>
    </row>
    <row r="325" spans="1:8" x14ac:dyDescent="0.25">
      <c r="A325" s="5" t="str">
        <f>IF(OR($H$323="",NOT(COUNTIFS(SAISIE!$B$210:$B$409,"*Vent G/D*",SAISIE!$E$210:$E$409,$H$323)&gt;0)),"","Vent G/D")</f>
        <v/>
      </c>
      <c r="B325" s="6" t="str">
        <f>IF(OR($H$323="",NOT(COUNTIFS(SAISIE!$B$210:$B$409,"*Vent G/D*",SAISIE!$E$210:$E$409,$H$323)&gt;0)),"",IFERROR(IF(_xlfn.MINIFS(SAISIE!$D$210:$D$409,SAISIE!$B$210:$B$409,"*Vent G/D*",SAISIE!$E$210:$E$409,$H$323)&gt;=0,_xlfn.MAXIFS(SAISIE!$C$210:$C$409,SAISIE!$B$210:$B$409,"*Vent G/D*",SAISIE!$E$210:$E$409,$H$323),INDEX(SAISIE!$C$210:$C$409,MATCH(_xlfn.MINIFS(SAISIE!$D$210:$D$409,SAISIE!$B$210:$B$409,"*Vent G/D*",SAISIE!$E$210:$E$409,$H$323),SAISIE!$D$210:$D$409,0))),"-"))</f>
        <v/>
      </c>
      <c r="C325" s="6" t="str">
        <f>IF(OR($H$323="",NOT(COUNTIFS(SAISIE!$B$210:$B$409,"*Vent G/D*",SAISIE!$E$210:$E$409,$H$323)&gt;0)),"",IFERROR(IF(_xlfn.MINIFS(SAISIE!$D$210:$D$409,SAISIE!$B$210:$B$409,"*Vent G/D*",SAISIE!$E$210:$E$409,$H$323)&gt;=0,0,_xlfn.MINIFS(SAISIE!$D$210:$D$409,SAISIE!$B$210:$B$409,"*Vent G/D*",SAISIE!$E$210:$E$409,$H$323)),"-"))</f>
        <v/>
      </c>
      <c r="D325" s="6" t="str">
        <f>IF($H$323="","",IF(OR(C325="",C325="-"),"",IF(C325&gt;0,"(soulevement)",IF(C325&lt;0,"(compression)","-"))))</f>
        <v/>
      </c>
    </row>
    <row r="326" spans="1:8" x14ac:dyDescent="0.25">
      <c r="A326" s="5" t="str">
        <f>IF(OR($H$323="",NOT(_xlfn.MAXIFS(SAISIE!$D$210:$D$409,SAISIE!$B$210:$B$409,"*Vent G/D*",SAISIE!$E$210:$E$409,$H$323)&gt;0)),"","Vent G/D")</f>
        <v/>
      </c>
      <c r="B326" s="6" t="str">
        <f>IF(OR($H$323="",NOT(_xlfn.MAXIFS(SAISIE!$D$210:$D$409,SAISIE!$B$210:$B$409,"*Vent G/D*",SAISIE!$E$210:$E$409,$H$323)&gt;0)),"",IFERROR(INDEX(SAISIE!$C$210:$C$409,MATCH(_xlfn.MAXIFS(SAISIE!$D$210:$D$409,SAISIE!$B$210:$B$409,"*Vent G/D*",SAISIE!$E$210:$E$409,$H$323),SAISIE!$D$210:$D$409,0)),"-"))</f>
        <v/>
      </c>
      <c r="C326" s="6" t="str">
        <f>IF(OR($H$323="",NOT(_xlfn.MAXIFS(SAISIE!$D$210:$D$409,SAISIE!$B$210:$B$409,"*Vent G/D*",SAISIE!$E$210:$E$409,$H$323)&gt;0)),"",IFERROR(_xlfn.MAXIFS(SAISIE!$D$210:$D$409,SAISIE!$B$210:$B$409,"*Vent G/D*",SAISIE!$E$210:$E$409,$H$323),"-"))</f>
        <v/>
      </c>
      <c r="D326" s="6" t="str">
        <f>IF($H$323="","",IF(OR(C326="",C326="-"),"",IF(C326&gt;0,"(soulevement)",IF(C326&lt;0,"(compression)","-"))))</f>
        <v/>
      </c>
    </row>
    <row r="327" spans="1:8" x14ac:dyDescent="0.25">
      <c r="A327" s="5" t="str">
        <f>IF(OR($H$323="",NOT(COUNTIFS(SAISIE!$B$210:$B$409,"*Vent D/G*",SAISIE!$E$210:$E$409,$H$323)&gt;0)),"","Vent D/G")</f>
        <v/>
      </c>
      <c r="B327" s="6" t="str">
        <f>IF(OR($H$323="",NOT(COUNTIFS(SAISIE!$B$210:$B$409,"*Vent D/G*",SAISIE!$E$210:$E$409,$H$323)&gt;0)),"",IFERROR(IF(_xlfn.MINIFS(SAISIE!$D$210:$D$409,SAISIE!$B$210:$B$409,"*Vent D/G*",SAISIE!$E$210:$E$409,$H$323)&gt;=0,_xlfn.MAXIFS(SAISIE!$C$210:$C$409,SAISIE!$B$210:$B$409,"*Vent D/G*",SAISIE!$E$210:$E$409,$H$323),INDEX(SAISIE!$C$210:$C$409,MATCH(_xlfn.MINIFS(SAISIE!$D$210:$D$409,SAISIE!$B$210:$B$409,"*Vent D/G*",SAISIE!$E$210:$E$409,$H$323),SAISIE!$D$210:$D$409,0))),"-"))</f>
        <v/>
      </c>
      <c r="C327" s="6" t="str">
        <f>IF(OR($H$323="",NOT(COUNTIFS(SAISIE!$B$210:$B$409,"*Vent D/G*",SAISIE!$E$210:$E$409,$H$323)&gt;0)),"",IFERROR(IF(_xlfn.MINIFS(SAISIE!$D$210:$D$409,SAISIE!$B$210:$B$409,"*Vent D/G*",SAISIE!$E$210:$E$409,$H$323)&gt;=0,0,_xlfn.MINIFS(SAISIE!$D$210:$D$409,SAISIE!$B$210:$B$409,"*Vent D/G*",SAISIE!$E$210:$E$409,$H$323)),"-"))</f>
        <v/>
      </c>
      <c r="D327" s="6" t="str">
        <f>IF($H$323="","",IF(OR(C327="",C327="-"),"",IF(C327&gt;0,"(soulevement)",IF(C327&lt;0,"(compression)","-"))))</f>
        <v/>
      </c>
    </row>
    <row r="328" spans="1:8" x14ac:dyDescent="0.25">
      <c r="A328" s="5" t="str">
        <f>IF(OR($H$323="",NOT(_xlfn.MAXIFS(SAISIE!$D$210:$D$409,SAISIE!$B$210:$B$409,"*Vent D/G*",SAISIE!$E$210:$E$409,$H$323)&gt;0)),"","Vent D/G")</f>
        <v/>
      </c>
      <c r="B328" s="6" t="str">
        <f>IF(OR($H$323="",NOT(_xlfn.MAXIFS(SAISIE!$D$210:$D$409,SAISIE!$B$210:$B$409,"*Vent D/G*",SAISIE!$E$210:$E$409,$H$323)&gt;0)),"",IFERROR(INDEX(SAISIE!$C$210:$C$409,MATCH(_xlfn.MAXIFS(SAISIE!$D$210:$D$409,SAISIE!$B$210:$B$409,"*Vent D/G*",SAISIE!$E$210:$E$409,$H$323),SAISIE!$D$210:$D$409,0)),"-"))</f>
        <v/>
      </c>
      <c r="C328" s="6" t="str">
        <f>IF(OR($H$323="",NOT(_xlfn.MAXIFS(SAISIE!$D$210:$D$409,SAISIE!$B$210:$B$409,"*Vent D/G*",SAISIE!$E$210:$E$409,$H$323)&gt;0)),"",IFERROR(_xlfn.MAXIFS(SAISIE!$D$210:$D$409,SAISIE!$B$210:$B$409,"*Vent D/G*",SAISIE!$E$210:$E$409,$H$323),"-"))</f>
        <v/>
      </c>
      <c r="D328" s="6" t="str">
        <f>IF($H$323="","",IF(OR(C328="",C328="-"),"",IF(C328&gt;0,"(soulevement)",IF(C328&lt;0,"(compression)","-"))))</f>
        <v/>
      </c>
    </row>
    <row r="329" spans="1:8" x14ac:dyDescent="0.25">
      <c r="A329" s="5" t="str">
        <f>IF(OR($H$323="",NOT(COUNTIFS(SAISIE!$B$210:$B$409,"*Vent Av./Arr.*",SAISIE!$E$210:$E$409,$H$323)&gt;0)),"","Vent Av./Arr.")</f>
        <v/>
      </c>
      <c r="B329" s="6" t="str">
        <f>IF(OR($H$323="",NOT(COUNTIFS(SAISIE!$B$210:$B$409,"*Vent Av./Arr.*",SAISIE!$E$210:$E$409,$H$323)&gt;0)),"",IFERROR(IF(_xlfn.MINIFS(SAISIE!$D$210:$D$409,SAISIE!$B$210:$B$409,"*Vent Av./Arr.*",SAISIE!$E$210:$E$409,$H$323)&gt;=0,_xlfn.MAXIFS(SAISIE!$C$210:$C$409,SAISIE!$B$210:$B$409,"*Vent Av./Arr.*",SAISIE!$E$210:$E$409,$H$323),INDEX(SAISIE!$C$210:$C$409,MATCH(_xlfn.MINIFS(SAISIE!$D$210:$D$409,SAISIE!$B$210:$B$409,"*Vent Av./Arr.*",SAISIE!$E$210:$E$409,$H$323),SAISIE!$D$210:$D$409,0))),"-"))</f>
        <v/>
      </c>
      <c r="C329" s="6" t="str">
        <f>IF(OR($H$323="",NOT(COUNTIFS(SAISIE!$B$210:$B$409,"*Vent Av./Arr.*",SAISIE!$E$210:$E$409,$H$323)&gt;0)),"",IFERROR(IF(_xlfn.MINIFS(SAISIE!$D$210:$D$409,SAISIE!$B$210:$B$409,"*Vent Av./Arr.*",SAISIE!$E$210:$E$409,$H$323)&gt;=0,0,_xlfn.MINIFS(SAISIE!$D$210:$D$409,SAISIE!$B$210:$B$409,"*Vent Av./Arr.*",SAISIE!$E$210:$E$409,$H$323)),"-"))</f>
        <v/>
      </c>
      <c r="D329" s="6" t="str">
        <f>IF($H$323="","",IF(OR(C329="",C329="-"),"",IF(C329&gt;0,"(soulevement)",IF(C329&lt;0,"(compression)","-"))))</f>
        <v/>
      </c>
    </row>
    <row r="330" spans="1:8" x14ac:dyDescent="0.25">
      <c r="A330" s="5" t="str">
        <f>IF(OR($H$323="",NOT(_xlfn.MAXIFS(SAISIE!$D$210:$D$409,SAISIE!$B$210:$B$409,"*Vent Av./Arr.*",SAISIE!$E$210:$E$409,$H$323)&gt;0)),"","Vent Av./Arr.")</f>
        <v/>
      </c>
      <c r="B330" s="6" t="str">
        <f>IF(OR($H$323="",NOT(_xlfn.MAXIFS(SAISIE!$D$210:$D$409,SAISIE!$B$210:$B$409,"*Vent Av./Arr.*",SAISIE!$E$210:$E$409,$H$323)&gt;0)),"",IFERROR(INDEX(SAISIE!$C$210:$C$409,MATCH(_xlfn.MAXIFS(SAISIE!$D$210:$D$409,SAISIE!$B$210:$B$409,"*Vent Av./Arr.*",SAISIE!$E$210:$E$409,$H$323),SAISIE!$D$210:$D$409,0)),"-"))</f>
        <v/>
      </c>
      <c r="C330" s="6" t="str">
        <f>IF(OR($H$323="",NOT(_xlfn.MAXIFS(SAISIE!$D$210:$D$409,SAISIE!$B$210:$B$409,"*Vent Av./Arr.*",SAISIE!$E$210:$E$409,$H$323)&gt;0)),"",IFERROR(_xlfn.MAXIFS(SAISIE!$D$210:$D$409,SAISIE!$B$210:$B$409,"*Vent Av./Arr.*",SAISIE!$E$210:$E$409,$H$323),"-"))</f>
        <v/>
      </c>
      <c r="D330" s="6" t="str">
        <f>IF($H$323="","",IF(OR(C330="",C330="-"),"",IF(C330&gt;0,"(soulevement)",IF(C330&lt;0,"(compression)","-"))))</f>
        <v/>
      </c>
    </row>
    <row r="331" spans="1:8" x14ac:dyDescent="0.25">
      <c r="A331" s="5" t="str">
        <f>IF(OR($H$323="",NOT(COUNTIFS(SAISIE!$B$210:$B$409,"*Vent Arr./Av.*",SAISIE!$E$210:$E$409,$H$323)&gt;0)),"","Vent Arr./Av.")</f>
        <v/>
      </c>
      <c r="B331" s="6" t="str">
        <f>IF(OR($H$323="",NOT(COUNTIFS(SAISIE!$B$210:$B$409,"*Vent Arr./Av.*",SAISIE!$E$210:$E$409,$H$323)&gt;0)),"",IFERROR(IF(_xlfn.MINIFS(SAISIE!$D$210:$D$409,SAISIE!$B$210:$B$409,"*Vent Arr./Av.*",SAISIE!$E$210:$E$409,$H$323)&gt;=0,_xlfn.MAXIFS(SAISIE!$C$210:$C$409,SAISIE!$B$210:$B$409,"*Vent Arr./Av.*",SAISIE!$E$210:$E$409,$H$323),INDEX(SAISIE!$C$210:$C$409,MATCH(_xlfn.MINIFS(SAISIE!$D$210:$D$409,SAISIE!$B$210:$B$409,"*Vent Arr./Av.*",SAISIE!$E$210:$E$409,$H$323),SAISIE!$D$210:$D$409,0))),"-"))</f>
        <v/>
      </c>
      <c r="C331" s="6" t="str">
        <f>IF(OR($H$323="",NOT(COUNTIFS(SAISIE!$B$210:$B$409,"*Vent Arr./Av.*",SAISIE!$E$210:$E$409,$H$323)&gt;0)),"",IFERROR(IF(_xlfn.MINIFS(SAISIE!$D$210:$D$409,SAISIE!$B$210:$B$409,"*Vent Arr./Av.*",SAISIE!$E$210:$E$409,$H$323)&gt;=0,0,_xlfn.MINIFS(SAISIE!$D$210:$D$409,SAISIE!$B$210:$B$409,"*Vent Arr./Av.*",SAISIE!$E$210:$E$409,$H$323)),"-"))</f>
        <v/>
      </c>
      <c r="D331" s="6" t="str">
        <f>IF($H$323="","",IF(OR(C331="",C331="-"),"",IF(C331&gt;0,"(soulevement)",IF(C331&lt;0,"(compression)","-"))))</f>
        <v/>
      </c>
    </row>
    <row r="332" spans="1:8" x14ac:dyDescent="0.25">
      <c r="A332" s="5" t="str">
        <f>IF(OR($H$323="",NOT(_xlfn.MAXIFS(SAISIE!$D$210:$D$409,SAISIE!$B$210:$B$409,"*Vent Arr./Av.*",SAISIE!$E$210:$E$409,$H$323)&gt;0)),"","Vent Arr./Av.")</f>
        <v/>
      </c>
      <c r="B332" s="6" t="str">
        <f>IF(OR($H$323="",NOT(_xlfn.MAXIFS(SAISIE!$D$210:$D$409,SAISIE!$B$210:$B$409,"*Vent Arr./Av.*",SAISIE!$E$210:$E$409,$H$323)&gt;0)),"",IFERROR(INDEX(SAISIE!$C$210:$C$409,MATCH(_xlfn.MAXIFS(SAISIE!$D$210:$D$409,SAISIE!$B$210:$B$409,"*Vent Arr./Av.*",SAISIE!$E$210:$E$409,$H$323),SAISIE!$D$210:$D$409,0)),"-"))</f>
        <v/>
      </c>
      <c r="C332" s="6" t="str">
        <f>IF(OR($H$323="",NOT(_xlfn.MAXIFS(SAISIE!$D$210:$D$409,SAISIE!$B$210:$B$409,"*Vent Arr./Av.*",SAISIE!$E$210:$E$409,$H$323)&gt;0)),"",IFERROR(_xlfn.MAXIFS(SAISIE!$D$210:$D$409,SAISIE!$B$210:$B$409,"*Vent Arr./Av.*",SAISIE!$E$210:$E$409,$H$323),"-"))</f>
        <v/>
      </c>
      <c r="D332" s="6" t="str">
        <f>IF($H$323="","",IF(OR(C332="",C332="-"),"",IF(C332&gt;0,"(soulevement)",IF(C332&lt;0,"(compression)","-"))))</f>
        <v/>
      </c>
    </row>
    <row r="333" spans="1:8" x14ac:dyDescent="0.25">
      <c r="A333" s="5" t="str">
        <f>IF(OR($H$323="",NOT(TRUE)),"","Neige normale")</f>
        <v/>
      </c>
      <c r="B333" s="6" t="str">
        <f>IF($H$323="","",IFERROR(INDEX(SAISIE!$C$210:$C$409,MATCH(_xlfn.MINIFS(SAISIE!$D$210:$D$409,SAISIE!$B$210:$B$409,"*Neige*",SAISIE!$B$210:$B$409,"&lt;&gt;*accidentel*",SAISIE!$E$210:$E$409,$H$323),SAISIE!$D$210:$D$409,0)),"-"))</f>
        <v/>
      </c>
      <c r="C333" s="6" t="str">
        <f>IF($H$323="","",IFERROR(INDEX(SAISIE!$D$210:$D$409,MATCH(_xlfn.MINIFS(SAISIE!$D$210:$D$409,SAISIE!$B$210:$B$409,"*Neige*",SAISIE!$B$210:$B$409,"&lt;&gt;*accidentel*",SAISIE!$E$210:$E$409,$H$323),SAISIE!$D$210:$D$409,0)),"-"))</f>
        <v/>
      </c>
      <c r="D333" s="6" t="str">
        <f>IF($H$323="","",IF(OR(C333="",C333="-"),"",IF(C333&gt;0,"(soulevement)",IF(C333&lt;0,"(compression)","-"))))</f>
        <v/>
      </c>
    </row>
    <row r="334" spans="1:8" x14ac:dyDescent="0.25">
      <c r="A334" s="5" t="str">
        <f>IF(OR($H$323="",NOT(TRUE)),"","Neige accidentelle")</f>
        <v/>
      </c>
      <c r="B334" s="6" t="str">
        <f>IF($H$323="","",IFERROR(LOOKUP(2,1/((SAISIE!$E$210:$E$409=$H$323)*(ISNUMBER(SEARCH("accidentel",SAISIE!$B$210:$B$409)))),SAISIE!$C$210:$C$409),"-"))</f>
        <v/>
      </c>
      <c r="C334" s="6" t="str">
        <f>IF($H$323="","",IFERROR(LOOKUP(2,1/((SAISIE!$E$210:$E$409=$H$323)*(ISNUMBER(SEARCH("accidentel",SAISIE!$B$210:$B$409)))),SAISIE!$D$210:$D$409),"-"))</f>
        <v/>
      </c>
      <c r="D334" s="6" t="str">
        <f>IF($H$323="","",IF(OR(C334="",C334="-"),"",IF(C334&gt;0,"(soulevement)",IF(C334&lt;0,"(compression)","-"))))</f>
        <v/>
      </c>
    </row>
    <row r="335" spans="1:8" ht="15.75" x14ac:dyDescent="0.25">
      <c r="A335" s="11" t="str">
        <f>IF($H$335="","","Noeud "&amp;$H$335)</f>
        <v/>
      </c>
      <c r="B335" s="12"/>
      <c r="C335" s="12"/>
      <c r="D335" s="12"/>
      <c r="H335" t="str">
        <f>IFERROR(INDEX(SAISIE!$E$210:$E$409,_xlfn.AGGREGATE(15,6,ROW(SAISIE!$E$210:$E$409)-ROW(SAISIE!$E$210)+1/(SAISIE!$E$210:$E$409&lt;&gt;"")/(COUNTIF($H$4:H334,SAISIE!$E$210:$E$409)=0),1)),"")</f>
        <v/>
      </c>
    </row>
    <row r="336" spans="1:8" x14ac:dyDescent="0.25">
      <c r="A336" s="5" t="str">
        <f>IF(OR($H$335="",NOT(TRUE)),"","Couverture")</f>
        <v/>
      </c>
      <c r="B336" s="6" t="str">
        <f>IF($H$335="","",IFERROR(IFERROR(LOOKUP(2,1/((SAISIE!$E$210:$E$409=$H$335)*(LEFT(SAISIE!$B$210:$B$409,2)="G ")),SAISIE!$C$210:$C$409),LOOKUP(2,1/((SAISIE!$E$210:$E$409=$H$335)*(ISNUMBER(SEARCH("Couverture",SAISIE!$B$210:$B$409)))),SAISIE!$C$210:$C$409)),"-"))</f>
        <v/>
      </c>
      <c r="C336" s="6" t="str">
        <f>IF($H$335="","",IFERROR(IFERROR(LOOKUP(2,1/((SAISIE!$E$210:$E$409=$H$335)*(LEFT(SAISIE!$B$210:$B$409,2)="G ")),SAISIE!$D$210:$D$409),LOOKUP(2,1/((SAISIE!$E$210:$E$409=$H$335)*(ISNUMBER(SEARCH("Couverture",SAISIE!$B$210:$B$409)))),SAISIE!$D$210:$D$409)),"-"))</f>
        <v/>
      </c>
      <c r="D336" s="6" t="str">
        <f>IF($H$335="","",IF(OR(C336="",C336="-"),"",IF(C336&gt;0,"(soulevement)",IF(C336&lt;0,"(compression)","-"))))</f>
        <v/>
      </c>
    </row>
    <row r="337" spans="1:8" x14ac:dyDescent="0.25">
      <c r="A337" s="5" t="str">
        <f>IF(OR($H$335="",NOT(COUNTIFS(SAISIE!$B$210:$B$409,"*Vent G/D*",SAISIE!$E$210:$E$409,$H$335)&gt;0)),"","Vent G/D")</f>
        <v/>
      </c>
      <c r="B337" s="6" t="str">
        <f>IF(OR($H$335="",NOT(COUNTIFS(SAISIE!$B$210:$B$409,"*Vent G/D*",SAISIE!$E$210:$E$409,$H$335)&gt;0)),"",IFERROR(IF(_xlfn.MINIFS(SAISIE!$D$210:$D$409,SAISIE!$B$210:$B$409,"*Vent G/D*",SAISIE!$E$210:$E$409,$H$335)&gt;=0,_xlfn.MAXIFS(SAISIE!$C$210:$C$409,SAISIE!$B$210:$B$409,"*Vent G/D*",SAISIE!$E$210:$E$409,$H$335),INDEX(SAISIE!$C$210:$C$409,MATCH(_xlfn.MINIFS(SAISIE!$D$210:$D$409,SAISIE!$B$210:$B$409,"*Vent G/D*",SAISIE!$E$210:$E$409,$H$335),SAISIE!$D$210:$D$409,0))),"-"))</f>
        <v/>
      </c>
      <c r="C337" s="6" t="str">
        <f>IF(OR($H$335="",NOT(COUNTIFS(SAISIE!$B$210:$B$409,"*Vent G/D*",SAISIE!$E$210:$E$409,$H$335)&gt;0)),"",IFERROR(IF(_xlfn.MINIFS(SAISIE!$D$210:$D$409,SAISIE!$B$210:$B$409,"*Vent G/D*",SAISIE!$E$210:$E$409,$H$335)&gt;=0,0,_xlfn.MINIFS(SAISIE!$D$210:$D$409,SAISIE!$B$210:$B$409,"*Vent G/D*",SAISIE!$E$210:$E$409,$H$335)),"-"))</f>
        <v/>
      </c>
      <c r="D337" s="6" t="str">
        <f>IF($H$335="","",IF(OR(C337="",C337="-"),"",IF(C337&gt;0,"(soulevement)",IF(C337&lt;0,"(compression)","-"))))</f>
        <v/>
      </c>
    </row>
    <row r="338" spans="1:8" x14ac:dyDescent="0.25">
      <c r="A338" s="5" t="str">
        <f>IF(OR($H$335="",NOT(_xlfn.MAXIFS(SAISIE!$D$210:$D$409,SAISIE!$B$210:$B$409,"*Vent G/D*",SAISIE!$E$210:$E$409,$H$335)&gt;0)),"","Vent G/D")</f>
        <v/>
      </c>
      <c r="B338" s="6" t="str">
        <f>IF(OR($H$335="",NOT(_xlfn.MAXIFS(SAISIE!$D$210:$D$409,SAISIE!$B$210:$B$409,"*Vent G/D*",SAISIE!$E$210:$E$409,$H$335)&gt;0)),"",IFERROR(INDEX(SAISIE!$C$210:$C$409,MATCH(_xlfn.MAXIFS(SAISIE!$D$210:$D$409,SAISIE!$B$210:$B$409,"*Vent G/D*",SAISIE!$E$210:$E$409,$H$335),SAISIE!$D$210:$D$409,0)),"-"))</f>
        <v/>
      </c>
      <c r="C338" s="6" t="str">
        <f>IF(OR($H$335="",NOT(_xlfn.MAXIFS(SAISIE!$D$210:$D$409,SAISIE!$B$210:$B$409,"*Vent G/D*",SAISIE!$E$210:$E$409,$H$335)&gt;0)),"",IFERROR(_xlfn.MAXIFS(SAISIE!$D$210:$D$409,SAISIE!$B$210:$B$409,"*Vent G/D*",SAISIE!$E$210:$E$409,$H$335),"-"))</f>
        <v/>
      </c>
      <c r="D338" s="6" t="str">
        <f>IF($H$335="","",IF(OR(C338="",C338="-"),"",IF(C338&gt;0,"(soulevement)",IF(C338&lt;0,"(compression)","-"))))</f>
        <v/>
      </c>
    </row>
    <row r="339" spans="1:8" x14ac:dyDescent="0.25">
      <c r="A339" s="5" t="str">
        <f>IF(OR($H$335="",NOT(COUNTIFS(SAISIE!$B$210:$B$409,"*Vent D/G*",SAISIE!$E$210:$E$409,$H$335)&gt;0)),"","Vent D/G")</f>
        <v/>
      </c>
      <c r="B339" s="6" t="str">
        <f>IF(OR($H$335="",NOT(COUNTIFS(SAISIE!$B$210:$B$409,"*Vent D/G*",SAISIE!$E$210:$E$409,$H$335)&gt;0)),"",IFERROR(IF(_xlfn.MINIFS(SAISIE!$D$210:$D$409,SAISIE!$B$210:$B$409,"*Vent D/G*",SAISIE!$E$210:$E$409,$H$335)&gt;=0,_xlfn.MAXIFS(SAISIE!$C$210:$C$409,SAISIE!$B$210:$B$409,"*Vent D/G*",SAISIE!$E$210:$E$409,$H$335),INDEX(SAISIE!$C$210:$C$409,MATCH(_xlfn.MINIFS(SAISIE!$D$210:$D$409,SAISIE!$B$210:$B$409,"*Vent D/G*",SAISIE!$E$210:$E$409,$H$335),SAISIE!$D$210:$D$409,0))),"-"))</f>
        <v/>
      </c>
      <c r="C339" s="6" t="str">
        <f>IF(OR($H$335="",NOT(COUNTIFS(SAISIE!$B$210:$B$409,"*Vent D/G*",SAISIE!$E$210:$E$409,$H$335)&gt;0)),"",IFERROR(IF(_xlfn.MINIFS(SAISIE!$D$210:$D$409,SAISIE!$B$210:$B$409,"*Vent D/G*",SAISIE!$E$210:$E$409,$H$335)&gt;=0,0,_xlfn.MINIFS(SAISIE!$D$210:$D$409,SAISIE!$B$210:$B$409,"*Vent D/G*",SAISIE!$E$210:$E$409,$H$335)),"-"))</f>
        <v/>
      </c>
      <c r="D339" s="6" t="str">
        <f>IF($H$335="","",IF(OR(C339="",C339="-"),"",IF(C339&gt;0,"(soulevement)",IF(C339&lt;0,"(compression)","-"))))</f>
        <v/>
      </c>
    </row>
    <row r="340" spans="1:8" x14ac:dyDescent="0.25">
      <c r="A340" s="5" t="str">
        <f>IF(OR($H$335="",NOT(_xlfn.MAXIFS(SAISIE!$D$210:$D$409,SAISIE!$B$210:$B$409,"*Vent D/G*",SAISIE!$E$210:$E$409,$H$335)&gt;0)),"","Vent D/G")</f>
        <v/>
      </c>
      <c r="B340" s="6" t="str">
        <f>IF(OR($H$335="",NOT(_xlfn.MAXIFS(SAISIE!$D$210:$D$409,SAISIE!$B$210:$B$409,"*Vent D/G*",SAISIE!$E$210:$E$409,$H$335)&gt;0)),"",IFERROR(INDEX(SAISIE!$C$210:$C$409,MATCH(_xlfn.MAXIFS(SAISIE!$D$210:$D$409,SAISIE!$B$210:$B$409,"*Vent D/G*",SAISIE!$E$210:$E$409,$H$335),SAISIE!$D$210:$D$409,0)),"-"))</f>
        <v/>
      </c>
      <c r="C340" s="6" t="str">
        <f>IF(OR($H$335="",NOT(_xlfn.MAXIFS(SAISIE!$D$210:$D$409,SAISIE!$B$210:$B$409,"*Vent D/G*",SAISIE!$E$210:$E$409,$H$335)&gt;0)),"",IFERROR(_xlfn.MAXIFS(SAISIE!$D$210:$D$409,SAISIE!$B$210:$B$409,"*Vent D/G*",SAISIE!$E$210:$E$409,$H$335),"-"))</f>
        <v/>
      </c>
      <c r="D340" s="6" t="str">
        <f>IF($H$335="","",IF(OR(C340="",C340="-"),"",IF(C340&gt;0,"(soulevement)",IF(C340&lt;0,"(compression)","-"))))</f>
        <v/>
      </c>
    </row>
    <row r="341" spans="1:8" x14ac:dyDescent="0.25">
      <c r="A341" s="5" t="str">
        <f>IF(OR($H$335="",NOT(COUNTIFS(SAISIE!$B$210:$B$409,"*Vent Av./Arr.*",SAISIE!$E$210:$E$409,$H$335)&gt;0)),"","Vent Av./Arr.")</f>
        <v/>
      </c>
      <c r="B341" s="6" t="str">
        <f>IF(OR($H$335="",NOT(COUNTIFS(SAISIE!$B$210:$B$409,"*Vent Av./Arr.*",SAISIE!$E$210:$E$409,$H$335)&gt;0)),"",IFERROR(IF(_xlfn.MINIFS(SAISIE!$D$210:$D$409,SAISIE!$B$210:$B$409,"*Vent Av./Arr.*",SAISIE!$E$210:$E$409,$H$335)&gt;=0,_xlfn.MAXIFS(SAISIE!$C$210:$C$409,SAISIE!$B$210:$B$409,"*Vent Av./Arr.*",SAISIE!$E$210:$E$409,$H$335),INDEX(SAISIE!$C$210:$C$409,MATCH(_xlfn.MINIFS(SAISIE!$D$210:$D$409,SAISIE!$B$210:$B$409,"*Vent Av./Arr.*",SAISIE!$E$210:$E$409,$H$335),SAISIE!$D$210:$D$409,0))),"-"))</f>
        <v/>
      </c>
      <c r="C341" s="6" t="str">
        <f>IF(OR($H$335="",NOT(COUNTIFS(SAISIE!$B$210:$B$409,"*Vent Av./Arr.*",SAISIE!$E$210:$E$409,$H$335)&gt;0)),"",IFERROR(IF(_xlfn.MINIFS(SAISIE!$D$210:$D$409,SAISIE!$B$210:$B$409,"*Vent Av./Arr.*",SAISIE!$E$210:$E$409,$H$335)&gt;=0,0,_xlfn.MINIFS(SAISIE!$D$210:$D$409,SAISIE!$B$210:$B$409,"*Vent Av./Arr.*",SAISIE!$E$210:$E$409,$H$335)),"-"))</f>
        <v/>
      </c>
      <c r="D341" s="6" t="str">
        <f>IF($H$335="","",IF(OR(C341="",C341="-"),"",IF(C341&gt;0,"(soulevement)",IF(C341&lt;0,"(compression)","-"))))</f>
        <v/>
      </c>
    </row>
    <row r="342" spans="1:8" x14ac:dyDescent="0.25">
      <c r="A342" s="5" t="str">
        <f>IF(OR($H$335="",NOT(_xlfn.MAXIFS(SAISIE!$D$210:$D$409,SAISIE!$B$210:$B$409,"*Vent Av./Arr.*",SAISIE!$E$210:$E$409,$H$335)&gt;0)),"","Vent Av./Arr.")</f>
        <v/>
      </c>
      <c r="B342" s="6" t="str">
        <f>IF(OR($H$335="",NOT(_xlfn.MAXIFS(SAISIE!$D$210:$D$409,SAISIE!$B$210:$B$409,"*Vent Av./Arr.*",SAISIE!$E$210:$E$409,$H$335)&gt;0)),"",IFERROR(INDEX(SAISIE!$C$210:$C$409,MATCH(_xlfn.MAXIFS(SAISIE!$D$210:$D$409,SAISIE!$B$210:$B$409,"*Vent Av./Arr.*",SAISIE!$E$210:$E$409,$H$335),SAISIE!$D$210:$D$409,0)),"-"))</f>
        <v/>
      </c>
      <c r="C342" s="6" t="str">
        <f>IF(OR($H$335="",NOT(_xlfn.MAXIFS(SAISIE!$D$210:$D$409,SAISIE!$B$210:$B$409,"*Vent Av./Arr.*",SAISIE!$E$210:$E$409,$H$335)&gt;0)),"",IFERROR(_xlfn.MAXIFS(SAISIE!$D$210:$D$409,SAISIE!$B$210:$B$409,"*Vent Av./Arr.*",SAISIE!$E$210:$E$409,$H$335),"-"))</f>
        <v/>
      </c>
      <c r="D342" s="6" t="str">
        <f>IF($H$335="","",IF(OR(C342="",C342="-"),"",IF(C342&gt;0,"(soulevement)",IF(C342&lt;0,"(compression)","-"))))</f>
        <v/>
      </c>
    </row>
    <row r="343" spans="1:8" x14ac:dyDescent="0.25">
      <c r="A343" s="5" t="str">
        <f>IF(OR($H$335="",NOT(COUNTIFS(SAISIE!$B$210:$B$409,"*Vent Arr./Av.*",SAISIE!$E$210:$E$409,$H$335)&gt;0)),"","Vent Arr./Av.")</f>
        <v/>
      </c>
      <c r="B343" s="6" t="str">
        <f>IF(OR($H$335="",NOT(COUNTIFS(SAISIE!$B$210:$B$409,"*Vent Arr./Av.*",SAISIE!$E$210:$E$409,$H$335)&gt;0)),"",IFERROR(IF(_xlfn.MINIFS(SAISIE!$D$210:$D$409,SAISIE!$B$210:$B$409,"*Vent Arr./Av.*",SAISIE!$E$210:$E$409,$H$335)&gt;=0,_xlfn.MAXIFS(SAISIE!$C$210:$C$409,SAISIE!$B$210:$B$409,"*Vent Arr./Av.*",SAISIE!$E$210:$E$409,$H$335),INDEX(SAISIE!$C$210:$C$409,MATCH(_xlfn.MINIFS(SAISIE!$D$210:$D$409,SAISIE!$B$210:$B$409,"*Vent Arr./Av.*",SAISIE!$E$210:$E$409,$H$335),SAISIE!$D$210:$D$409,0))),"-"))</f>
        <v/>
      </c>
      <c r="C343" s="6" t="str">
        <f>IF(OR($H$335="",NOT(COUNTIFS(SAISIE!$B$210:$B$409,"*Vent Arr./Av.*",SAISIE!$E$210:$E$409,$H$335)&gt;0)),"",IFERROR(IF(_xlfn.MINIFS(SAISIE!$D$210:$D$409,SAISIE!$B$210:$B$409,"*Vent Arr./Av.*",SAISIE!$E$210:$E$409,$H$335)&gt;=0,0,_xlfn.MINIFS(SAISIE!$D$210:$D$409,SAISIE!$B$210:$B$409,"*Vent Arr./Av.*",SAISIE!$E$210:$E$409,$H$335)),"-"))</f>
        <v/>
      </c>
      <c r="D343" s="6" t="str">
        <f>IF($H$335="","",IF(OR(C343="",C343="-"),"",IF(C343&gt;0,"(soulevement)",IF(C343&lt;0,"(compression)","-"))))</f>
        <v/>
      </c>
    </row>
    <row r="344" spans="1:8" x14ac:dyDescent="0.25">
      <c r="A344" s="5" t="str">
        <f>IF(OR($H$335="",NOT(_xlfn.MAXIFS(SAISIE!$D$210:$D$409,SAISIE!$B$210:$B$409,"*Vent Arr./Av.*",SAISIE!$E$210:$E$409,$H$335)&gt;0)),"","Vent Arr./Av.")</f>
        <v/>
      </c>
      <c r="B344" s="6" t="str">
        <f>IF(OR($H$335="",NOT(_xlfn.MAXIFS(SAISIE!$D$210:$D$409,SAISIE!$B$210:$B$409,"*Vent Arr./Av.*",SAISIE!$E$210:$E$409,$H$335)&gt;0)),"",IFERROR(INDEX(SAISIE!$C$210:$C$409,MATCH(_xlfn.MAXIFS(SAISIE!$D$210:$D$409,SAISIE!$B$210:$B$409,"*Vent Arr./Av.*",SAISIE!$E$210:$E$409,$H$335),SAISIE!$D$210:$D$409,0)),"-"))</f>
        <v/>
      </c>
      <c r="C344" s="6" t="str">
        <f>IF(OR($H$335="",NOT(_xlfn.MAXIFS(SAISIE!$D$210:$D$409,SAISIE!$B$210:$B$409,"*Vent Arr./Av.*",SAISIE!$E$210:$E$409,$H$335)&gt;0)),"",IFERROR(_xlfn.MAXIFS(SAISIE!$D$210:$D$409,SAISIE!$B$210:$B$409,"*Vent Arr./Av.*",SAISIE!$E$210:$E$409,$H$335),"-"))</f>
        <v/>
      </c>
      <c r="D344" s="6" t="str">
        <f>IF($H$335="","",IF(OR(C344="",C344="-"),"",IF(C344&gt;0,"(soulevement)",IF(C344&lt;0,"(compression)","-"))))</f>
        <v/>
      </c>
    </row>
    <row r="345" spans="1:8" x14ac:dyDescent="0.25">
      <c r="A345" s="5" t="str">
        <f>IF(OR($H$335="",NOT(TRUE)),"","Neige normale")</f>
        <v/>
      </c>
      <c r="B345" s="6" t="str">
        <f>IF($H$335="","",IFERROR(INDEX(SAISIE!$C$210:$C$409,MATCH(_xlfn.MINIFS(SAISIE!$D$210:$D$409,SAISIE!$B$210:$B$409,"*Neige*",SAISIE!$B$210:$B$409,"&lt;&gt;*accidentel*",SAISIE!$E$210:$E$409,$H$335),SAISIE!$D$210:$D$409,0)),"-"))</f>
        <v/>
      </c>
      <c r="C345" s="6" t="str">
        <f>IF($H$335="","",IFERROR(INDEX(SAISIE!$D$210:$D$409,MATCH(_xlfn.MINIFS(SAISIE!$D$210:$D$409,SAISIE!$B$210:$B$409,"*Neige*",SAISIE!$B$210:$B$409,"&lt;&gt;*accidentel*",SAISIE!$E$210:$E$409,$H$335),SAISIE!$D$210:$D$409,0)),"-"))</f>
        <v/>
      </c>
      <c r="D345" s="6" t="str">
        <f>IF($H$335="","",IF(OR(C345="",C345="-"),"",IF(C345&gt;0,"(soulevement)",IF(C345&lt;0,"(compression)","-"))))</f>
        <v/>
      </c>
    </row>
    <row r="346" spans="1:8" x14ac:dyDescent="0.25">
      <c r="A346" s="5" t="str">
        <f>IF(OR($H$335="",NOT(TRUE)),"","Neige accidentelle")</f>
        <v/>
      </c>
      <c r="B346" s="6" t="str">
        <f>IF($H$335="","",IFERROR(LOOKUP(2,1/((SAISIE!$E$210:$E$409=$H$335)*(ISNUMBER(SEARCH("accidentel",SAISIE!$B$210:$B$409)))),SAISIE!$C$210:$C$409),"-"))</f>
        <v/>
      </c>
      <c r="C346" s="6" t="str">
        <f>IF($H$335="","",IFERROR(LOOKUP(2,1/((SAISIE!$E$210:$E$409=$H$335)*(ISNUMBER(SEARCH("accidentel",SAISIE!$B$210:$B$409)))),SAISIE!$D$210:$D$409),"-"))</f>
        <v/>
      </c>
      <c r="D346" s="6" t="str">
        <f>IF($H$335="","",IF(OR(C346="",C346="-"),"",IF(C346&gt;0,"(soulevement)",IF(C346&lt;0,"(compression)","-"))))</f>
        <v/>
      </c>
    </row>
    <row r="347" spans="1:8" ht="15.75" x14ac:dyDescent="0.25">
      <c r="A347" s="11" t="str">
        <f>IF($H$347="","","Noeud "&amp;$H$347)</f>
        <v/>
      </c>
      <c r="B347" s="12"/>
      <c r="C347" s="12"/>
      <c r="D347" s="12"/>
      <c r="H347" t="str">
        <f>IFERROR(INDEX(SAISIE!$E$210:$E$409,_xlfn.AGGREGATE(15,6,ROW(SAISIE!$E$210:$E$409)-ROW(SAISIE!$E$210)+1/(SAISIE!$E$210:$E$409&lt;&gt;"")/(COUNTIF($H$4:H346,SAISIE!$E$210:$E$409)=0),1)),"")</f>
        <v/>
      </c>
    </row>
    <row r="348" spans="1:8" x14ac:dyDescent="0.25">
      <c r="A348" s="5" t="str">
        <f>IF(OR($H$347="",NOT(TRUE)),"","Couverture")</f>
        <v/>
      </c>
      <c r="B348" s="6" t="str">
        <f>IF($H$347="","",IFERROR(IFERROR(LOOKUP(2,1/((SAISIE!$E$210:$E$409=$H$347)*(LEFT(SAISIE!$B$210:$B$409,2)="G ")),SAISIE!$C$210:$C$409),LOOKUP(2,1/((SAISIE!$E$210:$E$409=$H$347)*(ISNUMBER(SEARCH("Couverture",SAISIE!$B$210:$B$409)))),SAISIE!$C$210:$C$409)),"-"))</f>
        <v/>
      </c>
      <c r="C348" s="6" t="str">
        <f>IF($H$347="","",IFERROR(IFERROR(LOOKUP(2,1/((SAISIE!$E$210:$E$409=$H$347)*(LEFT(SAISIE!$B$210:$B$409,2)="G ")),SAISIE!$D$210:$D$409),LOOKUP(2,1/((SAISIE!$E$210:$E$409=$H$347)*(ISNUMBER(SEARCH("Couverture",SAISIE!$B$210:$B$409)))),SAISIE!$D$210:$D$409)),"-"))</f>
        <v/>
      </c>
      <c r="D348" s="6" t="str">
        <f>IF($H$347="","",IF(OR(C348="",C348="-"),"",IF(C348&gt;0,"(soulevement)",IF(C348&lt;0,"(compression)","-"))))</f>
        <v/>
      </c>
    </row>
    <row r="349" spans="1:8" x14ac:dyDescent="0.25">
      <c r="A349" s="5" t="str">
        <f>IF(OR($H$347="",NOT(COUNTIFS(SAISIE!$B$210:$B$409,"*Vent G/D*",SAISIE!$E$210:$E$409,$H$347)&gt;0)),"","Vent G/D")</f>
        <v/>
      </c>
      <c r="B349" s="6" t="str">
        <f>IF(OR($H$347="",NOT(COUNTIFS(SAISIE!$B$210:$B$409,"*Vent G/D*",SAISIE!$E$210:$E$409,$H$347)&gt;0)),"",IFERROR(IF(_xlfn.MINIFS(SAISIE!$D$210:$D$409,SAISIE!$B$210:$B$409,"*Vent G/D*",SAISIE!$E$210:$E$409,$H$347)&gt;=0,_xlfn.MAXIFS(SAISIE!$C$210:$C$409,SAISIE!$B$210:$B$409,"*Vent G/D*",SAISIE!$E$210:$E$409,$H$347),INDEX(SAISIE!$C$210:$C$409,MATCH(_xlfn.MINIFS(SAISIE!$D$210:$D$409,SAISIE!$B$210:$B$409,"*Vent G/D*",SAISIE!$E$210:$E$409,$H$347),SAISIE!$D$210:$D$409,0))),"-"))</f>
        <v/>
      </c>
      <c r="C349" s="6" t="str">
        <f>IF(OR($H$347="",NOT(COUNTIFS(SAISIE!$B$210:$B$409,"*Vent G/D*",SAISIE!$E$210:$E$409,$H$347)&gt;0)),"",IFERROR(IF(_xlfn.MINIFS(SAISIE!$D$210:$D$409,SAISIE!$B$210:$B$409,"*Vent G/D*",SAISIE!$E$210:$E$409,$H$347)&gt;=0,0,_xlfn.MINIFS(SAISIE!$D$210:$D$409,SAISIE!$B$210:$B$409,"*Vent G/D*",SAISIE!$E$210:$E$409,$H$347)),"-"))</f>
        <v/>
      </c>
      <c r="D349" s="6" t="str">
        <f>IF($H$347="","",IF(OR(C349="",C349="-"),"",IF(C349&gt;0,"(soulevement)",IF(C349&lt;0,"(compression)","-"))))</f>
        <v/>
      </c>
    </row>
    <row r="350" spans="1:8" x14ac:dyDescent="0.25">
      <c r="A350" s="5" t="str">
        <f>IF(OR($H$347="",NOT(_xlfn.MAXIFS(SAISIE!$D$210:$D$409,SAISIE!$B$210:$B$409,"*Vent G/D*",SAISIE!$E$210:$E$409,$H$347)&gt;0)),"","Vent G/D")</f>
        <v/>
      </c>
      <c r="B350" s="6" t="str">
        <f>IF(OR($H$347="",NOT(_xlfn.MAXIFS(SAISIE!$D$210:$D$409,SAISIE!$B$210:$B$409,"*Vent G/D*",SAISIE!$E$210:$E$409,$H$347)&gt;0)),"",IFERROR(INDEX(SAISIE!$C$210:$C$409,MATCH(_xlfn.MAXIFS(SAISIE!$D$210:$D$409,SAISIE!$B$210:$B$409,"*Vent G/D*",SAISIE!$E$210:$E$409,$H$347),SAISIE!$D$210:$D$409,0)),"-"))</f>
        <v/>
      </c>
      <c r="C350" s="6" t="str">
        <f>IF(OR($H$347="",NOT(_xlfn.MAXIFS(SAISIE!$D$210:$D$409,SAISIE!$B$210:$B$409,"*Vent G/D*",SAISIE!$E$210:$E$409,$H$347)&gt;0)),"",IFERROR(_xlfn.MAXIFS(SAISIE!$D$210:$D$409,SAISIE!$B$210:$B$409,"*Vent G/D*",SAISIE!$E$210:$E$409,$H$347),"-"))</f>
        <v/>
      </c>
      <c r="D350" s="6" t="str">
        <f>IF($H$347="","",IF(OR(C350="",C350="-"),"",IF(C350&gt;0,"(soulevement)",IF(C350&lt;0,"(compression)","-"))))</f>
        <v/>
      </c>
    </row>
    <row r="351" spans="1:8" x14ac:dyDescent="0.25">
      <c r="A351" s="5" t="str">
        <f>IF(OR($H$347="",NOT(COUNTIFS(SAISIE!$B$210:$B$409,"*Vent D/G*",SAISIE!$E$210:$E$409,$H$347)&gt;0)),"","Vent D/G")</f>
        <v/>
      </c>
      <c r="B351" s="6" t="str">
        <f>IF(OR($H$347="",NOT(COUNTIFS(SAISIE!$B$210:$B$409,"*Vent D/G*",SAISIE!$E$210:$E$409,$H$347)&gt;0)),"",IFERROR(IF(_xlfn.MINIFS(SAISIE!$D$210:$D$409,SAISIE!$B$210:$B$409,"*Vent D/G*",SAISIE!$E$210:$E$409,$H$347)&gt;=0,_xlfn.MAXIFS(SAISIE!$C$210:$C$409,SAISIE!$B$210:$B$409,"*Vent D/G*",SAISIE!$E$210:$E$409,$H$347),INDEX(SAISIE!$C$210:$C$409,MATCH(_xlfn.MINIFS(SAISIE!$D$210:$D$409,SAISIE!$B$210:$B$409,"*Vent D/G*",SAISIE!$E$210:$E$409,$H$347),SAISIE!$D$210:$D$409,0))),"-"))</f>
        <v/>
      </c>
      <c r="C351" s="6" t="str">
        <f>IF(OR($H$347="",NOT(COUNTIFS(SAISIE!$B$210:$B$409,"*Vent D/G*",SAISIE!$E$210:$E$409,$H$347)&gt;0)),"",IFERROR(IF(_xlfn.MINIFS(SAISIE!$D$210:$D$409,SAISIE!$B$210:$B$409,"*Vent D/G*",SAISIE!$E$210:$E$409,$H$347)&gt;=0,0,_xlfn.MINIFS(SAISIE!$D$210:$D$409,SAISIE!$B$210:$B$409,"*Vent D/G*",SAISIE!$E$210:$E$409,$H$347)),"-"))</f>
        <v/>
      </c>
      <c r="D351" s="6" t="str">
        <f>IF($H$347="","",IF(OR(C351="",C351="-"),"",IF(C351&gt;0,"(soulevement)",IF(C351&lt;0,"(compression)","-"))))</f>
        <v/>
      </c>
    </row>
    <row r="352" spans="1:8" x14ac:dyDescent="0.25">
      <c r="A352" s="5" t="str">
        <f>IF(OR($H$347="",NOT(_xlfn.MAXIFS(SAISIE!$D$210:$D$409,SAISIE!$B$210:$B$409,"*Vent D/G*",SAISIE!$E$210:$E$409,$H$347)&gt;0)),"","Vent D/G")</f>
        <v/>
      </c>
      <c r="B352" s="6" t="str">
        <f>IF(OR($H$347="",NOT(_xlfn.MAXIFS(SAISIE!$D$210:$D$409,SAISIE!$B$210:$B$409,"*Vent D/G*",SAISIE!$E$210:$E$409,$H$347)&gt;0)),"",IFERROR(INDEX(SAISIE!$C$210:$C$409,MATCH(_xlfn.MAXIFS(SAISIE!$D$210:$D$409,SAISIE!$B$210:$B$409,"*Vent D/G*",SAISIE!$E$210:$E$409,$H$347),SAISIE!$D$210:$D$409,0)),"-"))</f>
        <v/>
      </c>
      <c r="C352" s="6" t="str">
        <f>IF(OR($H$347="",NOT(_xlfn.MAXIFS(SAISIE!$D$210:$D$409,SAISIE!$B$210:$B$409,"*Vent D/G*",SAISIE!$E$210:$E$409,$H$347)&gt;0)),"",IFERROR(_xlfn.MAXIFS(SAISIE!$D$210:$D$409,SAISIE!$B$210:$B$409,"*Vent D/G*",SAISIE!$E$210:$E$409,$H$347),"-"))</f>
        <v/>
      </c>
      <c r="D352" s="6" t="str">
        <f>IF($H$347="","",IF(OR(C352="",C352="-"),"",IF(C352&gt;0,"(soulevement)",IF(C352&lt;0,"(compression)","-"))))</f>
        <v/>
      </c>
    </row>
    <row r="353" spans="1:8" x14ac:dyDescent="0.25">
      <c r="A353" s="5" t="str">
        <f>IF(OR($H$347="",NOT(COUNTIFS(SAISIE!$B$210:$B$409,"*Vent Av./Arr.*",SAISIE!$E$210:$E$409,$H$347)&gt;0)),"","Vent Av./Arr.")</f>
        <v/>
      </c>
      <c r="B353" s="6" t="str">
        <f>IF(OR($H$347="",NOT(COUNTIFS(SAISIE!$B$210:$B$409,"*Vent Av./Arr.*",SAISIE!$E$210:$E$409,$H$347)&gt;0)),"",IFERROR(IF(_xlfn.MINIFS(SAISIE!$D$210:$D$409,SAISIE!$B$210:$B$409,"*Vent Av./Arr.*",SAISIE!$E$210:$E$409,$H$347)&gt;=0,_xlfn.MAXIFS(SAISIE!$C$210:$C$409,SAISIE!$B$210:$B$409,"*Vent Av./Arr.*",SAISIE!$E$210:$E$409,$H$347),INDEX(SAISIE!$C$210:$C$409,MATCH(_xlfn.MINIFS(SAISIE!$D$210:$D$409,SAISIE!$B$210:$B$409,"*Vent Av./Arr.*",SAISIE!$E$210:$E$409,$H$347),SAISIE!$D$210:$D$409,0))),"-"))</f>
        <v/>
      </c>
      <c r="C353" s="6" t="str">
        <f>IF(OR($H$347="",NOT(COUNTIFS(SAISIE!$B$210:$B$409,"*Vent Av./Arr.*",SAISIE!$E$210:$E$409,$H$347)&gt;0)),"",IFERROR(IF(_xlfn.MINIFS(SAISIE!$D$210:$D$409,SAISIE!$B$210:$B$409,"*Vent Av./Arr.*",SAISIE!$E$210:$E$409,$H$347)&gt;=0,0,_xlfn.MINIFS(SAISIE!$D$210:$D$409,SAISIE!$B$210:$B$409,"*Vent Av./Arr.*",SAISIE!$E$210:$E$409,$H$347)),"-"))</f>
        <v/>
      </c>
      <c r="D353" s="6" t="str">
        <f>IF($H$347="","",IF(OR(C353="",C353="-"),"",IF(C353&gt;0,"(soulevement)",IF(C353&lt;0,"(compression)","-"))))</f>
        <v/>
      </c>
    </row>
    <row r="354" spans="1:8" x14ac:dyDescent="0.25">
      <c r="A354" s="5" t="str">
        <f>IF(OR($H$347="",NOT(_xlfn.MAXIFS(SAISIE!$D$210:$D$409,SAISIE!$B$210:$B$409,"*Vent Av./Arr.*",SAISIE!$E$210:$E$409,$H$347)&gt;0)),"","Vent Av./Arr.")</f>
        <v/>
      </c>
      <c r="B354" s="6" t="str">
        <f>IF(OR($H$347="",NOT(_xlfn.MAXIFS(SAISIE!$D$210:$D$409,SAISIE!$B$210:$B$409,"*Vent Av./Arr.*",SAISIE!$E$210:$E$409,$H$347)&gt;0)),"",IFERROR(INDEX(SAISIE!$C$210:$C$409,MATCH(_xlfn.MAXIFS(SAISIE!$D$210:$D$409,SAISIE!$B$210:$B$409,"*Vent Av./Arr.*",SAISIE!$E$210:$E$409,$H$347),SAISIE!$D$210:$D$409,0)),"-"))</f>
        <v/>
      </c>
      <c r="C354" s="6" t="str">
        <f>IF(OR($H$347="",NOT(_xlfn.MAXIFS(SAISIE!$D$210:$D$409,SAISIE!$B$210:$B$409,"*Vent Av./Arr.*",SAISIE!$E$210:$E$409,$H$347)&gt;0)),"",IFERROR(_xlfn.MAXIFS(SAISIE!$D$210:$D$409,SAISIE!$B$210:$B$409,"*Vent Av./Arr.*",SAISIE!$E$210:$E$409,$H$347),"-"))</f>
        <v/>
      </c>
      <c r="D354" s="6" t="str">
        <f>IF($H$347="","",IF(OR(C354="",C354="-"),"",IF(C354&gt;0,"(soulevement)",IF(C354&lt;0,"(compression)","-"))))</f>
        <v/>
      </c>
    </row>
    <row r="355" spans="1:8" x14ac:dyDescent="0.25">
      <c r="A355" s="5" t="str">
        <f>IF(OR($H$347="",NOT(COUNTIFS(SAISIE!$B$210:$B$409,"*Vent Arr./Av.*",SAISIE!$E$210:$E$409,$H$347)&gt;0)),"","Vent Arr./Av.")</f>
        <v/>
      </c>
      <c r="B355" s="6" t="str">
        <f>IF(OR($H$347="",NOT(COUNTIFS(SAISIE!$B$210:$B$409,"*Vent Arr./Av.*",SAISIE!$E$210:$E$409,$H$347)&gt;0)),"",IFERROR(IF(_xlfn.MINIFS(SAISIE!$D$210:$D$409,SAISIE!$B$210:$B$409,"*Vent Arr./Av.*",SAISIE!$E$210:$E$409,$H$347)&gt;=0,_xlfn.MAXIFS(SAISIE!$C$210:$C$409,SAISIE!$B$210:$B$409,"*Vent Arr./Av.*",SAISIE!$E$210:$E$409,$H$347),INDEX(SAISIE!$C$210:$C$409,MATCH(_xlfn.MINIFS(SAISIE!$D$210:$D$409,SAISIE!$B$210:$B$409,"*Vent Arr./Av.*",SAISIE!$E$210:$E$409,$H$347),SAISIE!$D$210:$D$409,0))),"-"))</f>
        <v/>
      </c>
      <c r="C355" s="6" t="str">
        <f>IF(OR($H$347="",NOT(COUNTIFS(SAISIE!$B$210:$B$409,"*Vent Arr./Av.*",SAISIE!$E$210:$E$409,$H$347)&gt;0)),"",IFERROR(IF(_xlfn.MINIFS(SAISIE!$D$210:$D$409,SAISIE!$B$210:$B$409,"*Vent Arr./Av.*",SAISIE!$E$210:$E$409,$H$347)&gt;=0,0,_xlfn.MINIFS(SAISIE!$D$210:$D$409,SAISIE!$B$210:$B$409,"*Vent Arr./Av.*",SAISIE!$E$210:$E$409,$H$347)),"-"))</f>
        <v/>
      </c>
      <c r="D355" s="6" t="str">
        <f>IF($H$347="","",IF(OR(C355="",C355="-"),"",IF(C355&gt;0,"(soulevement)",IF(C355&lt;0,"(compression)","-"))))</f>
        <v/>
      </c>
    </row>
    <row r="356" spans="1:8" x14ac:dyDescent="0.25">
      <c r="A356" s="5" t="str">
        <f>IF(OR($H$347="",NOT(_xlfn.MAXIFS(SAISIE!$D$210:$D$409,SAISIE!$B$210:$B$409,"*Vent Arr./Av.*",SAISIE!$E$210:$E$409,$H$347)&gt;0)),"","Vent Arr./Av.")</f>
        <v/>
      </c>
      <c r="B356" s="6" t="str">
        <f>IF(OR($H$347="",NOT(_xlfn.MAXIFS(SAISIE!$D$210:$D$409,SAISIE!$B$210:$B$409,"*Vent Arr./Av.*",SAISIE!$E$210:$E$409,$H$347)&gt;0)),"",IFERROR(INDEX(SAISIE!$C$210:$C$409,MATCH(_xlfn.MAXIFS(SAISIE!$D$210:$D$409,SAISIE!$B$210:$B$409,"*Vent Arr./Av.*",SAISIE!$E$210:$E$409,$H$347),SAISIE!$D$210:$D$409,0)),"-"))</f>
        <v/>
      </c>
      <c r="C356" s="6" t="str">
        <f>IF(OR($H$347="",NOT(_xlfn.MAXIFS(SAISIE!$D$210:$D$409,SAISIE!$B$210:$B$409,"*Vent Arr./Av.*",SAISIE!$E$210:$E$409,$H$347)&gt;0)),"",IFERROR(_xlfn.MAXIFS(SAISIE!$D$210:$D$409,SAISIE!$B$210:$B$409,"*Vent Arr./Av.*",SAISIE!$E$210:$E$409,$H$347),"-"))</f>
        <v/>
      </c>
      <c r="D356" s="6" t="str">
        <f>IF($H$347="","",IF(OR(C356="",C356="-"),"",IF(C356&gt;0,"(soulevement)",IF(C356&lt;0,"(compression)","-"))))</f>
        <v/>
      </c>
    </row>
    <row r="357" spans="1:8" x14ac:dyDescent="0.25">
      <c r="A357" s="5" t="str">
        <f>IF(OR($H$347="",NOT(TRUE)),"","Neige normale")</f>
        <v/>
      </c>
      <c r="B357" s="6" t="str">
        <f>IF($H$347="","",IFERROR(INDEX(SAISIE!$C$210:$C$409,MATCH(_xlfn.MINIFS(SAISIE!$D$210:$D$409,SAISIE!$B$210:$B$409,"*Neige*",SAISIE!$B$210:$B$409,"&lt;&gt;*accidentel*",SAISIE!$E$210:$E$409,$H$347),SAISIE!$D$210:$D$409,0)),"-"))</f>
        <v/>
      </c>
      <c r="C357" s="6" t="str">
        <f>IF($H$347="","",IFERROR(INDEX(SAISIE!$D$210:$D$409,MATCH(_xlfn.MINIFS(SAISIE!$D$210:$D$409,SAISIE!$B$210:$B$409,"*Neige*",SAISIE!$B$210:$B$409,"&lt;&gt;*accidentel*",SAISIE!$E$210:$E$409,$H$347),SAISIE!$D$210:$D$409,0)),"-"))</f>
        <v/>
      </c>
      <c r="D357" s="6" t="str">
        <f>IF($H$347="","",IF(OR(C357="",C357="-"),"",IF(C357&gt;0,"(soulevement)",IF(C357&lt;0,"(compression)","-"))))</f>
        <v/>
      </c>
    </row>
    <row r="358" spans="1:8" x14ac:dyDescent="0.25">
      <c r="A358" s="5" t="str">
        <f>IF(OR($H$347="",NOT(TRUE)),"","Neige accidentelle")</f>
        <v/>
      </c>
      <c r="B358" s="6" t="str">
        <f>IF($H$347="","",IFERROR(LOOKUP(2,1/((SAISIE!$E$210:$E$409=$H$347)*(ISNUMBER(SEARCH("accidentel",SAISIE!$B$210:$B$409)))),SAISIE!$C$210:$C$409),"-"))</f>
        <v/>
      </c>
      <c r="C358" s="6" t="str">
        <f>IF($H$347="","",IFERROR(LOOKUP(2,1/((SAISIE!$E$210:$E$409=$H$347)*(ISNUMBER(SEARCH("accidentel",SAISIE!$B$210:$B$409)))),SAISIE!$D$210:$D$409),"-"))</f>
        <v/>
      </c>
      <c r="D358" s="6" t="str">
        <f>IF($H$347="","",IF(OR(C358="",C358="-"),"",IF(C358&gt;0,"(soulevement)",IF(C358&lt;0,"(compression)","-"))))</f>
        <v/>
      </c>
    </row>
    <row r="359" spans="1:8" ht="15.75" x14ac:dyDescent="0.25">
      <c r="A359" s="11" t="str">
        <f>IF($H$359="","","Noeud "&amp;$H$359)</f>
        <v/>
      </c>
      <c r="B359" s="12"/>
      <c r="C359" s="12"/>
      <c r="D359" s="12"/>
      <c r="H359" t="str">
        <f>IFERROR(INDEX(SAISIE!$E$210:$E$409,_xlfn.AGGREGATE(15,6,ROW(SAISIE!$E$210:$E$409)-ROW(SAISIE!$E$210)+1/(SAISIE!$E$210:$E$409&lt;&gt;"")/(COUNTIF($H$4:H358,SAISIE!$E$210:$E$409)=0),1)),"")</f>
        <v/>
      </c>
    </row>
    <row r="360" spans="1:8" x14ac:dyDescent="0.25">
      <c r="A360" s="5" t="str">
        <f>IF(OR($H$359="",NOT(TRUE)),"","Couverture")</f>
        <v/>
      </c>
      <c r="B360" s="6" t="str">
        <f>IF($H$359="","",IFERROR(IFERROR(LOOKUP(2,1/((SAISIE!$E$210:$E$409=$H$359)*(LEFT(SAISIE!$B$210:$B$409,2)="G ")),SAISIE!$C$210:$C$409),LOOKUP(2,1/((SAISIE!$E$210:$E$409=$H$359)*(ISNUMBER(SEARCH("Couverture",SAISIE!$B$210:$B$409)))),SAISIE!$C$210:$C$409)),"-"))</f>
        <v/>
      </c>
      <c r="C360" s="6" t="str">
        <f>IF($H$359="","",IFERROR(IFERROR(LOOKUP(2,1/((SAISIE!$E$210:$E$409=$H$359)*(LEFT(SAISIE!$B$210:$B$409,2)="G ")),SAISIE!$D$210:$D$409),LOOKUP(2,1/((SAISIE!$E$210:$E$409=$H$359)*(ISNUMBER(SEARCH("Couverture",SAISIE!$B$210:$B$409)))),SAISIE!$D$210:$D$409)),"-"))</f>
        <v/>
      </c>
      <c r="D360" s="6" t="str">
        <f>IF($H$359="","",IF(OR(C360="",C360="-"),"",IF(C360&gt;0,"(soulevement)",IF(C360&lt;0,"(compression)","-"))))</f>
        <v/>
      </c>
    </row>
    <row r="361" spans="1:8" x14ac:dyDescent="0.25">
      <c r="A361" s="5" t="str">
        <f>IF(OR($H$359="",NOT(COUNTIFS(SAISIE!$B$210:$B$409,"*Vent G/D*",SAISIE!$E$210:$E$409,$H$359)&gt;0)),"","Vent G/D")</f>
        <v/>
      </c>
      <c r="B361" s="6" t="str">
        <f>IF(OR($H$359="",NOT(COUNTIFS(SAISIE!$B$210:$B$409,"*Vent G/D*",SAISIE!$E$210:$E$409,$H$359)&gt;0)),"",IFERROR(IF(_xlfn.MINIFS(SAISIE!$D$210:$D$409,SAISIE!$B$210:$B$409,"*Vent G/D*",SAISIE!$E$210:$E$409,$H$359)&gt;=0,_xlfn.MAXIFS(SAISIE!$C$210:$C$409,SAISIE!$B$210:$B$409,"*Vent G/D*",SAISIE!$E$210:$E$409,$H$359),INDEX(SAISIE!$C$210:$C$409,MATCH(_xlfn.MINIFS(SAISIE!$D$210:$D$409,SAISIE!$B$210:$B$409,"*Vent G/D*",SAISIE!$E$210:$E$409,$H$359),SAISIE!$D$210:$D$409,0))),"-"))</f>
        <v/>
      </c>
      <c r="C361" s="6" t="str">
        <f>IF(OR($H$359="",NOT(COUNTIFS(SAISIE!$B$210:$B$409,"*Vent G/D*",SAISIE!$E$210:$E$409,$H$359)&gt;0)),"",IFERROR(IF(_xlfn.MINIFS(SAISIE!$D$210:$D$409,SAISIE!$B$210:$B$409,"*Vent G/D*",SAISIE!$E$210:$E$409,$H$359)&gt;=0,0,_xlfn.MINIFS(SAISIE!$D$210:$D$409,SAISIE!$B$210:$B$409,"*Vent G/D*",SAISIE!$E$210:$E$409,$H$359)),"-"))</f>
        <v/>
      </c>
      <c r="D361" s="6" t="str">
        <f>IF($H$359="","",IF(OR(C361="",C361="-"),"",IF(C361&gt;0,"(soulevement)",IF(C361&lt;0,"(compression)","-"))))</f>
        <v/>
      </c>
    </row>
    <row r="362" spans="1:8" x14ac:dyDescent="0.25">
      <c r="A362" s="5" t="str">
        <f>IF(OR($H$359="",NOT(_xlfn.MAXIFS(SAISIE!$D$210:$D$409,SAISIE!$B$210:$B$409,"*Vent G/D*",SAISIE!$E$210:$E$409,$H$359)&gt;0)),"","Vent G/D")</f>
        <v/>
      </c>
      <c r="B362" s="6" t="str">
        <f>IF(OR($H$359="",NOT(_xlfn.MAXIFS(SAISIE!$D$210:$D$409,SAISIE!$B$210:$B$409,"*Vent G/D*",SAISIE!$E$210:$E$409,$H$359)&gt;0)),"",IFERROR(INDEX(SAISIE!$C$210:$C$409,MATCH(_xlfn.MAXIFS(SAISIE!$D$210:$D$409,SAISIE!$B$210:$B$409,"*Vent G/D*",SAISIE!$E$210:$E$409,$H$359),SAISIE!$D$210:$D$409,0)),"-"))</f>
        <v/>
      </c>
      <c r="C362" s="6" t="str">
        <f>IF(OR($H$359="",NOT(_xlfn.MAXIFS(SAISIE!$D$210:$D$409,SAISIE!$B$210:$B$409,"*Vent G/D*",SAISIE!$E$210:$E$409,$H$359)&gt;0)),"",IFERROR(_xlfn.MAXIFS(SAISIE!$D$210:$D$409,SAISIE!$B$210:$B$409,"*Vent G/D*",SAISIE!$E$210:$E$409,$H$359),"-"))</f>
        <v/>
      </c>
      <c r="D362" s="6" t="str">
        <f>IF($H$359="","",IF(OR(C362="",C362="-"),"",IF(C362&gt;0,"(soulevement)",IF(C362&lt;0,"(compression)","-"))))</f>
        <v/>
      </c>
    </row>
    <row r="363" spans="1:8" x14ac:dyDescent="0.25">
      <c r="A363" s="5" t="str">
        <f>IF(OR($H$359="",NOT(COUNTIFS(SAISIE!$B$210:$B$409,"*Vent D/G*",SAISIE!$E$210:$E$409,$H$359)&gt;0)),"","Vent D/G")</f>
        <v/>
      </c>
      <c r="B363" s="6" t="str">
        <f>IF(OR($H$359="",NOT(COUNTIFS(SAISIE!$B$210:$B$409,"*Vent D/G*",SAISIE!$E$210:$E$409,$H$359)&gt;0)),"",IFERROR(IF(_xlfn.MINIFS(SAISIE!$D$210:$D$409,SAISIE!$B$210:$B$409,"*Vent D/G*",SAISIE!$E$210:$E$409,$H$359)&gt;=0,_xlfn.MAXIFS(SAISIE!$C$210:$C$409,SAISIE!$B$210:$B$409,"*Vent D/G*",SAISIE!$E$210:$E$409,$H$359),INDEX(SAISIE!$C$210:$C$409,MATCH(_xlfn.MINIFS(SAISIE!$D$210:$D$409,SAISIE!$B$210:$B$409,"*Vent D/G*",SAISIE!$E$210:$E$409,$H$359),SAISIE!$D$210:$D$409,0))),"-"))</f>
        <v/>
      </c>
      <c r="C363" s="6" t="str">
        <f>IF(OR($H$359="",NOT(COUNTIFS(SAISIE!$B$210:$B$409,"*Vent D/G*",SAISIE!$E$210:$E$409,$H$359)&gt;0)),"",IFERROR(IF(_xlfn.MINIFS(SAISIE!$D$210:$D$409,SAISIE!$B$210:$B$409,"*Vent D/G*",SAISIE!$E$210:$E$409,$H$359)&gt;=0,0,_xlfn.MINIFS(SAISIE!$D$210:$D$409,SAISIE!$B$210:$B$409,"*Vent D/G*",SAISIE!$E$210:$E$409,$H$359)),"-"))</f>
        <v/>
      </c>
      <c r="D363" s="6" t="str">
        <f>IF($H$359="","",IF(OR(C363="",C363="-"),"",IF(C363&gt;0,"(soulevement)",IF(C363&lt;0,"(compression)","-"))))</f>
        <v/>
      </c>
    </row>
    <row r="364" spans="1:8" x14ac:dyDescent="0.25">
      <c r="A364" s="5" t="str">
        <f>IF(OR($H$359="",NOT(_xlfn.MAXIFS(SAISIE!$D$210:$D$409,SAISIE!$B$210:$B$409,"*Vent D/G*",SAISIE!$E$210:$E$409,$H$359)&gt;0)),"","Vent D/G")</f>
        <v/>
      </c>
      <c r="B364" s="6" t="str">
        <f>IF(OR($H$359="",NOT(_xlfn.MAXIFS(SAISIE!$D$210:$D$409,SAISIE!$B$210:$B$409,"*Vent D/G*",SAISIE!$E$210:$E$409,$H$359)&gt;0)),"",IFERROR(INDEX(SAISIE!$C$210:$C$409,MATCH(_xlfn.MAXIFS(SAISIE!$D$210:$D$409,SAISIE!$B$210:$B$409,"*Vent D/G*",SAISIE!$E$210:$E$409,$H$359),SAISIE!$D$210:$D$409,0)),"-"))</f>
        <v/>
      </c>
      <c r="C364" s="6" t="str">
        <f>IF(OR($H$359="",NOT(_xlfn.MAXIFS(SAISIE!$D$210:$D$409,SAISIE!$B$210:$B$409,"*Vent D/G*",SAISIE!$E$210:$E$409,$H$359)&gt;0)),"",IFERROR(_xlfn.MAXIFS(SAISIE!$D$210:$D$409,SAISIE!$B$210:$B$409,"*Vent D/G*",SAISIE!$E$210:$E$409,$H$359),"-"))</f>
        <v/>
      </c>
      <c r="D364" s="6" t="str">
        <f>IF($H$359="","",IF(OR(C364="",C364="-"),"",IF(C364&gt;0,"(soulevement)",IF(C364&lt;0,"(compression)","-"))))</f>
        <v/>
      </c>
    </row>
    <row r="365" spans="1:8" x14ac:dyDescent="0.25">
      <c r="A365" s="5" t="str">
        <f>IF(OR($H$359="",NOT(COUNTIFS(SAISIE!$B$210:$B$409,"*Vent Av./Arr.*",SAISIE!$E$210:$E$409,$H$359)&gt;0)),"","Vent Av./Arr.")</f>
        <v/>
      </c>
      <c r="B365" s="6" t="str">
        <f>IF(OR($H$359="",NOT(COUNTIFS(SAISIE!$B$210:$B$409,"*Vent Av./Arr.*",SAISIE!$E$210:$E$409,$H$359)&gt;0)),"",IFERROR(IF(_xlfn.MINIFS(SAISIE!$D$210:$D$409,SAISIE!$B$210:$B$409,"*Vent Av./Arr.*",SAISIE!$E$210:$E$409,$H$359)&gt;=0,_xlfn.MAXIFS(SAISIE!$C$210:$C$409,SAISIE!$B$210:$B$409,"*Vent Av./Arr.*",SAISIE!$E$210:$E$409,$H$359),INDEX(SAISIE!$C$210:$C$409,MATCH(_xlfn.MINIFS(SAISIE!$D$210:$D$409,SAISIE!$B$210:$B$409,"*Vent Av./Arr.*",SAISIE!$E$210:$E$409,$H$359),SAISIE!$D$210:$D$409,0))),"-"))</f>
        <v/>
      </c>
      <c r="C365" s="6" t="str">
        <f>IF(OR($H$359="",NOT(COUNTIFS(SAISIE!$B$210:$B$409,"*Vent Av./Arr.*",SAISIE!$E$210:$E$409,$H$359)&gt;0)),"",IFERROR(IF(_xlfn.MINIFS(SAISIE!$D$210:$D$409,SAISIE!$B$210:$B$409,"*Vent Av./Arr.*",SAISIE!$E$210:$E$409,$H$359)&gt;=0,0,_xlfn.MINIFS(SAISIE!$D$210:$D$409,SAISIE!$B$210:$B$409,"*Vent Av./Arr.*",SAISIE!$E$210:$E$409,$H$359)),"-"))</f>
        <v/>
      </c>
      <c r="D365" s="6" t="str">
        <f>IF($H$359="","",IF(OR(C365="",C365="-"),"",IF(C365&gt;0,"(soulevement)",IF(C365&lt;0,"(compression)","-"))))</f>
        <v/>
      </c>
    </row>
    <row r="366" spans="1:8" x14ac:dyDescent="0.25">
      <c r="A366" s="5" t="str">
        <f>IF(OR($H$359="",NOT(_xlfn.MAXIFS(SAISIE!$D$210:$D$409,SAISIE!$B$210:$B$409,"*Vent Av./Arr.*",SAISIE!$E$210:$E$409,$H$359)&gt;0)),"","Vent Av./Arr.")</f>
        <v/>
      </c>
      <c r="B366" s="6" t="str">
        <f>IF(OR($H$359="",NOT(_xlfn.MAXIFS(SAISIE!$D$210:$D$409,SAISIE!$B$210:$B$409,"*Vent Av./Arr.*",SAISIE!$E$210:$E$409,$H$359)&gt;0)),"",IFERROR(INDEX(SAISIE!$C$210:$C$409,MATCH(_xlfn.MAXIFS(SAISIE!$D$210:$D$409,SAISIE!$B$210:$B$409,"*Vent Av./Arr.*",SAISIE!$E$210:$E$409,$H$359),SAISIE!$D$210:$D$409,0)),"-"))</f>
        <v/>
      </c>
      <c r="C366" s="6" t="str">
        <f>IF(OR($H$359="",NOT(_xlfn.MAXIFS(SAISIE!$D$210:$D$409,SAISIE!$B$210:$B$409,"*Vent Av./Arr.*",SAISIE!$E$210:$E$409,$H$359)&gt;0)),"",IFERROR(_xlfn.MAXIFS(SAISIE!$D$210:$D$409,SAISIE!$B$210:$B$409,"*Vent Av./Arr.*",SAISIE!$E$210:$E$409,$H$359),"-"))</f>
        <v/>
      </c>
      <c r="D366" s="6" t="str">
        <f>IF($H$359="","",IF(OR(C366="",C366="-"),"",IF(C366&gt;0,"(soulevement)",IF(C366&lt;0,"(compression)","-"))))</f>
        <v/>
      </c>
    </row>
    <row r="367" spans="1:8" x14ac:dyDescent="0.25">
      <c r="A367" s="5" t="str">
        <f>IF(OR($H$359="",NOT(COUNTIFS(SAISIE!$B$210:$B$409,"*Vent Arr./Av.*",SAISIE!$E$210:$E$409,$H$359)&gt;0)),"","Vent Arr./Av.")</f>
        <v/>
      </c>
      <c r="B367" s="6" t="str">
        <f>IF(OR($H$359="",NOT(COUNTIFS(SAISIE!$B$210:$B$409,"*Vent Arr./Av.*",SAISIE!$E$210:$E$409,$H$359)&gt;0)),"",IFERROR(IF(_xlfn.MINIFS(SAISIE!$D$210:$D$409,SAISIE!$B$210:$B$409,"*Vent Arr./Av.*",SAISIE!$E$210:$E$409,$H$359)&gt;=0,_xlfn.MAXIFS(SAISIE!$C$210:$C$409,SAISIE!$B$210:$B$409,"*Vent Arr./Av.*",SAISIE!$E$210:$E$409,$H$359),INDEX(SAISIE!$C$210:$C$409,MATCH(_xlfn.MINIFS(SAISIE!$D$210:$D$409,SAISIE!$B$210:$B$409,"*Vent Arr./Av.*",SAISIE!$E$210:$E$409,$H$359),SAISIE!$D$210:$D$409,0))),"-"))</f>
        <v/>
      </c>
      <c r="C367" s="6" t="str">
        <f>IF(OR($H$359="",NOT(COUNTIFS(SAISIE!$B$210:$B$409,"*Vent Arr./Av.*",SAISIE!$E$210:$E$409,$H$359)&gt;0)),"",IFERROR(IF(_xlfn.MINIFS(SAISIE!$D$210:$D$409,SAISIE!$B$210:$B$409,"*Vent Arr./Av.*",SAISIE!$E$210:$E$409,$H$359)&gt;=0,0,_xlfn.MINIFS(SAISIE!$D$210:$D$409,SAISIE!$B$210:$B$409,"*Vent Arr./Av.*",SAISIE!$E$210:$E$409,$H$359)),"-"))</f>
        <v/>
      </c>
      <c r="D367" s="6" t="str">
        <f>IF($H$359="","",IF(OR(C367="",C367="-"),"",IF(C367&gt;0,"(soulevement)",IF(C367&lt;0,"(compression)","-"))))</f>
        <v/>
      </c>
    </row>
    <row r="368" spans="1:8" x14ac:dyDescent="0.25">
      <c r="A368" s="5" t="str">
        <f>IF(OR($H$359="",NOT(_xlfn.MAXIFS(SAISIE!$D$210:$D$409,SAISIE!$B$210:$B$409,"*Vent Arr./Av.*",SAISIE!$E$210:$E$409,$H$359)&gt;0)),"","Vent Arr./Av.")</f>
        <v/>
      </c>
      <c r="B368" s="6" t="str">
        <f>IF(OR($H$359="",NOT(_xlfn.MAXIFS(SAISIE!$D$210:$D$409,SAISIE!$B$210:$B$409,"*Vent Arr./Av.*",SAISIE!$E$210:$E$409,$H$359)&gt;0)),"",IFERROR(INDEX(SAISIE!$C$210:$C$409,MATCH(_xlfn.MAXIFS(SAISIE!$D$210:$D$409,SAISIE!$B$210:$B$409,"*Vent Arr./Av.*",SAISIE!$E$210:$E$409,$H$359),SAISIE!$D$210:$D$409,0)),"-"))</f>
        <v/>
      </c>
      <c r="C368" s="6" t="str">
        <f>IF(OR($H$359="",NOT(_xlfn.MAXIFS(SAISIE!$D$210:$D$409,SAISIE!$B$210:$B$409,"*Vent Arr./Av.*",SAISIE!$E$210:$E$409,$H$359)&gt;0)),"",IFERROR(_xlfn.MAXIFS(SAISIE!$D$210:$D$409,SAISIE!$B$210:$B$409,"*Vent Arr./Av.*",SAISIE!$E$210:$E$409,$H$359),"-"))</f>
        <v/>
      </c>
      <c r="D368" s="6" t="str">
        <f>IF($H$359="","",IF(OR(C368="",C368="-"),"",IF(C368&gt;0,"(soulevement)",IF(C368&lt;0,"(compression)","-"))))</f>
        <v/>
      </c>
    </row>
    <row r="369" spans="1:8" x14ac:dyDescent="0.25">
      <c r="A369" s="5" t="str">
        <f>IF(OR($H$359="",NOT(TRUE)),"","Neige normale")</f>
        <v/>
      </c>
      <c r="B369" s="6" t="str">
        <f>IF($H$359="","",IFERROR(INDEX(SAISIE!$C$210:$C$409,MATCH(_xlfn.MINIFS(SAISIE!$D$210:$D$409,SAISIE!$B$210:$B$409,"*Neige*",SAISIE!$B$210:$B$409,"&lt;&gt;*accidentel*",SAISIE!$E$210:$E$409,$H$359),SAISIE!$D$210:$D$409,0)),"-"))</f>
        <v/>
      </c>
      <c r="C369" s="6" t="str">
        <f>IF($H$359="","",IFERROR(INDEX(SAISIE!$D$210:$D$409,MATCH(_xlfn.MINIFS(SAISIE!$D$210:$D$409,SAISIE!$B$210:$B$409,"*Neige*",SAISIE!$B$210:$B$409,"&lt;&gt;*accidentel*",SAISIE!$E$210:$E$409,$H$359),SAISIE!$D$210:$D$409,0)),"-"))</f>
        <v/>
      </c>
      <c r="D369" s="6" t="str">
        <f>IF($H$359="","",IF(OR(C369="",C369="-"),"",IF(C369&gt;0,"(soulevement)",IF(C369&lt;0,"(compression)","-"))))</f>
        <v/>
      </c>
    </row>
    <row r="370" spans="1:8" x14ac:dyDescent="0.25">
      <c r="A370" s="5" t="str">
        <f>IF(OR($H$359="",NOT(TRUE)),"","Neige accidentelle")</f>
        <v/>
      </c>
      <c r="B370" s="6" t="str">
        <f>IF($H$359="","",IFERROR(LOOKUP(2,1/((SAISIE!$E$210:$E$409=$H$359)*(ISNUMBER(SEARCH("accidentel",SAISIE!$B$210:$B$409)))),SAISIE!$C$210:$C$409),"-"))</f>
        <v/>
      </c>
      <c r="C370" s="6" t="str">
        <f>IF($H$359="","",IFERROR(LOOKUP(2,1/((SAISIE!$E$210:$E$409=$H$359)*(ISNUMBER(SEARCH("accidentel",SAISIE!$B$210:$B$409)))),SAISIE!$D$210:$D$409),"-"))</f>
        <v/>
      </c>
      <c r="D370" s="6" t="str">
        <f>IF($H$359="","",IF(OR(C370="",C370="-"),"",IF(C370&gt;0,"(soulevement)",IF(C370&lt;0,"(compression)","-"))))</f>
        <v/>
      </c>
    </row>
    <row r="371" spans="1:8" ht="15.75" x14ac:dyDescent="0.25">
      <c r="A371" s="11" t="str">
        <f>IF($H$371="","","Noeud "&amp;$H$371)</f>
        <v/>
      </c>
      <c r="B371" s="12"/>
      <c r="C371" s="12"/>
      <c r="D371" s="12"/>
      <c r="H371" t="str">
        <f>IFERROR(INDEX(SAISIE!$E$210:$E$409,_xlfn.AGGREGATE(15,6,ROW(SAISIE!$E$210:$E$409)-ROW(SAISIE!$E$210)+1/(SAISIE!$E$210:$E$409&lt;&gt;"")/(COUNTIF($H$4:H370,SAISIE!$E$210:$E$409)=0),1)),"")</f>
        <v/>
      </c>
    </row>
    <row r="372" spans="1:8" x14ac:dyDescent="0.25">
      <c r="A372" s="5" t="str">
        <f>IF(OR($H$371="",NOT(TRUE)),"","Couverture")</f>
        <v/>
      </c>
      <c r="B372" s="6" t="str">
        <f>IF($H$371="","",IFERROR(IFERROR(LOOKUP(2,1/((SAISIE!$E$210:$E$409=$H$371)*(LEFT(SAISIE!$B$210:$B$409,2)="G ")),SAISIE!$C$210:$C$409),LOOKUP(2,1/((SAISIE!$E$210:$E$409=$H$371)*(ISNUMBER(SEARCH("Couverture",SAISIE!$B$210:$B$409)))),SAISIE!$C$210:$C$409)),"-"))</f>
        <v/>
      </c>
      <c r="C372" s="6" t="str">
        <f>IF($H$371="","",IFERROR(IFERROR(LOOKUP(2,1/((SAISIE!$E$210:$E$409=$H$371)*(LEFT(SAISIE!$B$210:$B$409,2)="G ")),SAISIE!$D$210:$D$409),LOOKUP(2,1/((SAISIE!$E$210:$E$409=$H$371)*(ISNUMBER(SEARCH("Couverture",SAISIE!$B$210:$B$409)))),SAISIE!$D$210:$D$409)),"-"))</f>
        <v/>
      </c>
      <c r="D372" s="6" t="str">
        <f>IF($H$371="","",IF(OR(C372="",C372="-"),"",IF(C372&gt;0,"(soulevement)",IF(C372&lt;0,"(compression)","-"))))</f>
        <v/>
      </c>
    </row>
    <row r="373" spans="1:8" x14ac:dyDescent="0.25">
      <c r="A373" s="5" t="str">
        <f>IF(OR($H$371="",NOT(COUNTIFS(SAISIE!$B$210:$B$409,"*Vent G/D*",SAISIE!$E$210:$E$409,$H$371)&gt;0)),"","Vent G/D")</f>
        <v/>
      </c>
      <c r="B373" s="6" t="str">
        <f>IF(OR($H$371="",NOT(COUNTIFS(SAISIE!$B$210:$B$409,"*Vent G/D*",SAISIE!$E$210:$E$409,$H$371)&gt;0)),"",IFERROR(IF(_xlfn.MINIFS(SAISIE!$D$210:$D$409,SAISIE!$B$210:$B$409,"*Vent G/D*",SAISIE!$E$210:$E$409,$H$371)&gt;=0,_xlfn.MAXIFS(SAISIE!$C$210:$C$409,SAISIE!$B$210:$B$409,"*Vent G/D*",SAISIE!$E$210:$E$409,$H$371),INDEX(SAISIE!$C$210:$C$409,MATCH(_xlfn.MINIFS(SAISIE!$D$210:$D$409,SAISIE!$B$210:$B$409,"*Vent G/D*",SAISIE!$E$210:$E$409,$H$371),SAISIE!$D$210:$D$409,0))),"-"))</f>
        <v/>
      </c>
      <c r="C373" s="6" t="str">
        <f>IF(OR($H$371="",NOT(COUNTIFS(SAISIE!$B$210:$B$409,"*Vent G/D*",SAISIE!$E$210:$E$409,$H$371)&gt;0)),"",IFERROR(IF(_xlfn.MINIFS(SAISIE!$D$210:$D$409,SAISIE!$B$210:$B$409,"*Vent G/D*",SAISIE!$E$210:$E$409,$H$371)&gt;=0,0,_xlfn.MINIFS(SAISIE!$D$210:$D$409,SAISIE!$B$210:$B$409,"*Vent G/D*",SAISIE!$E$210:$E$409,$H$371)),"-"))</f>
        <v/>
      </c>
      <c r="D373" s="6" t="str">
        <f>IF($H$371="","",IF(OR(C373="",C373="-"),"",IF(C373&gt;0,"(soulevement)",IF(C373&lt;0,"(compression)","-"))))</f>
        <v/>
      </c>
    </row>
    <row r="374" spans="1:8" x14ac:dyDescent="0.25">
      <c r="A374" s="5" t="str">
        <f>IF(OR($H$371="",NOT(_xlfn.MAXIFS(SAISIE!$D$210:$D$409,SAISIE!$B$210:$B$409,"*Vent G/D*",SAISIE!$E$210:$E$409,$H$371)&gt;0)),"","Vent G/D")</f>
        <v/>
      </c>
      <c r="B374" s="6" t="str">
        <f>IF(OR($H$371="",NOT(_xlfn.MAXIFS(SAISIE!$D$210:$D$409,SAISIE!$B$210:$B$409,"*Vent G/D*",SAISIE!$E$210:$E$409,$H$371)&gt;0)),"",IFERROR(INDEX(SAISIE!$C$210:$C$409,MATCH(_xlfn.MAXIFS(SAISIE!$D$210:$D$409,SAISIE!$B$210:$B$409,"*Vent G/D*",SAISIE!$E$210:$E$409,$H$371),SAISIE!$D$210:$D$409,0)),"-"))</f>
        <v/>
      </c>
      <c r="C374" s="6" t="str">
        <f>IF(OR($H$371="",NOT(_xlfn.MAXIFS(SAISIE!$D$210:$D$409,SAISIE!$B$210:$B$409,"*Vent G/D*",SAISIE!$E$210:$E$409,$H$371)&gt;0)),"",IFERROR(_xlfn.MAXIFS(SAISIE!$D$210:$D$409,SAISIE!$B$210:$B$409,"*Vent G/D*",SAISIE!$E$210:$E$409,$H$371),"-"))</f>
        <v/>
      </c>
      <c r="D374" s="6" t="str">
        <f>IF($H$371="","",IF(OR(C374="",C374="-"),"",IF(C374&gt;0,"(soulevement)",IF(C374&lt;0,"(compression)","-"))))</f>
        <v/>
      </c>
    </row>
    <row r="375" spans="1:8" x14ac:dyDescent="0.25">
      <c r="A375" s="5" t="str">
        <f>IF(OR($H$371="",NOT(COUNTIFS(SAISIE!$B$210:$B$409,"*Vent D/G*",SAISIE!$E$210:$E$409,$H$371)&gt;0)),"","Vent D/G")</f>
        <v/>
      </c>
      <c r="B375" s="6" t="str">
        <f>IF(OR($H$371="",NOT(COUNTIFS(SAISIE!$B$210:$B$409,"*Vent D/G*",SAISIE!$E$210:$E$409,$H$371)&gt;0)),"",IFERROR(IF(_xlfn.MINIFS(SAISIE!$D$210:$D$409,SAISIE!$B$210:$B$409,"*Vent D/G*",SAISIE!$E$210:$E$409,$H$371)&gt;=0,_xlfn.MAXIFS(SAISIE!$C$210:$C$409,SAISIE!$B$210:$B$409,"*Vent D/G*",SAISIE!$E$210:$E$409,$H$371),INDEX(SAISIE!$C$210:$C$409,MATCH(_xlfn.MINIFS(SAISIE!$D$210:$D$409,SAISIE!$B$210:$B$409,"*Vent D/G*",SAISIE!$E$210:$E$409,$H$371),SAISIE!$D$210:$D$409,0))),"-"))</f>
        <v/>
      </c>
      <c r="C375" s="6" t="str">
        <f>IF(OR($H$371="",NOT(COUNTIFS(SAISIE!$B$210:$B$409,"*Vent D/G*",SAISIE!$E$210:$E$409,$H$371)&gt;0)),"",IFERROR(IF(_xlfn.MINIFS(SAISIE!$D$210:$D$409,SAISIE!$B$210:$B$409,"*Vent D/G*",SAISIE!$E$210:$E$409,$H$371)&gt;=0,0,_xlfn.MINIFS(SAISIE!$D$210:$D$409,SAISIE!$B$210:$B$409,"*Vent D/G*",SAISIE!$E$210:$E$409,$H$371)),"-"))</f>
        <v/>
      </c>
      <c r="D375" s="6" t="str">
        <f>IF($H$371="","",IF(OR(C375="",C375="-"),"",IF(C375&gt;0,"(soulevement)",IF(C375&lt;0,"(compression)","-"))))</f>
        <v/>
      </c>
    </row>
    <row r="376" spans="1:8" x14ac:dyDescent="0.25">
      <c r="A376" s="5" t="str">
        <f>IF(OR($H$371="",NOT(_xlfn.MAXIFS(SAISIE!$D$210:$D$409,SAISIE!$B$210:$B$409,"*Vent D/G*",SAISIE!$E$210:$E$409,$H$371)&gt;0)),"","Vent D/G")</f>
        <v/>
      </c>
      <c r="B376" s="6" t="str">
        <f>IF(OR($H$371="",NOT(_xlfn.MAXIFS(SAISIE!$D$210:$D$409,SAISIE!$B$210:$B$409,"*Vent D/G*",SAISIE!$E$210:$E$409,$H$371)&gt;0)),"",IFERROR(INDEX(SAISIE!$C$210:$C$409,MATCH(_xlfn.MAXIFS(SAISIE!$D$210:$D$409,SAISIE!$B$210:$B$409,"*Vent D/G*",SAISIE!$E$210:$E$409,$H$371),SAISIE!$D$210:$D$409,0)),"-"))</f>
        <v/>
      </c>
      <c r="C376" s="6" t="str">
        <f>IF(OR($H$371="",NOT(_xlfn.MAXIFS(SAISIE!$D$210:$D$409,SAISIE!$B$210:$B$409,"*Vent D/G*",SAISIE!$E$210:$E$409,$H$371)&gt;0)),"",IFERROR(_xlfn.MAXIFS(SAISIE!$D$210:$D$409,SAISIE!$B$210:$B$409,"*Vent D/G*",SAISIE!$E$210:$E$409,$H$371),"-"))</f>
        <v/>
      </c>
      <c r="D376" s="6" t="str">
        <f>IF($H$371="","",IF(OR(C376="",C376="-"),"",IF(C376&gt;0,"(soulevement)",IF(C376&lt;0,"(compression)","-"))))</f>
        <v/>
      </c>
    </row>
    <row r="377" spans="1:8" x14ac:dyDescent="0.25">
      <c r="A377" s="5" t="str">
        <f>IF(OR($H$371="",NOT(COUNTIFS(SAISIE!$B$210:$B$409,"*Vent Av./Arr.*",SAISIE!$E$210:$E$409,$H$371)&gt;0)),"","Vent Av./Arr.")</f>
        <v/>
      </c>
      <c r="B377" s="6" t="str">
        <f>IF(OR($H$371="",NOT(COUNTIFS(SAISIE!$B$210:$B$409,"*Vent Av./Arr.*",SAISIE!$E$210:$E$409,$H$371)&gt;0)),"",IFERROR(IF(_xlfn.MINIFS(SAISIE!$D$210:$D$409,SAISIE!$B$210:$B$409,"*Vent Av./Arr.*",SAISIE!$E$210:$E$409,$H$371)&gt;=0,_xlfn.MAXIFS(SAISIE!$C$210:$C$409,SAISIE!$B$210:$B$409,"*Vent Av./Arr.*",SAISIE!$E$210:$E$409,$H$371),INDEX(SAISIE!$C$210:$C$409,MATCH(_xlfn.MINIFS(SAISIE!$D$210:$D$409,SAISIE!$B$210:$B$409,"*Vent Av./Arr.*",SAISIE!$E$210:$E$409,$H$371),SAISIE!$D$210:$D$409,0))),"-"))</f>
        <v/>
      </c>
      <c r="C377" s="6" t="str">
        <f>IF(OR($H$371="",NOT(COUNTIFS(SAISIE!$B$210:$B$409,"*Vent Av./Arr.*",SAISIE!$E$210:$E$409,$H$371)&gt;0)),"",IFERROR(IF(_xlfn.MINIFS(SAISIE!$D$210:$D$409,SAISIE!$B$210:$B$409,"*Vent Av./Arr.*",SAISIE!$E$210:$E$409,$H$371)&gt;=0,0,_xlfn.MINIFS(SAISIE!$D$210:$D$409,SAISIE!$B$210:$B$409,"*Vent Av./Arr.*",SAISIE!$E$210:$E$409,$H$371)),"-"))</f>
        <v/>
      </c>
      <c r="D377" s="6" t="str">
        <f>IF($H$371="","",IF(OR(C377="",C377="-"),"",IF(C377&gt;0,"(soulevement)",IF(C377&lt;0,"(compression)","-"))))</f>
        <v/>
      </c>
    </row>
    <row r="378" spans="1:8" x14ac:dyDescent="0.25">
      <c r="A378" s="5" t="str">
        <f>IF(OR($H$371="",NOT(_xlfn.MAXIFS(SAISIE!$D$210:$D$409,SAISIE!$B$210:$B$409,"*Vent Av./Arr.*",SAISIE!$E$210:$E$409,$H$371)&gt;0)),"","Vent Av./Arr.")</f>
        <v/>
      </c>
      <c r="B378" s="6" t="str">
        <f>IF(OR($H$371="",NOT(_xlfn.MAXIFS(SAISIE!$D$210:$D$409,SAISIE!$B$210:$B$409,"*Vent Av./Arr.*",SAISIE!$E$210:$E$409,$H$371)&gt;0)),"",IFERROR(INDEX(SAISIE!$C$210:$C$409,MATCH(_xlfn.MAXIFS(SAISIE!$D$210:$D$409,SAISIE!$B$210:$B$409,"*Vent Av./Arr.*",SAISIE!$E$210:$E$409,$H$371),SAISIE!$D$210:$D$409,0)),"-"))</f>
        <v/>
      </c>
      <c r="C378" s="6" t="str">
        <f>IF(OR($H$371="",NOT(_xlfn.MAXIFS(SAISIE!$D$210:$D$409,SAISIE!$B$210:$B$409,"*Vent Av./Arr.*",SAISIE!$E$210:$E$409,$H$371)&gt;0)),"",IFERROR(_xlfn.MAXIFS(SAISIE!$D$210:$D$409,SAISIE!$B$210:$B$409,"*Vent Av./Arr.*",SAISIE!$E$210:$E$409,$H$371),"-"))</f>
        <v/>
      </c>
      <c r="D378" s="6" t="str">
        <f>IF($H$371="","",IF(OR(C378="",C378="-"),"",IF(C378&gt;0,"(soulevement)",IF(C378&lt;0,"(compression)","-"))))</f>
        <v/>
      </c>
    </row>
    <row r="379" spans="1:8" x14ac:dyDescent="0.25">
      <c r="A379" s="5" t="str">
        <f>IF(OR($H$371="",NOT(COUNTIFS(SAISIE!$B$210:$B$409,"*Vent Arr./Av.*",SAISIE!$E$210:$E$409,$H$371)&gt;0)),"","Vent Arr./Av.")</f>
        <v/>
      </c>
      <c r="B379" s="6" t="str">
        <f>IF(OR($H$371="",NOT(COUNTIFS(SAISIE!$B$210:$B$409,"*Vent Arr./Av.*",SAISIE!$E$210:$E$409,$H$371)&gt;0)),"",IFERROR(IF(_xlfn.MINIFS(SAISIE!$D$210:$D$409,SAISIE!$B$210:$B$409,"*Vent Arr./Av.*",SAISIE!$E$210:$E$409,$H$371)&gt;=0,_xlfn.MAXIFS(SAISIE!$C$210:$C$409,SAISIE!$B$210:$B$409,"*Vent Arr./Av.*",SAISIE!$E$210:$E$409,$H$371),INDEX(SAISIE!$C$210:$C$409,MATCH(_xlfn.MINIFS(SAISIE!$D$210:$D$409,SAISIE!$B$210:$B$409,"*Vent Arr./Av.*",SAISIE!$E$210:$E$409,$H$371),SAISIE!$D$210:$D$409,0))),"-"))</f>
        <v/>
      </c>
      <c r="C379" s="6" t="str">
        <f>IF(OR($H$371="",NOT(COUNTIFS(SAISIE!$B$210:$B$409,"*Vent Arr./Av.*",SAISIE!$E$210:$E$409,$H$371)&gt;0)),"",IFERROR(IF(_xlfn.MINIFS(SAISIE!$D$210:$D$409,SAISIE!$B$210:$B$409,"*Vent Arr./Av.*",SAISIE!$E$210:$E$409,$H$371)&gt;=0,0,_xlfn.MINIFS(SAISIE!$D$210:$D$409,SAISIE!$B$210:$B$409,"*Vent Arr./Av.*",SAISIE!$E$210:$E$409,$H$371)),"-"))</f>
        <v/>
      </c>
      <c r="D379" s="6" t="str">
        <f>IF($H$371="","",IF(OR(C379="",C379="-"),"",IF(C379&gt;0,"(soulevement)",IF(C379&lt;0,"(compression)","-"))))</f>
        <v/>
      </c>
    </row>
    <row r="380" spans="1:8" x14ac:dyDescent="0.25">
      <c r="A380" s="5" t="str">
        <f>IF(OR($H$371="",NOT(_xlfn.MAXIFS(SAISIE!$D$210:$D$409,SAISIE!$B$210:$B$409,"*Vent Arr./Av.*",SAISIE!$E$210:$E$409,$H$371)&gt;0)),"","Vent Arr./Av.")</f>
        <v/>
      </c>
      <c r="B380" s="6" t="str">
        <f>IF(OR($H$371="",NOT(_xlfn.MAXIFS(SAISIE!$D$210:$D$409,SAISIE!$B$210:$B$409,"*Vent Arr./Av.*",SAISIE!$E$210:$E$409,$H$371)&gt;0)),"",IFERROR(INDEX(SAISIE!$C$210:$C$409,MATCH(_xlfn.MAXIFS(SAISIE!$D$210:$D$409,SAISIE!$B$210:$B$409,"*Vent Arr./Av.*",SAISIE!$E$210:$E$409,$H$371),SAISIE!$D$210:$D$409,0)),"-"))</f>
        <v/>
      </c>
      <c r="C380" s="6" t="str">
        <f>IF(OR($H$371="",NOT(_xlfn.MAXIFS(SAISIE!$D$210:$D$409,SAISIE!$B$210:$B$409,"*Vent Arr./Av.*",SAISIE!$E$210:$E$409,$H$371)&gt;0)),"",IFERROR(_xlfn.MAXIFS(SAISIE!$D$210:$D$409,SAISIE!$B$210:$B$409,"*Vent Arr./Av.*",SAISIE!$E$210:$E$409,$H$371),"-"))</f>
        <v/>
      </c>
      <c r="D380" s="6" t="str">
        <f>IF($H$371="","",IF(OR(C380="",C380="-"),"",IF(C380&gt;0,"(soulevement)",IF(C380&lt;0,"(compression)","-"))))</f>
        <v/>
      </c>
    </row>
    <row r="381" spans="1:8" x14ac:dyDescent="0.25">
      <c r="A381" s="5" t="str">
        <f>IF(OR($H$371="",NOT(TRUE)),"","Neige normale")</f>
        <v/>
      </c>
      <c r="B381" s="6" t="str">
        <f>IF($H$371="","",IFERROR(INDEX(SAISIE!$C$210:$C$409,MATCH(_xlfn.MINIFS(SAISIE!$D$210:$D$409,SAISIE!$B$210:$B$409,"*Neige*",SAISIE!$B$210:$B$409,"&lt;&gt;*accidentel*",SAISIE!$E$210:$E$409,$H$371),SAISIE!$D$210:$D$409,0)),"-"))</f>
        <v/>
      </c>
      <c r="C381" s="6" t="str">
        <f>IF($H$371="","",IFERROR(INDEX(SAISIE!$D$210:$D$409,MATCH(_xlfn.MINIFS(SAISIE!$D$210:$D$409,SAISIE!$B$210:$B$409,"*Neige*",SAISIE!$B$210:$B$409,"&lt;&gt;*accidentel*",SAISIE!$E$210:$E$409,$H$371),SAISIE!$D$210:$D$409,0)),"-"))</f>
        <v/>
      </c>
      <c r="D381" s="6" t="str">
        <f>IF($H$371="","",IF(OR(C381="",C381="-"),"",IF(C381&gt;0,"(soulevement)",IF(C381&lt;0,"(compression)","-"))))</f>
        <v/>
      </c>
    </row>
    <row r="382" spans="1:8" x14ac:dyDescent="0.25">
      <c r="A382" s="5" t="str">
        <f>IF(OR($H$371="",NOT(TRUE)),"","Neige accidentelle")</f>
        <v/>
      </c>
      <c r="B382" s="6" t="str">
        <f>IF($H$371="","",IFERROR(LOOKUP(2,1/((SAISIE!$E$210:$E$409=$H$371)*(ISNUMBER(SEARCH("accidentel",SAISIE!$B$210:$B$409)))),SAISIE!$C$210:$C$409),"-"))</f>
        <v/>
      </c>
      <c r="C382" s="6" t="str">
        <f>IF($H$371="","",IFERROR(LOOKUP(2,1/((SAISIE!$E$210:$E$409=$H$371)*(ISNUMBER(SEARCH("accidentel",SAISIE!$B$210:$B$409)))),SAISIE!$D$210:$D$409),"-"))</f>
        <v/>
      </c>
      <c r="D382" s="6" t="str">
        <f>IF($H$371="","",IF(OR(C382="",C382="-"),"",IF(C382&gt;0,"(soulevement)",IF(C382&lt;0,"(compression)","-"))))</f>
        <v/>
      </c>
    </row>
    <row r="383" spans="1:8" ht="15.75" x14ac:dyDescent="0.25">
      <c r="A383" s="11" t="str">
        <f>IF($H$383="","","Noeud "&amp;$H$383)</f>
        <v/>
      </c>
      <c r="B383" s="12"/>
      <c r="C383" s="12"/>
      <c r="D383" s="12"/>
      <c r="H383" t="str">
        <f>IFERROR(INDEX(SAISIE!$E$210:$E$409,_xlfn.AGGREGATE(15,6,ROW(SAISIE!$E$210:$E$409)-ROW(SAISIE!$E$210)+1/(SAISIE!$E$210:$E$409&lt;&gt;"")/(COUNTIF($H$4:H382,SAISIE!$E$210:$E$409)=0),1)),"")</f>
        <v/>
      </c>
    </row>
    <row r="384" spans="1:8" x14ac:dyDescent="0.25">
      <c r="A384" s="5" t="str">
        <f>IF(OR($H$383="",NOT(TRUE)),"","Couverture")</f>
        <v/>
      </c>
      <c r="B384" s="6" t="str">
        <f>IF($H$383="","",IFERROR(IFERROR(LOOKUP(2,1/((SAISIE!$E$210:$E$409=$H$383)*(LEFT(SAISIE!$B$210:$B$409,2)="G ")),SAISIE!$C$210:$C$409),LOOKUP(2,1/((SAISIE!$E$210:$E$409=$H$383)*(ISNUMBER(SEARCH("Couverture",SAISIE!$B$210:$B$409)))),SAISIE!$C$210:$C$409)),"-"))</f>
        <v/>
      </c>
      <c r="C384" s="6" t="str">
        <f>IF($H$383="","",IFERROR(IFERROR(LOOKUP(2,1/((SAISIE!$E$210:$E$409=$H$383)*(LEFT(SAISIE!$B$210:$B$409,2)="G ")),SAISIE!$D$210:$D$409),LOOKUP(2,1/((SAISIE!$E$210:$E$409=$H$383)*(ISNUMBER(SEARCH("Couverture",SAISIE!$B$210:$B$409)))),SAISIE!$D$210:$D$409)),"-"))</f>
        <v/>
      </c>
      <c r="D384" s="6" t="str">
        <f>IF($H$383="","",IF(OR(C384="",C384="-"),"",IF(C384&gt;0,"(soulevement)",IF(C384&lt;0,"(compression)","-"))))</f>
        <v/>
      </c>
    </row>
    <row r="385" spans="1:8" x14ac:dyDescent="0.25">
      <c r="A385" s="5" t="str">
        <f>IF(OR($H$383="",NOT(COUNTIFS(SAISIE!$B$210:$B$409,"*Vent G/D*",SAISIE!$E$210:$E$409,$H$383)&gt;0)),"","Vent G/D")</f>
        <v/>
      </c>
      <c r="B385" s="6" t="str">
        <f>IF(OR($H$383="",NOT(COUNTIFS(SAISIE!$B$210:$B$409,"*Vent G/D*",SAISIE!$E$210:$E$409,$H$383)&gt;0)),"",IFERROR(IF(_xlfn.MINIFS(SAISIE!$D$210:$D$409,SAISIE!$B$210:$B$409,"*Vent G/D*",SAISIE!$E$210:$E$409,$H$383)&gt;=0,_xlfn.MAXIFS(SAISIE!$C$210:$C$409,SAISIE!$B$210:$B$409,"*Vent G/D*",SAISIE!$E$210:$E$409,$H$383),INDEX(SAISIE!$C$210:$C$409,MATCH(_xlfn.MINIFS(SAISIE!$D$210:$D$409,SAISIE!$B$210:$B$409,"*Vent G/D*",SAISIE!$E$210:$E$409,$H$383),SAISIE!$D$210:$D$409,0))),"-"))</f>
        <v/>
      </c>
      <c r="C385" s="6" t="str">
        <f>IF(OR($H$383="",NOT(COUNTIFS(SAISIE!$B$210:$B$409,"*Vent G/D*",SAISIE!$E$210:$E$409,$H$383)&gt;0)),"",IFERROR(IF(_xlfn.MINIFS(SAISIE!$D$210:$D$409,SAISIE!$B$210:$B$409,"*Vent G/D*",SAISIE!$E$210:$E$409,$H$383)&gt;=0,0,_xlfn.MINIFS(SAISIE!$D$210:$D$409,SAISIE!$B$210:$B$409,"*Vent G/D*",SAISIE!$E$210:$E$409,$H$383)),"-"))</f>
        <v/>
      </c>
      <c r="D385" s="6" t="str">
        <f>IF($H$383="","",IF(OR(C385="",C385="-"),"",IF(C385&gt;0,"(soulevement)",IF(C385&lt;0,"(compression)","-"))))</f>
        <v/>
      </c>
    </row>
    <row r="386" spans="1:8" x14ac:dyDescent="0.25">
      <c r="A386" s="5" t="str">
        <f>IF(OR($H$383="",NOT(_xlfn.MAXIFS(SAISIE!$D$210:$D$409,SAISIE!$B$210:$B$409,"*Vent G/D*",SAISIE!$E$210:$E$409,$H$383)&gt;0)),"","Vent G/D")</f>
        <v/>
      </c>
      <c r="B386" s="6" t="str">
        <f>IF(OR($H$383="",NOT(_xlfn.MAXIFS(SAISIE!$D$210:$D$409,SAISIE!$B$210:$B$409,"*Vent G/D*",SAISIE!$E$210:$E$409,$H$383)&gt;0)),"",IFERROR(INDEX(SAISIE!$C$210:$C$409,MATCH(_xlfn.MAXIFS(SAISIE!$D$210:$D$409,SAISIE!$B$210:$B$409,"*Vent G/D*",SAISIE!$E$210:$E$409,$H$383),SAISIE!$D$210:$D$409,0)),"-"))</f>
        <v/>
      </c>
      <c r="C386" s="6" t="str">
        <f>IF(OR($H$383="",NOT(_xlfn.MAXIFS(SAISIE!$D$210:$D$409,SAISIE!$B$210:$B$409,"*Vent G/D*",SAISIE!$E$210:$E$409,$H$383)&gt;0)),"",IFERROR(_xlfn.MAXIFS(SAISIE!$D$210:$D$409,SAISIE!$B$210:$B$409,"*Vent G/D*",SAISIE!$E$210:$E$409,$H$383),"-"))</f>
        <v/>
      </c>
      <c r="D386" s="6" t="str">
        <f>IF($H$383="","",IF(OR(C386="",C386="-"),"",IF(C386&gt;0,"(soulevement)",IF(C386&lt;0,"(compression)","-"))))</f>
        <v/>
      </c>
    </row>
    <row r="387" spans="1:8" x14ac:dyDescent="0.25">
      <c r="A387" s="5" t="str">
        <f>IF(OR($H$383="",NOT(COUNTIFS(SAISIE!$B$210:$B$409,"*Vent D/G*",SAISIE!$E$210:$E$409,$H$383)&gt;0)),"","Vent D/G")</f>
        <v/>
      </c>
      <c r="B387" s="6" t="str">
        <f>IF(OR($H$383="",NOT(COUNTIFS(SAISIE!$B$210:$B$409,"*Vent D/G*",SAISIE!$E$210:$E$409,$H$383)&gt;0)),"",IFERROR(IF(_xlfn.MINIFS(SAISIE!$D$210:$D$409,SAISIE!$B$210:$B$409,"*Vent D/G*",SAISIE!$E$210:$E$409,$H$383)&gt;=0,_xlfn.MAXIFS(SAISIE!$C$210:$C$409,SAISIE!$B$210:$B$409,"*Vent D/G*",SAISIE!$E$210:$E$409,$H$383),INDEX(SAISIE!$C$210:$C$409,MATCH(_xlfn.MINIFS(SAISIE!$D$210:$D$409,SAISIE!$B$210:$B$409,"*Vent D/G*",SAISIE!$E$210:$E$409,$H$383),SAISIE!$D$210:$D$409,0))),"-"))</f>
        <v/>
      </c>
      <c r="C387" s="6" t="str">
        <f>IF(OR($H$383="",NOT(COUNTIFS(SAISIE!$B$210:$B$409,"*Vent D/G*",SAISIE!$E$210:$E$409,$H$383)&gt;0)),"",IFERROR(IF(_xlfn.MINIFS(SAISIE!$D$210:$D$409,SAISIE!$B$210:$B$409,"*Vent D/G*",SAISIE!$E$210:$E$409,$H$383)&gt;=0,0,_xlfn.MINIFS(SAISIE!$D$210:$D$409,SAISIE!$B$210:$B$409,"*Vent D/G*",SAISIE!$E$210:$E$409,$H$383)),"-"))</f>
        <v/>
      </c>
      <c r="D387" s="6" t="str">
        <f>IF($H$383="","",IF(OR(C387="",C387="-"),"",IF(C387&gt;0,"(soulevement)",IF(C387&lt;0,"(compression)","-"))))</f>
        <v/>
      </c>
    </row>
    <row r="388" spans="1:8" x14ac:dyDescent="0.25">
      <c r="A388" s="5" t="str">
        <f>IF(OR($H$383="",NOT(_xlfn.MAXIFS(SAISIE!$D$210:$D$409,SAISIE!$B$210:$B$409,"*Vent D/G*",SAISIE!$E$210:$E$409,$H$383)&gt;0)),"","Vent D/G")</f>
        <v/>
      </c>
      <c r="B388" s="6" t="str">
        <f>IF(OR($H$383="",NOT(_xlfn.MAXIFS(SAISIE!$D$210:$D$409,SAISIE!$B$210:$B$409,"*Vent D/G*",SAISIE!$E$210:$E$409,$H$383)&gt;0)),"",IFERROR(INDEX(SAISIE!$C$210:$C$409,MATCH(_xlfn.MAXIFS(SAISIE!$D$210:$D$409,SAISIE!$B$210:$B$409,"*Vent D/G*",SAISIE!$E$210:$E$409,$H$383),SAISIE!$D$210:$D$409,0)),"-"))</f>
        <v/>
      </c>
      <c r="C388" s="6" t="str">
        <f>IF(OR($H$383="",NOT(_xlfn.MAXIFS(SAISIE!$D$210:$D$409,SAISIE!$B$210:$B$409,"*Vent D/G*",SAISIE!$E$210:$E$409,$H$383)&gt;0)),"",IFERROR(_xlfn.MAXIFS(SAISIE!$D$210:$D$409,SAISIE!$B$210:$B$409,"*Vent D/G*",SAISIE!$E$210:$E$409,$H$383),"-"))</f>
        <v/>
      </c>
      <c r="D388" s="6" t="str">
        <f>IF($H$383="","",IF(OR(C388="",C388="-"),"",IF(C388&gt;0,"(soulevement)",IF(C388&lt;0,"(compression)","-"))))</f>
        <v/>
      </c>
    </row>
    <row r="389" spans="1:8" x14ac:dyDescent="0.25">
      <c r="A389" s="5" t="str">
        <f>IF(OR($H$383="",NOT(COUNTIFS(SAISIE!$B$210:$B$409,"*Vent Av./Arr.*",SAISIE!$E$210:$E$409,$H$383)&gt;0)),"","Vent Av./Arr.")</f>
        <v/>
      </c>
      <c r="B389" s="6" t="str">
        <f>IF(OR($H$383="",NOT(COUNTIFS(SAISIE!$B$210:$B$409,"*Vent Av./Arr.*",SAISIE!$E$210:$E$409,$H$383)&gt;0)),"",IFERROR(IF(_xlfn.MINIFS(SAISIE!$D$210:$D$409,SAISIE!$B$210:$B$409,"*Vent Av./Arr.*",SAISIE!$E$210:$E$409,$H$383)&gt;=0,_xlfn.MAXIFS(SAISIE!$C$210:$C$409,SAISIE!$B$210:$B$409,"*Vent Av./Arr.*",SAISIE!$E$210:$E$409,$H$383),INDEX(SAISIE!$C$210:$C$409,MATCH(_xlfn.MINIFS(SAISIE!$D$210:$D$409,SAISIE!$B$210:$B$409,"*Vent Av./Arr.*",SAISIE!$E$210:$E$409,$H$383),SAISIE!$D$210:$D$409,0))),"-"))</f>
        <v/>
      </c>
      <c r="C389" s="6" t="str">
        <f>IF(OR($H$383="",NOT(COUNTIFS(SAISIE!$B$210:$B$409,"*Vent Av./Arr.*",SAISIE!$E$210:$E$409,$H$383)&gt;0)),"",IFERROR(IF(_xlfn.MINIFS(SAISIE!$D$210:$D$409,SAISIE!$B$210:$B$409,"*Vent Av./Arr.*",SAISIE!$E$210:$E$409,$H$383)&gt;=0,0,_xlfn.MINIFS(SAISIE!$D$210:$D$409,SAISIE!$B$210:$B$409,"*Vent Av./Arr.*",SAISIE!$E$210:$E$409,$H$383)),"-"))</f>
        <v/>
      </c>
      <c r="D389" s="6" t="str">
        <f>IF($H$383="","",IF(OR(C389="",C389="-"),"",IF(C389&gt;0,"(soulevement)",IF(C389&lt;0,"(compression)","-"))))</f>
        <v/>
      </c>
    </row>
    <row r="390" spans="1:8" x14ac:dyDescent="0.25">
      <c r="A390" s="5" t="str">
        <f>IF(OR($H$383="",NOT(_xlfn.MAXIFS(SAISIE!$D$210:$D$409,SAISIE!$B$210:$B$409,"*Vent Av./Arr.*",SAISIE!$E$210:$E$409,$H$383)&gt;0)),"","Vent Av./Arr.")</f>
        <v/>
      </c>
      <c r="B390" s="6" t="str">
        <f>IF(OR($H$383="",NOT(_xlfn.MAXIFS(SAISIE!$D$210:$D$409,SAISIE!$B$210:$B$409,"*Vent Av./Arr.*",SAISIE!$E$210:$E$409,$H$383)&gt;0)),"",IFERROR(INDEX(SAISIE!$C$210:$C$409,MATCH(_xlfn.MAXIFS(SAISIE!$D$210:$D$409,SAISIE!$B$210:$B$409,"*Vent Av./Arr.*",SAISIE!$E$210:$E$409,$H$383),SAISIE!$D$210:$D$409,0)),"-"))</f>
        <v/>
      </c>
      <c r="C390" s="6" t="str">
        <f>IF(OR($H$383="",NOT(_xlfn.MAXIFS(SAISIE!$D$210:$D$409,SAISIE!$B$210:$B$409,"*Vent Av./Arr.*",SAISIE!$E$210:$E$409,$H$383)&gt;0)),"",IFERROR(_xlfn.MAXIFS(SAISIE!$D$210:$D$409,SAISIE!$B$210:$B$409,"*Vent Av./Arr.*",SAISIE!$E$210:$E$409,$H$383),"-"))</f>
        <v/>
      </c>
      <c r="D390" s="6" t="str">
        <f>IF($H$383="","",IF(OR(C390="",C390="-"),"",IF(C390&gt;0,"(soulevement)",IF(C390&lt;0,"(compression)","-"))))</f>
        <v/>
      </c>
    </row>
    <row r="391" spans="1:8" x14ac:dyDescent="0.25">
      <c r="A391" s="5" t="str">
        <f>IF(OR($H$383="",NOT(COUNTIFS(SAISIE!$B$210:$B$409,"*Vent Arr./Av.*",SAISIE!$E$210:$E$409,$H$383)&gt;0)),"","Vent Arr./Av.")</f>
        <v/>
      </c>
      <c r="B391" s="6" t="str">
        <f>IF(OR($H$383="",NOT(COUNTIFS(SAISIE!$B$210:$B$409,"*Vent Arr./Av.*",SAISIE!$E$210:$E$409,$H$383)&gt;0)),"",IFERROR(IF(_xlfn.MINIFS(SAISIE!$D$210:$D$409,SAISIE!$B$210:$B$409,"*Vent Arr./Av.*",SAISIE!$E$210:$E$409,$H$383)&gt;=0,_xlfn.MAXIFS(SAISIE!$C$210:$C$409,SAISIE!$B$210:$B$409,"*Vent Arr./Av.*",SAISIE!$E$210:$E$409,$H$383),INDEX(SAISIE!$C$210:$C$409,MATCH(_xlfn.MINIFS(SAISIE!$D$210:$D$409,SAISIE!$B$210:$B$409,"*Vent Arr./Av.*",SAISIE!$E$210:$E$409,$H$383),SAISIE!$D$210:$D$409,0))),"-"))</f>
        <v/>
      </c>
      <c r="C391" s="6" t="str">
        <f>IF(OR($H$383="",NOT(COUNTIFS(SAISIE!$B$210:$B$409,"*Vent Arr./Av.*",SAISIE!$E$210:$E$409,$H$383)&gt;0)),"",IFERROR(IF(_xlfn.MINIFS(SAISIE!$D$210:$D$409,SAISIE!$B$210:$B$409,"*Vent Arr./Av.*",SAISIE!$E$210:$E$409,$H$383)&gt;=0,0,_xlfn.MINIFS(SAISIE!$D$210:$D$409,SAISIE!$B$210:$B$409,"*Vent Arr./Av.*",SAISIE!$E$210:$E$409,$H$383)),"-"))</f>
        <v/>
      </c>
      <c r="D391" s="6" t="str">
        <f>IF($H$383="","",IF(OR(C391="",C391="-"),"",IF(C391&gt;0,"(soulevement)",IF(C391&lt;0,"(compression)","-"))))</f>
        <v/>
      </c>
    </row>
    <row r="392" spans="1:8" x14ac:dyDescent="0.25">
      <c r="A392" s="5" t="str">
        <f>IF(OR($H$383="",NOT(_xlfn.MAXIFS(SAISIE!$D$210:$D$409,SAISIE!$B$210:$B$409,"*Vent Arr./Av.*",SAISIE!$E$210:$E$409,$H$383)&gt;0)),"","Vent Arr./Av.")</f>
        <v/>
      </c>
      <c r="B392" s="6" t="str">
        <f>IF(OR($H$383="",NOT(_xlfn.MAXIFS(SAISIE!$D$210:$D$409,SAISIE!$B$210:$B$409,"*Vent Arr./Av.*",SAISIE!$E$210:$E$409,$H$383)&gt;0)),"",IFERROR(INDEX(SAISIE!$C$210:$C$409,MATCH(_xlfn.MAXIFS(SAISIE!$D$210:$D$409,SAISIE!$B$210:$B$409,"*Vent Arr./Av.*",SAISIE!$E$210:$E$409,$H$383),SAISIE!$D$210:$D$409,0)),"-"))</f>
        <v/>
      </c>
      <c r="C392" s="6" t="str">
        <f>IF(OR($H$383="",NOT(_xlfn.MAXIFS(SAISIE!$D$210:$D$409,SAISIE!$B$210:$B$409,"*Vent Arr./Av.*",SAISIE!$E$210:$E$409,$H$383)&gt;0)),"",IFERROR(_xlfn.MAXIFS(SAISIE!$D$210:$D$409,SAISIE!$B$210:$B$409,"*Vent Arr./Av.*",SAISIE!$E$210:$E$409,$H$383),"-"))</f>
        <v/>
      </c>
      <c r="D392" s="6" t="str">
        <f>IF($H$383="","",IF(OR(C392="",C392="-"),"",IF(C392&gt;0,"(soulevement)",IF(C392&lt;0,"(compression)","-"))))</f>
        <v/>
      </c>
    </row>
    <row r="393" spans="1:8" x14ac:dyDescent="0.25">
      <c r="A393" s="5" t="str">
        <f>IF(OR($H$383="",NOT(TRUE)),"","Neige normale")</f>
        <v/>
      </c>
      <c r="B393" s="6" t="str">
        <f>IF($H$383="","",IFERROR(INDEX(SAISIE!$C$210:$C$409,MATCH(_xlfn.MINIFS(SAISIE!$D$210:$D$409,SAISIE!$B$210:$B$409,"*Neige*",SAISIE!$B$210:$B$409,"&lt;&gt;*accidentel*",SAISIE!$E$210:$E$409,$H$383),SAISIE!$D$210:$D$409,0)),"-"))</f>
        <v/>
      </c>
      <c r="C393" s="6" t="str">
        <f>IF($H$383="","",IFERROR(INDEX(SAISIE!$D$210:$D$409,MATCH(_xlfn.MINIFS(SAISIE!$D$210:$D$409,SAISIE!$B$210:$B$409,"*Neige*",SAISIE!$B$210:$B$409,"&lt;&gt;*accidentel*",SAISIE!$E$210:$E$409,$H$383),SAISIE!$D$210:$D$409,0)),"-"))</f>
        <v/>
      </c>
      <c r="D393" s="6" t="str">
        <f>IF($H$383="","",IF(OR(C393="",C393="-"),"",IF(C393&gt;0,"(soulevement)",IF(C393&lt;0,"(compression)","-"))))</f>
        <v/>
      </c>
    </row>
    <row r="394" spans="1:8" x14ac:dyDescent="0.25">
      <c r="A394" s="5" t="str">
        <f>IF(OR($H$383="",NOT(TRUE)),"","Neige accidentelle")</f>
        <v/>
      </c>
      <c r="B394" s="6" t="str">
        <f>IF($H$383="","",IFERROR(LOOKUP(2,1/((SAISIE!$E$210:$E$409=$H$383)*(ISNUMBER(SEARCH("accidentel",SAISIE!$B$210:$B$409)))),SAISIE!$C$210:$C$409),"-"))</f>
        <v/>
      </c>
      <c r="C394" s="6" t="str">
        <f>IF($H$383="","",IFERROR(LOOKUP(2,1/((SAISIE!$E$210:$E$409=$H$383)*(ISNUMBER(SEARCH("accidentel",SAISIE!$B$210:$B$409)))),SAISIE!$D$210:$D$409),"-"))</f>
        <v/>
      </c>
      <c r="D394" s="6" t="str">
        <f>IF($H$383="","",IF(OR(C394="",C394="-"),"",IF(C394&gt;0,"(soulevement)",IF(C394&lt;0,"(compression)","-"))))</f>
        <v/>
      </c>
    </row>
    <row r="395" spans="1:8" ht="15.75" x14ac:dyDescent="0.25">
      <c r="A395" s="11" t="str">
        <f>IF($H$395="","","Noeud "&amp;$H$395)</f>
        <v/>
      </c>
      <c r="B395" s="12"/>
      <c r="C395" s="12"/>
      <c r="D395" s="12"/>
      <c r="H395" t="str">
        <f>IFERROR(INDEX(SAISIE!$E$210:$E$409,_xlfn.AGGREGATE(15,6,ROW(SAISIE!$E$210:$E$409)-ROW(SAISIE!$E$210)+1/(SAISIE!$E$210:$E$409&lt;&gt;"")/(COUNTIF($H$4:H394,SAISIE!$E$210:$E$409)=0),1)),"")</f>
        <v/>
      </c>
    </row>
    <row r="396" spans="1:8" x14ac:dyDescent="0.25">
      <c r="A396" s="5" t="str">
        <f>IF(OR($H$395="",NOT(TRUE)),"","Couverture")</f>
        <v/>
      </c>
      <c r="B396" s="6" t="str">
        <f>IF($H$395="","",IFERROR(IFERROR(LOOKUP(2,1/((SAISIE!$E$210:$E$409=$H$395)*(LEFT(SAISIE!$B$210:$B$409,2)="G ")),SAISIE!$C$210:$C$409),LOOKUP(2,1/((SAISIE!$E$210:$E$409=$H$395)*(ISNUMBER(SEARCH("Couverture",SAISIE!$B$210:$B$409)))),SAISIE!$C$210:$C$409)),"-"))</f>
        <v/>
      </c>
      <c r="C396" s="6" t="str">
        <f>IF($H$395="","",IFERROR(IFERROR(LOOKUP(2,1/((SAISIE!$E$210:$E$409=$H$395)*(LEFT(SAISIE!$B$210:$B$409,2)="G ")),SAISIE!$D$210:$D$409),LOOKUP(2,1/((SAISIE!$E$210:$E$409=$H$395)*(ISNUMBER(SEARCH("Couverture",SAISIE!$B$210:$B$409)))),SAISIE!$D$210:$D$409)),"-"))</f>
        <v/>
      </c>
      <c r="D396" s="6" t="str">
        <f>IF($H$395="","",IF(OR(C396="",C396="-"),"",IF(C396&gt;0,"(soulevement)",IF(C396&lt;0,"(compression)","-"))))</f>
        <v/>
      </c>
    </row>
    <row r="397" spans="1:8" x14ac:dyDescent="0.25">
      <c r="A397" s="5" t="str">
        <f>IF(OR($H$395="",NOT(COUNTIFS(SAISIE!$B$210:$B$409,"*Vent G/D*",SAISIE!$E$210:$E$409,$H$395)&gt;0)),"","Vent G/D")</f>
        <v/>
      </c>
      <c r="B397" s="6" t="str">
        <f>IF(OR($H$395="",NOT(COUNTIFS(SAISIE!$B$210:$B$409,"*Vent G/D*",SAISIE!$E$210:$E$409,$H$395)&gt;0)),"",IFERROR(IF(_xlfn.MINIFS(SAISIE!$D$210:$D$409,SAISIE!$B$210:$B$409,"*Vent G/D*",SAISIE!$E$210:$E$409,$H$395)&gt;=0,_xlfn.MAXIFS(SAISIE!$C$210:$C$409,SAISIE!$B$210:$B$409,"*Vent G/D*",SAISIE!$E$210:$E$409,$H$395),INDEX(SAISIE!$C$210:$C$409,MATCH(_xlfn.MINIFS(SAISIE!$D$210:$D$409,SAISIE!$B$210:$B$409,"*Vent G/D*",SAISIE!$E$210:$E$409,$H$395),SAISIE!$D$210:$D$409,0))),"-"))</f>
        <v/>
      </c>
      <c r="C397" s="6" t="str">
        <f>IF(OR($H$395="",NOT(COUNTIFS(SAISIE!$B$210:$B$409,"*Vent G/D*",SAISIE!$E$210:$E$409,$H$395)&gt;0)),"",IFERROR(IF(_xlfn.MINIFS(SAISIE!$D$210:$D$409,SAISIE!$B$210:$B$409,"*Vent G/D*",SAISIE!$E$210:$E$409,$H$395)&gt;=0,0,_xlfn.MINIFS(SAISIE!$D$210:$D$409,SAISIE!$B$210:$B$409,"*Vent G/D*",SAISIE!$E$210:$E$409,$H$395)),"-"))</f>
        <v/>
      </c>
      <c r="D397" s="6" t="str">
        <f>IF($H$395="","",IF(OR(C397="",C397="-"),"",IF(C397&gt;0,"(soulevement)",IF(C397&lt;0,"(compression)","-"))))</f>
        <v/>
      </c>
    </row>
    <row r="398" spans="1:8" x14ac:dyDescent="0.25">
      <c r="A398" s="5" t="str">
        <f>IF(OR($H$395="",NOT(_xlfn.MAXIFS(SAISIE!$D$210:$D$409,SAISIE!$B$210:$B$409,"*Vent G/D*",SAISIE!$E$210:$E$409,$H$395)&gt;0)),"","Vent G/D")</f>
        <v/>
      </c>
      <c r="B398" s="6" t="str">
        <f>IF(OR($H$395="",NOT(_xlfn.MAXIFS(SAISIE!$D$210:$D$409,SAISIE!$B$210:$B$409,"*Vent G/D*",SAISIE!$E$210:$E$409,$H$395)&gt;0)),"",IFERROR(INDEX(SAISIE!$C$210:$C$409,MATCH(_xlfn.MAXIFS(SAISIE!$D$210:$D$409,SAISIE!$B$210:$B$409,"*Vent G/D*",SAISIE!$E$210:$E$409,$H$395),SAISIE!$D$210:$D$409,0)),"-"))</f>
        <v/>
      </c>
      <c r="C398" s="6" t="str">
        <f>IF(OR($H$395="",NOT(_xlfn.MAXIFS(SAISIE!$D$210:$D$409,SAISIE!$B$210:$B$409,"*Vent G/D*",SAISIE!$E$210:$E$409,$H$395)&gt;0)),"",IFERROR(_xlfn.MAXIFS(SAISIE!$D$210:$D$409,SAISIE!$B$210:$B$409,"*Vent G/D*",SAISIE!$E$210:$E$409,$H$395),"-"))</f>
        <v/>
      </c>
      <c r="D398" s="6" t="str">
        <f>IF($H$395="","",IF(OR(C398="",C398="-"),"",IF(C398&gt;0,"(soulevement)",IF(C398&lt;0,"(compression)","-"))))</f>
        <v/>
      </c>
    </row>
    <row r="399" spans="1:8" x14ac:dyDescent="0.25">
      <c r="A399" s="5" t="str">
        <f>IF(OR($H$395="",NOT(COUNTIFS(SAISIE!$B$210:$B$409,"*Vent D/G*",SAISIE!$E$210:$E$409,$H$395)&gt;0)),"","Vent D/G")</f>
        <v/>
      </c>
      <c r="B399" s="6" t="str">
        <f>IF(OR($H$395="",NOT(COUNTIFS(SAISIE!$B$210:$B$409,"*Vent D/G*",SAISIE!$E$210:$E$409,$H$395)&gt;0)),"",IFERROR(IF(_xlfn.MINIFS(SAISIE!$D$210:$D$409,SAISIE!$B$210:$B$409,"*Vent D/G*",SAISIE!$E$210:$E$409,$H$395)&gt;=0,_xlfn.MAXIFS(SAISIE!$C$210:$C$409,SAISIE!$B$210:$B$409,"*Vent D/G*",SAISIE!$E$210:$E$409,$H$395),INDEX(SAISIE!$C$210:$C$409,MATCH(_xlfn.MINIFS(SAISIE!$D$210:$D$409,SAISIE!$B$210:$B$409,"*Vent D/G*",SAISIE!$E$210:$E$409,$H$395),SAISIE!$D$210:$D$409,0))),"-"))</f>
        <v/>
      </c>
      <c r="C399" s="6" t="str">
        <f>IF(OR($H$395="",NOT(COUNTIFS(SAISIE!$B$210:$B$409,"*Vent D/G*",SAISIE!$E$210:$E$409,$H$395)&gt;0)),"",IFERROR(IF(_xlfn.MINIFS(SAISIE!$D$210:$D$409,SAISIE!$B$210:$B$409,"*Vent D/G*",SAISIE!$E$210:$E$409,$H$395)&gt;=0,0,_xlfn.MINIFS(SAISIE!$D$210:$D$409,SAISIE!$B$210:$B$409,"*Vent D/G*",SAISIE!$E$210:$E$409,$H$395)),"-"))</f>
        <v/>
      </c>
      <c r="D399" s="6" t="str">
        <f>IF($H$395="","",IF(OR(C399="",C399="-"),"",IF(C399&gt;0,"(soulevement)",IF(C399&lt;0,"(compression)","-"))))</f>
        <v/>
      </c>
    </row>
    <row r="400" spans="1:8" x14ac:dyDescent="0.25">
      <c r="A400" s="5" t="str">
        <f>IF(OR($H$395="",NOT(_xlfn.MAXIFS(SAISIE!$D$210:$D$409,SAISIE!$B$210:$B$409,"*Vent D/G*",SAISIE!$E$210:$E$409,$H$395)&gt;0)),"","Vent D/G")</f>
        <v/>
      </c>
      <c r="B400" s="6" t="str">
        <f>IF(OR($H$395="",NOT(_xlfn.MAXIFS(SAISIE!$D$210:$D$409,SAISIE!$B$210:$B$409,"*Vent D/G*",SAISIE!$E$210:$E$409,$H$395)&gt;0)),"",IFERROR(INDEX(SAISIE!$C$210:$C$409,MATCH(_xlfn.MAXIFS(SAISIE!$D$210:$D$409,SAISIE!$B$210:$B$409,"*Vent D/G*",SAISIE!$E$210:$E$409,$H$395),SAISIE!$D$210:$D$409,0)),"-"))</f>
        <v/>
      </c>
      <c r="C400" s="6" t="str">
        <f>IF(OR($H$395="",NOT(_xlfn.MAXIFS(SAISIE!$D$210:$D$409,SAISIE!$B$210:$B$409,"*Vent D/G*",SAISIE!$E$210:$E$409,$H$395)&gt;0)),"",IFERROR(_xlfn.MAXIFS(SAISIE!$D$210:$D$409,SAISIE!$B$210:$B$409,"*Vent D/G*",SAISIE!$E$210:$E$409,$H$395),"-"))</f>
        <v/>
      </c>
      <c r="D400" s="6" t="str">
        <f>IF($H$395="","",IF(OR(C400="",C400="-"),"",IF(C400&gt;0,"(soulevement)",IF(C400&lt;0,"(compression)","-"))))</f>
        <v/>
      </c>
    </row>
    <row r="401" spans="1:8" x14ac:dyDescent="0.25">
      <c r="A401" s="5" t="str">
        <f>IF(OR($H$395="",NOT(COUNTIFS(SAISIE!$B$210:$B$409,"*Vent Av./Arr.*",SAISIE!$E$210:$E$409,$H$395)&gt;0)),"","Vent Av./Arr.")</f>
        <v/>
      </c>
      <c r="B401" s="6" t="str">
        <f>IF(OR($H$395="",NOT(COUNTIFS(SAISIE!$B$210:$B$409,"*Vent Av./Arr.*",SAISIE!$E$210:$E$409,$H$395)&gt;0)),"",IFERROR(IF(_xlfn.MINIFS(SAISIE!$D$210:$D$409,SAISIE!$B$210:$B$409,"*Vent Av./Arr.*",SAISIE!$E$210:$E$409,$H$395)&gt;=0,_xlfn.MAXIFS(SAISIE!$C$210:$C$409,SAISIE!$B$210:$B$409,"*Vent Av./Arr.*",SAISIE!$E$210:$E$409,$H$395),INDEX(SAISIE!$C$210:$C$409,MATCH(_xlfn.MINIFS(SAISIE!$D$210:$D$409,SAISIE!$B$210:$B$409,"*Vent Av./Arr.*",SAISIE!$E$210:$E$409,$H$395),SAISIE!$D$210:$D$409,0))),"-"))</f>
        <v/>
      </c>
      <c r="C401" s="6" t="str">
        <f>IF(OR($H$395="",NOT(COUNTIFS(SAISIE!$B$210:$B$409,"*Vent Av./Arr.*",SAISIE!$E$210:$E$409,$H$395)&gt;0)),"",IFERROR(IF(_xlfn.MINIFS(SAISIE!$D$210:$D$409,SAISIE!$B$210:$B$409,"*Vent Av./Arr.*",SAISIE!$E$210:$E$409,$H$395)&gt;=0,0,_xlfn.MINIFS(SAISIE!$D$210:$D$409,SAISIE!$B$210:$B$409,"*Vent Av./Arr.*",SAISIE!$E$210:$E$409,$H$395)),"-"))</f>
        <v/>
      </c>
      <c r="D401" s="6" t="str">
        <f>IF($H$395="","",IF(OR(C401="",C401="-"),"",IF(C401&gt;0,"(soulevement)",IF(C401&lt;0,"(compression)","-"))))</f>
        <v/>
      </c>
    </row>
    <row r="402" spans="1:8" x14ac:dyDescent="0.25">
      <c r="A402" s="5" t="str">
        <f>IF(OR($H$395="",NOT(_xlfn.MAXIFS(SAISIE!$D$210:$D$409,SAISIE!$B$210:$B$409,"*Vent Av./Arr.*",SAISIE!$E$210:$E$409,$H$395)&gt;0)),"","Vent Av./Arr.")</f>
        <v/>
      </c>
      <c r="B402" s="6" t="str">
        <f>IF(OR($H$395="",NOT(_xlfn.MAXIFS(SAISIE!$D$210:$D$409,SAISIE!$B$210:$B$409,"*Vent Av./Arr.*",SAISIE!$E$210:$E$409,$H$395)&gt;0)),"",IFERROR(INDEX(SAISIE!$C$210:$C$409,MATCH(_xlfn.MAXIFS(SAISIE!$D$210:$D$409,SAISIE!$B$210:$B$409,"*Vent Av./Arr.*",SAISIE!$E$210:$E$409,$H$395),SAISIE!$D$210:$D$409,0)),"-"))</f>
        <v/>
      </c>
      <c r="C402" s="6" t="str">
        <f>IF(OR($H$395="",NOT(_xlfn.MAXIFS(SAISIE!$D$210:$D$409,SAISIE!$B$210:$B$409,"*Vent Av./Arr.*",SAISIE!$E$210:$E$409,$H$395)&gt;0)),"",IFERROR(_xlfn.MAXIFS(SAISIE!$D$210:$D$409,SAISIE!$B$210:$B$409,"*Vent Av./Arr.*",SAISIE!$E$210:$E$409,$H$395),"-"))</f>
        <v/>
      </c>
      <c r="D402" s="6" t="str">
        <f>IF($H$395="","",IF(OR(C402="",C402="-"),"",IF(C402&gt;0,"(soulevement)",IF(C402&lt;0,"(compression)","-"))))</f>
        <v/>
      </c>
    </row>
    <row r="403" spans="1:8" x14ac:dyDescent="0.25">
      <c r="A403" s="5" t="str">
        <f>IF(OR($H$395="",NOT(COUNTIFS(SAISIE!$B$210:$B$409,"*Vent Arr./Av.*",SAISIE!$E$210:$E$409,$H$395)&gt;0)),"","Vent Arr./Av.")</f>
        <v/>
      </c>
      <c r="B403" s="6" t="str">
        <f>IF(OR($H$395="",NOT(COUNTIFS(SAISIE!$B$210:$B$409,"*Vent Arr./Av.*",SAISIE!$E$210:$E$409,$H$395)&gt;0)),"",IFERROR(IF(_xlfn.MINIFS(SAISIE!$D$210:$D$409,SAISIE!$B$210:$B$409,"*Vent Arr./Av.*",SAISIE!$E$210:$E$409,$H$395)&gt;=0,_xlfn.MAXIFS(SAISIE!$C$210:$C$409,SAISIE!$B$210:$B$409,"*Vent Arr./Av.*",SAISIE!$E$210:$E$409,$H$395),INDEX(SAISIE!$C$210:$C$409,MATCH(_xlfn.MINIFS(SAISIE!$D$210:$D$409,SAISIE!$B$210:$B$409,"*Vent Arr./Av.*",SAISIE!$E$210:$E$409,$H$395),SAISIE!$D$210:$D$409,0))),"-"))</f>
        <v/>
      </c>
      <c r="C403" s="6" t="str">
        <f>IF(OR($H$395="",NOT(COUNTIFS(SAISIE!$B$210:$B$409,"*Vent Arr./Av.*",SAISIE!$E$210:$E$409,$H$395)&gt;0)),"",IFERROR(IF(_xlfn.MINIFS(SAISIE!$D$210:$D$409,SAISIE!$B$210:$B$409,"*Vent Arr./Av.*",SAISIE!$E$210:$E$409,$H$395)&gt;=0,0,_xlfn.MINIFS(SAISIE!$D$210:$D$409,SAISIE!$B$210:$B$409,"*Vent Arr./Av.*",SAISIE!$E$210:$E$409,$H$395)),"-"))</f>
        <v/>
      </c>
      <c r="D403" s="6" t="str">
        <f>IF($H$395="","",IF(OR(C403="",C403="-"),"",IF(C403&gt;0,"(soulevement)",IF(C403&lt;0,"(compression)","-"))))</f>
        <v/>
      </c>
    </row>
    <row r="404" spans="1:8" x14ac:dyDescent="0.25">
      <c r="A404" s="5" t="str">
        <f>IF(OR($H$395="",NOT(_xlfn.MAXIFS(SAISIE!$D$210:$D$409,SAISIE!$B$210:$B$409,"*Vent Arr./Av.*",SAISIE!$E$210:$E$409,$H$395)&gt;0)),"","Vent Arr./Av.")</f>
        <v/>
      </c>
      <c r="B404" s="6" t="str">
        <f>IF(OR($H$395="",NOT(_xlfn.MAXIFS(SAISIE!$D$210:$D$409,SAISIE!$B$210:$B$409,"*Vent Arr./Av.*",SAISIE!$E$210:$E$409,$H$395)&gt;0)),"",IFERROR(INDEX(SAISIE!$C$210:$C$409,MATCH(_xlfn.MAXIFS(SAISIE!$D$210:$D$409,SAISIE!$B$210:$B$409,"*Vent Arr./Av.*",SAISIE!$E$210:$E$409,$H$395),SAISIE!$D$210:$D$409,0)),"-"))</f>
        <v/>
      </c>
      <c r="C404" s="6" t="str">
        <f>IF(OR($H$395="",NOT(_xlfn.MAXIFS(SAISIE!$D$210:$D$409,SAISIE!$B$210:$B$409,"*Vent Arr./Av.*",SAISIE!$E$210:$E$409,$H$395)&gt;0)),"",IFERROR(_xlfn.MAXIFS(SAISIE!$D$210:$D$409,SAISIE!$B$210:$B$409,"*Vent Arr./Av.*",SAISIE!$E$210:$E$409,$H$395),"-"))</f>
        <v/>
      </c>
      <c r="D404" s="6" t="str">
        <f>IF($H$395="","",IF(OR(C404="",C404="-"),"",IF(C404&gt;0,"(soulevement)",IF(C404&lt;0,"(compression)","-"))))</f>
        <v/>
      </c>
    </row>
    <row r="405" spans="1:8" x14ac:dyDescent="0.25">
      <c r="A405" s="5" t="str">
        <f>IF(OR($H$395="",NOT(TRUE)),"","Neige normale")</f>
        <v/>
      </c>
      <c r="B405" s="6" t="str">
        <f>IF($H$395="","",IFERROR(INDEX(SAISIE!$C$210:$C$409,MATCH(_xlfn.MINIFS(SAISIE!$D$210:$D$409,SAISIE!$B$210:$B$409,"*Neige*",SAISIE!$B$210:$B$409,"&lt;&gt;*accidentel*",SAISIE!$E$210:$E$409,$H$395),SAISIE!$D$210:$D$409,0)),"-"))</f>
        <v/>
      </c>
      <c r="C405" s="6" t="str">
        <f>IF($H$395="","",IFERROR(INDEX(SAISIE!$D$210:$D$409,MATCH(_xlfn.MINIFS(SAISIE!$D$210:$D$409,SAISIE!$B$210:$B$409,"*Neige*",SAISIE!$B$210:$B$409,"&lt;&gt;*accidentel*",SAISIE!$E$210:$E$409,$H$395),SAISIE!$D$210:$D$409,0)),"-"))</f>
        <v/>
      </c>
      <c r="D405" s="6" t="str">
        <f>IF($H$395="","",IF(OR(C405="",C405="-"),"",IF(C405&gt;0,"(soulevement)",IF(C405&lt;0,"(compression)","-"))))</f>
        <v/>
      </c>
    </row>
    <row r="406" spans="1:8" x14ac:dyDescent="0.25">
      <c r="A406" s="5" t="str">
        <f>IF(OR($H$395="",NOT(TRUE)),"","Neige accidentelle")</f>
        <v/>
      </c>
      <c r="B406" s="6" t="str">
        <f>IF($H$395="","",IFERROR(LOOKUP(2,1/((SAISIE!$E$210:$E$409=$H$395)*(ISNUMBER(SEARCH("accidentel",SAISIE!$B$210:$B$409)))),SAISIE!$C$210:$C$409),"-"))</f>
        <v/>
      </c>
      <c r="C406" s="6" t="str">
        <f>IF($H$395="","",IFERROR(LOOKUP(2,1/((SAISIE!$E$210:$E$409=$H$395)*(ISNUMBER(SEARCH("accidentel",SAISIE!$B$210:$B$409)))),SAISIE!$D$210:$D$409),"-"))</f>
        <v/>
      </c>
      <c r="D406" s="6" t="str">
        <f>IF($H$395="","",IF(OR(C406="",C406="-"),"",IF(C406&gt;0,"(soulevement)",IF(C406&lt;0,"(compression)","-"))))</f>
        <v/>
      </c>
    </row>
    <row r="407" spans="1:8" ht="15.75" x14ac:dyDescent="0.25">
      <c r="A407" s="11" t="str">
        <f>IF($H$407="","","Noeud "&amp;$H$407)</f>
        <v/>
      </c>
      <c r="B407" s="12"/>
      <c r="C407" s="12"/>
      <c r="D407" s="12"/>
      <c r="H407" t="str">
        <f>IFERROR(INDEX(SAISIE!$E$210:$E$409,_xlfn.AGGREGATE(15,6,ROW(SAISIE!$E$210:$E$409)-ROW(SAISIE!$E$210)+1/(SAISIE!$E$210:$E$409&lt;&gt;"")/(COUNTIF($H$4:H406,SAISIE!$E$210:$E$409)=0),1)),"")</f>
        <v/>
      </c>
    </row>
    <row r="408" spans="1:8" x14ac:dyDescent="0.25">
      <c r="A408" s="5" t="str">
        <f>IF(OR($H$407="",NOT(TRUE)),"","Couverture")</f>
        <v/>
      </c>
      <c r="B408" s="6" t="str">
        <f>IF($H$407="","",IFERROR(IFERROR(LOOKUP(2,1/((SAISIE!$E$210:$E$409=$H$407)*(LEFT(SAISIE!$B$210:$B$409,2)="G ")),SAISIE!$C$210:$C$409),LOOKUP(2,1/((SAISIE!$E$210:$E$409=$H$407)*(ISNUMBER(SEARCH("Couverture",SAISIE!$B$210:$B$409)))),SAISIE!$C$210:$C$409)),"-"))</f>
        <v/>
      </c>
      <c r="C408" s="6" t="str">
        <f>IF($H$407="","",IFERROR(IFERROR(LOOKUP(2,1/((SAISIE!$E$210:$E$409=$H$407)*(LEFT(SAISIE!$B$210:$B$409,2)="G ")),SAISIE!$D$210:$D$409),LOOKUP(2,1/((SAISIE!$E$210:$E$409=$H$407)*(ISNUMBER(SEARCH("Couverture",SAISIE!$B$210:$B$409)))),SAISIE!$D$210:$D$409)),"-"))</f>
        <v/>
      </c>
      <c r="D408" s="6" t="str">
        <f>IF($H$407="","",IF(OR(C408="",C408="-"),"",IF(C408&gt;0,"(soulevement)",IF(C408&lt;0,"(compression)","-"))))</f>
        <v/>
      </c>
    </row>
    <row r="409" spans="1:8" x14ac:dyDescent="0.25">
      <c r="A409" s="5" t="str">
        <f>IF(OR($H$407="",NOT(COUNTIFS(SAISIE!$B$210:$B$409,"*Vent G/D*",SAISIE!$E$210:$E$409,$H$407)&gt;0)),"","Vent G/D")</f>
        <v/>
      </c>
      <c r="B409" s="6" t="str">
        <f>IF(OR($H$407="",NOT(COUNTIFS(SAISIE!$B$210:$B$409,"*Vent G/D*",SAISIE!$E$210:$E$409,$H$407)&gt;0)),"",IFERROR(IF(_xlfn.MINIFS(SAISIE!$D$210:$D$409,SAISIE!$B$210:$B$409,"*Vent G/D*",SAISIE!$E$210:$E$409,$H$407)&gt;=0,_xlfn.MAXIFS(SAISIE!$C$210:$C$409,SAISIE!$B$210:$B$409,"*Vent G/D*",SAISIE!$E$210:$E$409,$H$407),INDEX(SAISIE!$C$210:$C$409,MATCH(_xlfn.MINIFS(SAISIE!$D$210:$D$409,SAISIE!$B$210:$B$409,"*Vent G/D*",SAISIE!$E$210:$E$409,$H$407),SAISIE!$D$210:$D$409,0))),"-"))</f>
        <v/>
      </c>
      <c r="C409" s="6" t="str">
        <f>IF(OR($H$407="",NOT(COUNTIFS(SAISIE!$B$210:$B$409,"*Vent G/D*",SAISIE!$E$210:$E$409,$H$407)&gt;0)),"",IFERROR(IF(_xlfn.MINIFS(SAISIE!$D$210:$D$409,SAISIE!$B$210:$B$409,"*Vent G/D*",SAISIE!$E$210:$E$409,$H$407)&gt;=0,0,_xlfn.MINIFS(SAISIE!$D$210:$D$409,SAISIE!$B$210:$B$409,"*Vent G/D*",SAISIE!$E$210:$E$409,$H$407)),"-"))</f>
        <v/>
      </c>
      <c r="D409" s="6" t="str">
        <f>IF($H$407="","",IF(OR(C409="",C409="-"),"",IF(C409&gt;0,"(soulevement)",IF(C409&lt;0,"(compression)","-"))))</f>
        <v/>
      </c>
    </row>
    <row r="410" spans="1:8" x14ac:dyDescent="0.25">
      <c r="A410" s="5" t="str">
        <f>IF(OR($H$407="",NOT(_xlfn.MAXIFS(SAISIE!$D$210:$D$409,SAISIE!$B$210:$B$409,"*Vent G/D*",SAISIE!$E$210:$E$409,$H$407)&gt;0)),"","Vent G/D")</f>
        <v/>
      </c>
      <c r="B410" s="6" t="str">
        <f>IF(OR($H$407="",NOT(_xlfn.MAXIFS(SAISIE!$D$210:$D$409,SAISIE!$B$210:$B$409,"*Vent G/D*",SAISIE!$E$210:$E$409,$H$407)&gt;0)),"",IFERROR(INDEX(SAISIE!$C$210:$C$409,MATCH(_xlfn.MAXIFS(SAISIE!$D$210:$D$409,SAISIE!$B$210:$B$409,"*Vent G/D*",SAISIE!$E$210:$E$409,$H$407),SAISIE!$D$210:$D$409,0)),"-"))</f>
        <v/>
      </c>
      <c r="C410" s="6" t="str">
        <f>IF(OR($H$407="",NOT(_xlfn.MAXIFS(SAISIE!$D$210:$D$409,SAISIE!$B$210:$B$409,"*Vent G/D*",SAISIE!$E$210:$E$409,$H$407)&gt;0)),"",IFERROR(_xlfn.MAXIFS(SAISIE!$D$210:$D$409,SAISIE!$B$210:$B$409,"*Vent G/D*",SAISIE!$E$210:$E$409,$H$407),"-"))</f>
        <v/>
      </c>
      <c r="D410" s="6" t="str">
        <f>IF($H$407="","",IF(OR(C410="",C410="-"),"",IF(C410&gt;0,"(soulevement)",IF(C410&lt;0,"(compression)","-"))))</f>
        <v/>
      </c>
    </row>
    <row r="411" spans="1:8" x14ac:dyDescent="0.25">
      <c r="A411" s="5" t="str">
        <f>IF(OR($H$407="",NOT(COUNTIFS(SAISIE!$B$210:$B$409,"*Vent D/G*",SAISIE!$E$210:$E$409,$H$407)&gt;0)),"","Vent D/G")</f>
        <v/>
      </c>
      <c r="B411" s="6" t="str">
        <f>IF(OR($H$407="",NOT(COUNTIFS(SAISIE!$B$210:$B$409,"*Vent D/G*",SAISIE!$E$210:$E$409,$H$407)&gt;0)),"",IFERROR(IF(_xlfn.MINIFS(SAISIE!$D$210:$D$409,SAISIE!$B$210:$B$409,"*Vent D/G*",SAISIE!$E$210:$E$409,$H$407)&gt;=0,_xlfn.MAXIFS(SAISIE!$C$210:$C$409,SAISIE!$B$210:$B$409,"*Vent D/G*",SAISIE!$E$210:$E$409,$H$407),INDEX(SAISIE!$C$210:$C$409,MATCH(_xlfn.MINIFS(SAISIE!$D$210:$D$409,SAISIE!$B$210:$B$409,"*Vent D/G*",SAISIE!$E$210:$E$409,$H$407),SAISIE!$D$210:$D$409,0))),"-"))</f>
        <v/>
      </c>
      <c r="C411" s="6" t="str">
        <f>IF(OR($H$407="",NOT(COUNTIFS(SAISIE!$B$210:$B$409,"*Vent D/G*",SAISIE!$E$210:$E$409,$H$407)&gt;0)),"",IFERROR(IF(_xlfn.MINIFS(SAISIE!$D$210:$D$409,SAISIE!$B$210:$B$409,"*Vent D/G*",SAISIE!$E$210:$E$409,$H$407)&gt;=0,0,_xlfn.MINIFS(SAISIE!$D$210:$D$409,SAISIE!$B$210:$B$409,"*Vent D/G*",SAISIE!$E$210:$E$409,$H$407)),"-"))</f>
        <v/>
      </c>
      <c r="D411" s="6" t="str">
        <f>IF($H$407="","",IF(OR(C411="",C411="-"),"",IF(C411&gt;0,"(soulevement)",IF(C411&lt;0,"(compression)","-"))))</f>
        <v/>
      </c>
    </row>
    <row r="412" spans="1:8" x14ac:dyDescent="0.25">
      <c r="A412" s="5" t="str">
        <f>IF(OR($H$407="",NOT(_xlfn.MAXIFS(SAISIE!$D$210:$D$409,SAISIE!$B$210:$B$409,"*Vent D/G*",SAISIE!$E$210:$E$409,$H$407)&gt;0)),"","Vent D/G")</f>
        <v/>
      </c>
      <c r="B412" s="6" t="str">
        <f>IF(OR($H$407="",NOT(_xlfn.MAXIFS(SAISIE!$D$210:$D$409,SAISIE!$B$210:$B$409,"*Vent D/G*",SAISIE!$E$210:$E$409,$H$407)&gt;0)),"",IFERROR(INDEX(SAISIE!$C$210:$C$409,MATCH(_xlfn.MAXIFS(SAISIE!$D$210:$D$409,SAISIE!$B$210:$B$409,"*Vent D/G*",SAISIE!$E$210:$E$409,$H$407),SAISIE!$D$210:$D$409,0)),"-"))</f>
        <v/>
      </c>
      <c r="C412" s="6" t="str">
        <f>IF(OR($H$407="",NOT(_xlfn.MAXIFS(SAISIE!$D$210:$D$409,SAISIE!$B$210:$B$409,"*Vent D/G*",SAISIE!$E$210:$E$409,$H$407)&gt;0)),"",IFERROR(_xlfn.MAXIFS(SAISIE!$D$210:$D$409,SAISIE!$B$210:$B$409,"*Vent D/G*",SAISIE!$E$210:$E$409,$H$407),"-"))</f>
        <v/>
      </c>
      <c r="D412" s="6" t="str">
        <f>IF($H$407="","",IF(OR(C412="",C412="-"),"",IF(C412&gt;0,"(soulevement)",IF(C412&lt;0,"(compression)","-"))))</f>
        <v/>
      </c>
    </row>
    <row r="413" spans="1:8" x14ac:dyDescent="0.25">
      <c r="A413" s="5" t="str">
        <f>IF(OR($H$407="",NOT(COUNTIFS(SAISIE!$B$210:$B$409,"*Vent Av./Arr.*",SAISIE!$E$210:$E$409,$H$407)&gt;0)),"","Vent Av./Arr.")</f>
        <v/>
      </c>
      <c r="B413" s="6" t="str">
        <f>IF(OR($H$407="",NOT(COUNTIFS(SAISIE!$B$210:$B$409,"*Vent Av./Arr.*",SAISIE!$E$210:$E$409,$H$407)&gt;0)),"",IFERROR(IF(_xlfn.MINIFS(SAISIE!$D$210:$D$409,SAISIE!$B$210:$B$409,"*Vent Av./Arr.*",SAISIE!$E$210:$E$409,$H$407)&gt;=0,_xlfn.MAXIFS(SAISIE!$C$210:$C$409,SAISIE!$B$210:$B$409,"*Vent Av./Arr.*",SAISIE!$E$210:$E$409,$H$407),INDEX(SAISIE!$C$210:$C$409,MATCH(_xlfn.MINIFS(SAISIE!$D$210:$D$409,SAISIE!$B$210:$B$409,"*Vent Av./Arr.*",SAISIE!$E$210:$E$409,$H$407),SAISIE!$D$210:$D$409,0))),"-"))</f>
        <v/>
      </c>
      <c r="C413" s="6" t="str">
        <f>IF(OR($H$407="",NOT(COUNTIFS(SAISIE!$B$210:$B$409,"*Vent Av./Arr.*",SAISIE!$E$210:$E$409,$H$407)&gt;0)),"",IFERROR(IF(_xlfn.MINIFS(SAISIE!$D$210:$D$409,SAISIE!$B$210:$B$409,"*Vent Av./Arr.*",SAISIE!$E$210:$E$409,$H$407)&gt;=0,0,_xlfn.MINIFS(SAISIE!$D$210:$D$409,SAISIE!$B$210:$B$409,"*Vent Av./Arr.*",SAISIE!$E$210:$E$409,$H$407)),"-"))</f>
        <v/>
      </c>
      <c r="D413" s="6" t="str">
        <f>IF($H$407="","",IF(OR(C413="",C413="-"),"",IF(C413&gt;0,"(soulevement)",IF(C413&lt;0,"(compression)","-"))))</f>
        <v/>
      </c>
    </row>
    <row r="414" spans="1:8" x14ac:dyDescent="0.25">
      <c r="A414" s="5" t="str">
        <f>IF(OR($H$407="",NOT(_xlfn.MAXIFS(SAISIE!$D$210:$D$409,SAISIE!$B$210:$B$409,"*Vent Av./Arr.*",SAISIE!$E$210:$E$409,$H$407)&gt;0)),"","Vent Av./Arr.")</f>
        <v/>
      </c>
      <c r="B414" s="6" t="str">
        <f>IF(OR($H$407="",NOT(_xlfn.MAXIFS(SAISIE!$D$210:$D$409,SAISIE!$B$210:$B$409,"*Vent Av./Arr.*",SAISIE!$E$210:$E$409,$H$407)&gt;0)),"",IFERROR(INDEX(SAISIE!$C$210:$C$409,MATCH(_xlfn.MAXIFS(SAISIE!$D$210:$D$409,SAISIE!$B$210:$B$409,"*Vent Av./Arr.*",SAISIE!$E$210:$E$409,$H$407),SAISIE!$D$210:$D$409,0)),"-"))</f>
        <v/>
      </c>
      <c r="C414" s="6" t="str">
        <f>IF(OR($H$407="",NOT(_xlfn.MAXIFS(SAISIE!$D$210:$D$409,SAISIE!$B$210:$B$409,"*Vent Av./Arr.*",SAISIE!$E$210:$E$409,$H$407)&gt;0)),"",IFERROR(_xlfn.MAXIFS(SAISIE!$D$210:$D$409,SAISIE!$B$210:$B$409,"*Vent Av./Arr.*",SAISIE!$E$210:$E$409,$H$407),"-"))</f>
        <v/>
      </c>
      <c r="D414" s="6" t="str">
        <f>IF($H$407="","",IF(OR(C414="",C414="-"),"",IF(C414&gt;0,"(soulevement)",IF(C414&lt;0,"(compression)","-"))))</f>
        <v/>
      </c>
    </row>
    <row r="415" spans="1:8" x14ac:dyDescent="0.25">
      <c r="A415" s="5" t="str">
        <f>IF(OR($H$407="",NOT(COUNTIFS(SAISIE!$B$210:$B$409,"*Vent Arr./Av.*",SAISIE!$E$210:$E$409,$H$407)&gt;0)),"","Vent Arr./Av.")</f>
        <v/>
      </c>
      <c r="B415" s="6" t="str">
        <f>IF(OR($H$407="",NOT(COUNTIFS(SAISIE!$B$210:$B$409,"*Vent Arr./Av.*",SAISIE!$E$210:$E$409,$H$407)&gt;0)),"",IFERROR(IF(_xlfn.MINIFS(SAISIE!$D$210:$D$409,SAISIE!$B$210:$B$409,"*Vent Arr./Av.*",SAISIE!$E$210:$E$409,$H$407)&gt;=0,_xlfn.MAXIFS(SAISIE!$C$210:$C$409,SAISIE!$B$210:$B$409,"*Vent Arr./Av.*",SAISIE!$E$210:$E$409,$H$407),INDEX(SAISIE!$C$210:$C$409,MATCH(_xlfn.MINIFS(SAISIE!$D$210:$D$409,SAISIE!$B$210:$B$409,"*Vent Arr./Av.*",SAISIE!$E$210:$E$409,$H$407),SAISIE!$D$210:$D$409,0))),"-"))</f>
        <v/>
      </c>
      <c r="C415" s="6" t="str">
        <f>IF(OR($H$407="",NOT(COUNTIFS(SAISIE!$B$210:$B$409,"*Vent Arr./Av.*",SAISIE!$E$210:$E$409,$H$407)&gt;0)),"",IFERROR(IF(_xlfn.MINIFS(SAISIE!$D$210:$D$409,SAISIE!$B$210:$B$409,"*Vent Arr./Av.*",SAISIE!$E$210:$E$409,$H$407)&gt;=0,0,_xlfn.MINIFS(SAISIE!$D$210:$D$409,SAISIE!$B$210:$B$409,"*Vent Arr./Av.*",SAISIE!$E$210:$E$409,$H$407)),"-"))</f>
        <v/>
      </c>
      <c r="D415" s="6" t="str">
        <f>IF($H$407="","",IF(OR(C415="",C415="-"),"",IF(C415&gt;0,"(soulevement)",IF(C415&lt;0,"(compression)","-"))))</f>
        <v/>
      </c>
    </row>
    <row r="416" spans="1:8" x14ac:dyDescent="0.25">
      <c r="A416" s="5" t="str">
        <f>IF(OR($H$407="",NOT(_xlfn.MAXIFS(SAISIE!$D$210:$D$409,SAISIE!$B$210:$B$409,"*Vent Arr./Av.*",SAISIE!$E$210:$E$409,$H$407)&gt;0)),"","Vent Arr./Av.")</f>
        <v/>
      </c>
      <c r="B416" s="6" t="str">
        <f>IF(OR($H$407="",NOT(_xlfn.MAXIFS(SAISIE!$D$210:$D$409,SAISIE!$B$210:$B$409,"*Vent Arr./Av.*",SAISIE!$E$210:$E$409,$H$407)&gt;0)),"",IFERROR(INDEX(SAISIE!$C$210:$C$409,MATCH(_xlfn.MAXIFS(SAISIE!$D$210:$D$409,SAISIE!$B$210:$B$409,"*Vent Arr./Av.*",SAISIE!$E$210:$E$409,$H$407),SAISIE!$D$210:$D$409,0)),"-"))</f>
        <v/>
      </c>
      <c r="C416" s="6" t="str">
        <f>IF(OR($H$407="",NOT(_xlfn.MAXIFS(SAISIE!$D$210:$D$409,SAISIE!$B$210:$B$409,"*Vent Arr./Av.*",SAISIE!$E$210:$E$409,$H$407)&gt;0)),"",IFERROR(_xlfn.MAXIFS(SAISIE!$D$210:$D$409,SAISIE!$B$210:$B$409,"*Vent Arr./Av.*",SAISIE!$E$210:$E$409,$H$407),"-"))</f>
        <v/>
      </c>
      <c r="D416" s="6" t="str">
        <f>IF($H$407="","",IF(OR(C416="",C416="-"),"",IF(C416&gt;0,"(soulevement)",IF(C416&lt;0,"(compression)","-"))))</f>
        <v/>
      </c>
    </row>
    <row r="417" spans="1:8" x14ac:dyDescent="0.25">
      <c r="A417" s="5" t="str">
        <f>IF(OR($H$407="",NOT(TRUE)),"","Neige normale")</f>
        <v/>
      </c>
      <c r="B417" s="6" t="str">
        <f>IF($H$407="","",IFERROR(INDEX(SAISIE!$C$210:$C$409,MATCH(_xlfn.MINIFS(SAISIE!$D$210:$D$409,SAISIE!$B$210:$B$409,"*Neige*",SAISIE!$B$210:$B$409,"&lt;&gt;*accidentel*",SAISIE!$E$210:$E$409,$H$407),SAISIE!$D$210:$D$409,0)),"-"))</f>
        <v/>
      </c>
      <c r="C417" s="6" t="str">
        <f>IF($H$407="","",IFERROR(INDEX(SAISIE!$D$210:$D$409,MATCH(_xlfn.MINIFS(SAISIE!$D$210:$D$409,SAISIE!$B$210:$B$409,"*Neige*",SAISIE!$B$210:$B$409,"&lt;&gt;*accidentel*",SAISIE!$E$210:$E$409,$H$407),SAISIE!$D$210:$D$409,0)),"-"))</f>
        <v/>
      </c>
      <c r="D417" s="6" t="str">
        <f>IF($H$407="","",IF(OR(C417="",C417="-"),"",IF(C417&gt;0,"(soulevement)",IF(C417&lt;0,"(compression)","-"))))</f>
        <v/>
      </c>
    </row>
    <row r="418" spans="1:8" x14ac:dyDescent="0.25">
      <c r="A418" s="5" t="str">
        <f>IF(OR($H$407="",NOT(TRUE)),"","Neige accidentelle")</f>
        <v/>
      </c>
      <c r="B418" s="6" t="str">
        <f>IF($H$407="","",IFERROR(LOOKUP(2,1/((SAISIE!$E$210:$E$409=$H$407)*(ISNUMBER(SEARCH("accidentel",SAISIE!$B$210:$B$409)))),SAISIE!$C$210:$C$409),"-"))</f>
        <v/>
      </c>
      <c r="C418" s="6" t="str">
        <f>IF($H$407="","",IFERROR(LOOKUP(2,1/((SAISIE!$E$210:$E$409=$H$407)*(ISNUMBER(SEARCH("accidentel",SAISIE!$B$210:$B$409)))),SAISIE!$D$210:$D$409),"-"))</f>
        <v/>
      </c>
      <c r="D418" s="6" t="str">
        <f>IF($H$407="","",IF(OR(C418="",C418="-"),"",IF(C418&gt;0,"(soulevement)",IF(C418&lt;0,"(compression)","-"))))</f>
        <v/>
      </c>
    </row>
    <row r="419" spans="1:8" ht="15.75" x14ac:dyDescent="0.25">
      <c r="A419" s="11" t="str">
        <f>IF($H$419="","","Noeud "&amp;$H$419)</f>
        <v/>
      </c>
      <c r="B419" s="12"/>
      <c r="C419" s="12"/>
      <c r="D419" s="12"/>
      <c r="H419" t="str">
        <f>IFERROR(INDEX(SAISIE!$E$210:$E$409,_xlfn.AGGREGATE(15,6,ROW(SAISIE!$E$210:$E$409)-ROW(SAISIE!$E$210)+1/(SAISIE!$E$210:$E$409&lt;&gt;"")/(COUNTIF($H$4:H418,SAISIE!$E$210:$E$409)=0),1)),"")</f>
        <v/>
      </c>
    </row>
    <row r="420" spans="1:8" x14ac:dyDescent="0.25">
      <c r="A420" s="5" t="str">
        <f>IF(OR($H$419="",NOT(TRUE)),"","Couverture")</f>
        <v/>
      </c>
      <c r="B420" s="6" t="str">
        <f>IF($H$419="","",IFERROR(IFERROR(LOOKUP(2,1/((SAISIE!$E$210:$E$409=$H$419)*(LEFT(SAISIE!$B$210:$B$409,2)="G ")),SAISIE!$C$210:$C$409),LOOKUP(2,1/((SAISIE!$E$210:$E$409=$H$419)*(ISNUMBER(SEARCH("Couverture",SAISIE!$B$210:$B$409)))),SAISIE!$C$210:$C$409)),"-"))</f>
        <v/>
      </c>
      <c r="C420" s="6" t="str">
        <f>IF($H$419="","",IFERROR(IFERROR(LOOKUP(2,1/((SAISIE!$E$210:$E$409=$H$419)*(LEFT(SAISIE!$B$210:$B$409,2)="G ")),SAISIE!$D$210:$D$409),LOOKUP(2,1/((SAISIE!$E$210:$E$409=$H$419)*(ISNUMBER(SEARCH("Couverture",SAISIE!$B$210:$B$409)))),SAISIE!$D$210:$D$409)),"-"))</f>
        <v/>
      </c>
      <c r="D420" s="6" t="str">
        <f>IF($H$419="","",IF(OR(C420="",C420="-"),"",IF(C420&gt;0,"(soulevement)",IF(C420&lt;0,"(compression)","-"))))</f>
        <v/>
      </c>
    </row>
    <row r="421" spans="1:8" x14ac:dyDescent="0.25">
      <c r="A421" s="5" t="str">
        <f>IF(OR($H$419="",NOT(COUNTIFS(SAISIE!$B$210:$B$409,"*Vent G/D*",SAISIE!$E$210:$E$409,$H$419)&gt;0)),"","Vent G/D")</f>
        <v/>
      </c>
      <c r="B421" s="6" t="str">
        <f>IF(OR($H$419="",NOT(COUNTIFS(SAISIE!$B$210:$B$409,"*Vent G/D*",SAISIE!$E$210:$E$409,$H$419)&gt;0)),"",IFERROR(IF(_xlfn.MINIFS(SAISIE!$D$210:$D$409,SAISIE!$B$210:$B$409,"*Vent G/D*",SAISIE!$E$210:$E$409,$H$419)&gt;=0,_xlfn.MAXIFS(SAISIE!$C$210:$C$409,SAISIE!$B$210:$B$409,"*Vent G/D*",SAISIE!$E$210:$E$409,$H$419),INDEX(SAISIE!$C$210:$C$409,MATCH(_xlfn.MINIFS(SAISIE!$D$210:$D$409,SAISIE!$B$210:$B$409,"*Vent G/D*",SAISIE!$E$210:$E$409,$H$419),SAISIE!$D$210:$D$409,0))),"-"))</f>
        <v/>
      </c>
      <c r="C421" s="6" t="str">
        <f>IF(OR($H$419="",NOT(COUNTIFS(SAISIE!$B$210:$B$409,"*Vent G/D*",SAISIE!$E$210:$E$409,$H$419)&gt;0)),"",IFERROR(IF(_xlfn.MINIFS(SAISIE!$D$210:$D$409,SAISIE!$B$210:$B$409,"*Vent G/D*",SAISIE!$E$210:$E$409,$H$419)&gt;=0,0,_xlfn.MINIFS(SAISIE!$D$210:$D$409,SAISIE!$B$210:$B$409,"*Vent G/D*",SAISIE!$E$210:$E$409,$H$419)),"-"))</f>
        <v/>
      </c>
      <c r="D421" s="6" t="str">
        <f>IF($H$419="","",IF(OR(C421="",C421="-"),"",IF(C421&gt;0,"(soulevement)",IF(C421&lt;0,"(compression)","-"))))</f>
        <v/>
      </c>
    </row>
    <row r="422" spans="1:8" x14ac:dyDescent="0.25">
      <c r="A422" s="5" t="str">
        <f>IF(OR($H$419="",NOT(_xlfn.MAXIFS(SAISIE!$D$210:$D$409,SAISIE!$B$210:$B$409,"*Vent G/D*",SAISIE!$E$210:$E$409,$H$419)&gt;0)),"","Vent G/D")</f>
        <v/>
      </c>
      <c r="B422" s="6" t="str">
        <f>IF(OR($H$419="",NOT(_xlfn.MAXIFS(SAISIE!$D$210:$D$409,SAISIE!$B$210:$B$409,"*Vent G/D*",SAISIE!$E$210:$E$409,$H$419)&gt;0)),"",IFERROR(INDEX(SAISIE!$C$210:$C$409,MATCH(_xlfn.MAXIFS(SAISIE!$D$210:$D$409,SAISIE!$B$210:$B$409,"*Vent G/D*",SAISIE!$E$210:$E$409,$H$419),SAISIE!$D$210:$D$409,0)),"-"))</f>
        <v/>
      </c>
      <c r="C422" s="6" t="str">
        <f>IF(OR($H$419="",NOT(_xlfn.MAXIFS(SAISIE!$D$210:$D$409,SAISIE!$B$210:$B$409,"*Vent G/D*",SAISIE!$E$210:$E$409,$H$419)&gt;0)),"",IFERROR(_xlfn.MAXIFS(SAISIE!$D$210:$D$409,SAISIE!$B$210:$B$409,"*Vent G/D*",SAISIE!$E$210:$E$409,$H$419),"-"))</f>
        <v/>
      </c>
      <c r="D422" s="6" t="str">
        <f>IF($H$419="","",IF(OR(C422="",C422="-"),"",IF(C422&gt;0,"(soulevement)",IF(C422&lt;0,"(compression)","-"))))</f>
        <v/>
      </c>
    </row>
    <row r="423" spans="1:8" x14ac:dyDescent="0.25">
      <c r="A423" s="5" t="str">
        <f>IF(OR($H$419="",NOT(COUNTIFS(SAISIE!$B$210:$B$409,"*Vent D/G*",SAISIE!$E$210:$E$409,$H$419)&gt;0)),"","Vent D/G")</f>
        <v/>
      </c>
      <c r="B423" s="6" t="str">
        <f>IF(OR($H$419="",NOT(COUNTIFS(SAISIE!$B$210:$B$409,"*Vent D/G*",SAISIE!$E$210:$E$409,$H$419)&gt;0)),"",IFERROR(IF(_xlfn.MINIFS(SAISIE!$D$210:$D$409,SAISIE!$B$210:$B$409,"*Vent D/G*",SAISIE!$E$210:$E$409,$H$419)&gt;=0,_xlfn.MAXIFS(SAISIE!$C$210:$C$409,SAISIE!$B$210:$B$409,"*Vent D/G*",SAISIE!$E$210:$E$409,$H$419),INDEX(SAISIE!$C$210:$C$409,MATCH(_xlfn.MINIFS(SAISIE!$D$210:$D$409,SAISIE!$B$210:$B$409,"*Vent D/G*",SAISIE!$E$210:$E$409,$H$419),SAISIE!$D$210:$D$409,0))),"-"))</f>
        <v/>
      </c>
      <c r="C423" s="6" t="str">
        <f>IF(OR($H$419="",NOT(COUNTIFS(SAISIE!$B$210:$B$409,"*Vent D/G*",SAISIE!$E$210:$E$409,$H$419)&gt;0)),"",IFERROR(IF(_xlfn.MINIFS(SAISIE!$D$210:$D$409,SAISIE!$B$210:$B$409,"*Vent D/G*",SAISIE!$E$210:$E$409,$H$419)&gt;=0,0,_xlfn.MINIFS(SAISIE!$D$210:$D$409,SAISIE!$B$210:$B$409,"*Vent D/G*",SAISIE!$E$210:$E$409,$H$419)),"-"))</f>
        <v/>
      </c>
      <c r="D423" s="6" t="str">
        <f>IF($H$419="","",IF(OR(C423="",C423="-"),"",IF(C423&gt;0,"(soulevement)",IF(C423&lt;0,"(compression)","-"))))</f>
        <v/>
      </c>
    </row>
    <row r="424" spans="1:8" x14ac:dyDescent="0.25">
      <c r="A424" s="5" t="str">
        <f>IF(OR($H$419="",NOT(_xlfn.MAXIFS(SAISIE!$D$210:$D$409,SAISIE!$B$210:$B$409,"*Vent D/G*",SAISIE!$E$210:$E$409,$H$419)&gt;0)),"","Vent D/G")</f>
        <v/>
      </c>
      <c r="B424" s="6" t="str">
        <f>IF(OR($H$419="",NOT(_xlfn.MAXIFS(SAISIE!$D$210:$D$409,SAISIE!$B$210:$B$409,"*Vent D/G*",SAISIE!$E$210:$E$409,$H$419)&gt;0)),"",IFERROR(INDEX(SAISIE!$C$210:$C$409,MATCH(_xlfn.MAXIFS(SAISIE!$D$210:$D$409,SAISIE!$B$210:$B$409,"*Vent D/G*",SAISIE!$E$210:$E$409,$H$419),SAISIE!$D$210:$D$409,0)),"-"))</f>
        <v/>
      </c>
      <c r="C424" s="6" t="str">
        <f>IF(OR($H$419="",NOT(_xlfn.MAXIFS(SAISIE!$D$210:$D$409,SAISIE!$B$210:$B$409,"*Vent D/G*",SAISIE!$E$210:$E$409,$H$419)&gt;0)),"",IFERROR(_xlfn.MAXIFS(SAISIE!$D$210:$D$409,SAISIE!$B$210:$B$409,"*Vent D/G*",SAISIE!$E$210:$E$409,$H$419),"-"))</f>
        <v/>
      </c>
      <c r="D424" s="6" t="str">
        <f>IF($H$419="","",IF(OR(C424="",C424="-"),"",IF(C424&gt;0,"(soulevement)",IF(C424&lt;0,"(compression)","-"))))</f>
        <v/>
      </c>
    </row>
    <row r="425" spans="1:8" x14ac:dyDescent="0.25">
      <c r="A425" s="5" t="str">
        <f>IF(OR($H$419="",NOT(COUNTIFS(SAISIE!$B$210:$B$409,"*Vent Av./Arr.*",SAISIE!$E$210:$E$409,$H$419)&gt;0)),"","Vent Av./Arr.")</f>
        <v/>
      </c>
      <c r="B425" s="6" t="str">
        <f>IF(OR($H$419="",NOT(COUNTIFS(SAISIE!$B$210:$B$409,"*Vent Av./Arr.*",SAISIE!$E$210:$E$409,$H$419)&gt;0)),"",IFERROR(IF(_xlfn.MINIFS(SAISIE!$D$210:$D$409,SAISIE!$B$210:$B$409,"*Vent Av./Arr.*",SAISIE!$E$210:$E$409,$H$419)&gt;=0,_xlfn.MAXIFS(SAISIE!$C$210:$C$409,SAISIE!$B$210:$B$409,"*Vent Av./Arr.*",SAISIE!$E$210:$E$409,$H$419),INDEX(SAISIE!$C$210:$C$409,MATCH(_xlfn.MINIFS(SAISIE!$D$210:$D$409,SAISIE!$B$210:$B$409,"*Vent Av./Arr.*",SAISIE!$E$210:$E$409,$H$419),SAISIE!$D$210:$D$409,0))),"-"))</f>
        <v/>
      </c>
      <c r="C425" s="6" t="str">
        <f>IF(OR($H$419="",NOT(COUNTIFS(SAISIE!$B$210:$B$409,"*Vent Av./Arr.*",SAISIE!$E$210:$E$409,$H$419)&gt;0)),"",IFERROR(IF(_xlfn.MINIFS(SAISIE!$D$210:$D$409,SAISIE!$B$210:$B$409,"*Vent Av./Arr.*",SAISIE!$E$210:$E$409,$H$419)&gt;=0,0,_xlfn.MINIFS(SAISIE!$D$210:$D$409,SAISIE!$B$210:$B$409,"*Vent Av./Arr.*",SAISIE!$E$210:$E$409,$H$419)),"-"))</f>
        <v/>
      </c>
      <c r="D425" s="6" t="str">
        <f>IF($H$419="","",IF(OR(C425="",C425="-"),"",IF(C425&gt;0,"(soulevement)",IF(C425&lt;0,"(compression)","-"))))</f>
        <v/>
      </c>
    </row>
    <row r="426" spans="1:8" x14ac:dyDescent="0.25">
      <c r="A426" s="5" t="str">
        <f>IF(OR($H$419="",NOT(_xlfn.MAXIFS(SAISIE!$D$210:$D$409,SAISIE!$B$210:$B$409,"*Vent Av./Arr.*",SAISIE!$E$210:$E$409,$H$419)&gt;0)),"","Vent Av./Arr.")</f>
        <v/>
      </c>
      <c r="B426" s="6" t="str">
        <f>IF(OR($H$419="",NOT(_xlfn.MAXIFS(SAISIE!$D$210:$D$409,SAISIE!$B$210:$B$409,"*Vent Av./Arr.*",SAISIE!$E$210:$E$409,$H$419)&gt;0)),"",IFERROR(INDEX(SAISIE!$C$210:$C$409,MATCH(_xlfn.MAXIFS(SAISIE!$D$210:$D$409,SAISIE!$B$210:$B$409,"*Vent Av./Arr.*",SAISIE!$E$210:$E$409,$H$419),SAISIE!$D$210:$D$409,0)),"-"))</f>
        <v/>
      </c>
      <c r="C426" s="6" t="str">
        <f>IF(OR($H$419="",NOT(_xlfn.MAXIFS(SAISIE!$D$210:$D$409,SAISIE!$B$210:$B$409,"*Vent Av./Arr.*",SAISIE!$E$210:$E$409,$H$419)&gt;0)),"",IFERROR(_xlfn.MAXIFS(SAISIE!$D$210:$D$409,SAISIE!$B$210:$B$409,"*Vent Av./Arr.*",SAISIE!$E$210:$E$409,$H$419),"-"))</f>
        <v/>
      </c>
      <c r="D426" s="6" t="str">
        <f>IF($H$419="","",IF(OR(C426="",C426="-"),"",IF(C426&gt;0,"(soulevement)",IF(C426&lt;0,"(compression)","-"))))</f>
        <v/>
      </c>
    </row>
    <row r="427" spans="1:8" x14ac:dyDescent="0.25">
      <c r="A427" s="5" t="str">
        <f>IF(OR($H$419="",NOT(COUNTIFS(SAISIE!$B$210:$B$409,"*Vent Arr./Av.*",SAISIE!$E$210:$E$409,$H$419)&gt;0)),"","Vent Arr./Av.")</f>
        <v/>
      </c>
      <c r="B427" s="6" t="str">
        <f>IF(OR($H$419="",NOT(COUNTIFS(SAISIE!$B$210:$B$409,"*Vent Arr./Av.*",SAISIE!$E$210:$E$409,$H$419)&gt;0)),"",IFERROR(IF(_xlfn.MINIFS(SAISIE!$D$210:$D$409,SAISIE!$B$210:$B$409,"*Vent Arr./Av.*",SAISIE!$E$210:$E$409,$H$419)&gt;=0,_xlfn.MAXIFS(SAISIE!$C$210:$C$409,SAISIE!$B$210:$B$409,"*Vent Arr./Av.*",SAISIE!$E$210:$E$409,$H$419),INDEX(SAISIE!$C$210:$C$409,MATCH(_xlfn.MINIFS(SAISIE!$D$210:$D$409,SAISIE!$B$210:$B$409,"*Vent Arr./Av.*",SAISIE!$E$210:$E$409,$H$419),SAISIE!$D$210:$D$409,0))),"-"))</f>
        <v/>
      </c>
      <c r="C427" s="6" t="str">
        <f>IF(OR($H$419="",NOT(COUNTIFS(SAISIE!$B$210:$B$409,"*Vent Arr./Av.*",SAISIE!$E$210:$E$409,$H$419)&gt;0)),"",IFERROR(IF(_xlfn.MINIFS(SAISIE!$D$210:$D$409,SAISIE!$B$210:$B$409,"*Vent Arr./Av.*",SAISIE!$E$210:$E$409,$H$419)&gt;=0,0,_xlfn.MINIFS(SAISIE!$D$210:$D$409,SAISIE!$B$210:$B$409,"*Vent Arr./Av.*",SAISIE!$E$210:$E$409,$H$419)),"-"))</f>
        <v/>
      </c>
      <c r="D427" s="6" t="str">
        <f>IF($H$419="","",IF(OR(C427="",C427="-"),"",IF(C427&gt;0,"(soulevement)",IF(C427&lt;0,"(compression)","-"))))</f>
        <v/>
      </c>
    </row>
    <row r="428" spans="1:8" x14ac:dyDescent="0.25">
      <c r="A428" s="5" t="str">
        <f>IF(OR($H$419="",NOT(_xlfn.MAXIFS(SAISIE!$D$210:$D$409,SAISIE!$B$210:$B$409,"*Vent Arr./Av.*",SAISIE!$E$210:$E$409,$H$419)&gt;0)),"","Vent Arr./Av.")</f>
        <v/>
      </c>
      <c r="B428" s="6" t="str">
        <f>IF(OR($H$419="",NOT(_xlfn.MAXIFS(SAISIE!$D$210:$D$409,SAISIE!$B$210:$B$409,"*Vent Arr./Av.*",SAISIE!$E$210:$E$409,$H$419)&gt;0)),"",IFERROR(INDEX(SAISIE!$C$210:$C$409,MATCH(_xlfn.MAXIFS(SAISIE!$D$210:$D$409,SAISIE!$B$210:$B$409,"*Vent Arr./Av.*",SAISIE!$E$210:$E$409,$H$419),SAISIE!$D$210:$D$409,0)),"-"))</f>
        <v/>
      </c>
      <c r="C428" s="6" t="str">
        <f>IF(OR($H$419="",NOT(_xlfn.MAXIFS(SAISIE!$D$210:$D$409,SAISIE!$B$210:$B$409,"*Vent Arr./Av.*",SAISIE!$E$210:$E$409,$H$419)&gt;0)),"",IFERROR(_xlfn.MAXIFS(SAISIE!$D$210:$D$409,SAISIE!$B$210:$B$409,"*Vent Arr./Av.*",SAISIE!$E$210:$E$409,$H$419),"-"))</f>
        <v/>
      </c>
      <c r="D428" s="6" t="str">
        <f>IF($H$419="","",IF(OR(C428="",C428="-"),"",IF(C428&gt;0,"(soulevement)",IF(C428&lt;0,"(compression)","-"))))</f>
        <v/>
      </c>
    </row>
    <row r="429" spans="1:8" x14ac:dyDescent="0.25">
      <c r="A429" s="5" t="str">
        <f>IF(OR($H$419="",NOT(TRUE)),"","Neige normale")</f>
        <v/>
      </c>
      <c r="B429" s="6" t="str">
        <f>IF($H$419="","",IFERROR(INDEX(SAISIE!$C$210:$C$409,MATCH(_xlfn.MINIFS(SAISIE!$D$210:$D$409,SAISIE!$B$210:$B$409,"*Neige*",SAISIE!$B$210:$B$409,"&lt;&gt;*accidentel*",SAISIE!$E$210:$E$409,$H$419),SAISIE!$D$210:$D$409,0)),"-"))</f>
        <v/>
      </c>
      <c r="C429" s="6" t="str">
        <f>IF($H$419="","",IFERROR(INDEX(SAISIE!$D$210:$D$409,MATCH(_xlfn.MINIFS(SAISIE!$D$210:$D$409,SAISIE!$B$210:$B$409,"*Neige*",SAISIE!$B$210:$B$409,"&lt;&gt;*accidentel*",SAISIE!$E$210:$E$409,$H$419),SAISIE!$D$210:$D$409,0)),"-"))</f>
        <v/>
      </c>
      <c r="D429" s="6" t="str">
        <f>IF($H$419="","",IF(OR(C429="",C429="-"),"",IF(C429&gt;0,"(soulevement)",IF(C429&lt;0,"(compression)","-"))))</f>
        <v/>
      </c>
    </row>
    <row r="430" spans="1:8" x14ac:dyDescent="0.25">
      <c r="A430" s="5" t="str">
        <f>IF(OR($H$419="",NOT(TRUE)),"","Neige accidentelle")</f>
        <v/>
      </c>
      <c r="B430" s="6" t="str">
        <f>IF($H$419="","",IFERROR(LOOKUP(2,1/((SAISIE!$E$210:$E$409=$H$419)*(ISNUMBER(SEARCH("accidentel",SAISIE!$B$210:$B$409)))),SAISIE!$C$210:$C$409),"-"))</f>
        <v/>
      </c>
      <c r="C430" s="6" t="str">
        <f>IF($H$419="","",IFERROR(LOOKUP(2,1/((SAISIE!$E$210:$E$409=$H$419)*(ISNUMBER(SEARCH("accidentel",SAISIE!$B$210:$B$409)))),SAISIE!$D$210:$D$409),"-"))</f>
        <v/>
      </c>
      <c r="D430" s="6" t="str">
        <f>IF($H$419="","",IF(OR(C430="",C430="-"),"",IF(C430&gt;0,"(soulevement)",IF(C430&lt;0,"(compression)","-"))))</f>
        <v/>
      </c>
    </row>
    <row r="431" spans="1:8" ht="15.75" x14ac:dyDescent="0.25">
      <c r="A431" s="11" t="str">
        <f>IF($H$431="","","Noeud "&amp;$H$431)</f>
        <v/>
      </c>
      <c r="B431" s="12"/>
      <c r="C431" s="12"/>
      <c r="D431" s="12"/>
      <c r="H431" t="str">
        <f>IFERROR(INDEX(SAISIE!$E$210:$E$409,_xlfn.AGGREGATE(15,6,ROW(SAISIE!$E$210:$E$409)-ROW(SAISIE!$E$210)+1/(SAISIE!$E$210:$E$409&lt;&gt;"")/(COUNTIF($H$4:H430,SAISIE!$E$210:$E$409)=0),1)),"")</f>
        <v/>
      </c>
    </row>
    <row r="432" spans="1:8" x14ac:dyDescent="0.25">
      <c r="A432" s="5" t="str">
        <f>IF(OR($H$431="",NOT(TRUE)),"","Couverture")</f>
        <v/>
      </c>
      <c r="B432" s="6" t="str">
        <f>IF($H$431="","",IFERROR(IFERROR(LOOKUP(2,1/((SAISIE!$E$210:$E$409=$H$431)*(LEFT(SAISIE!$B$210:$B$409,2)="G ")),SAISIE!$C$210:$C$409),LOOKUP(2,1/((SAISIE!$E$210:$E$409=$H$431)*(ISNUMBER(SEARCH("Couverture",SAISIE!$B$210:$B$409)))),SAISIE!$C$210:$C$409)),"-"))</f>
        <v/>
      </c>
      <c r="C432" s="6" t="str">
        <f>IF($H$431="","",IFERROR(IFERROR(LOOKUP(2,1/((SAISIE!$E$210:$E$409=$H$431)*(LEFT(SAISIE!$B$210:$B$409,2)="G ")),SAISIE!$D$210:$D$409),LOOKUP(2,1/((SAISIE!$E$210:$E$409=$H$431)*(ISNUMBER(SEARCH("Couverture",SAISIE!$B$210:$B$409)))),SAISIE!$D$210:$D$409)),"-"))</f>
        <v/>
      </c>
      <c r="D432" s="6" t="str">
        <f>IF($H$431="","",IF(OR(C432="",C432="-"),"",IF(C432&gt;0,"(soulevement)",IF(C432&lt;0,"(compression)","-"))))</f>
        <v/>
      </c>
    </row>
    <row r="433" spans="1:8" x14ac:dyDescent="0.25">
      <c r="A433" s="5" t="str">
        <f>IF(OR($H$431="",NOT(COUNTIFS(SAISIE!$B$210:$B$409,"*Vent G/D*",SAISIE!$E$210:$E$409,$H$431)&gt;0)),"","Vent G/D")</f>
        <v/>
      </c>
      <c r="B433" s="6" t="str">
        <f>IF(OR($H$431="",NOT(COUNTIFS(SAISIE!$B$210:$B$409,"*Vent G/D*",SAISIE!$E$210:$E$409,$H$431)&gt;0)),"",IFERROR(IF(_xlfn.MINIFS(SAISIE!$D$210:$D$409,SAISIE!$B$210:$B$409,"*Vent G/D*",SAISIE!$E$210:$E$409,$H$431)&gt;=0,_xlfn.MAXIFS(SAISIE!$C$210:$C$409,SAISIE!$B$210:$B$409,"*Vent G/D*",SAISIE!$E$210:$E$409,$H$431),INDEX(SAISIE!$C$210:$C$409,MATCH(_xlfn.MINIFS(SAISIE!$D$210:$D$409,SAISIE!$B$210:$B$409,"*Vent G/D*",SAISIE!$E$210:$E$409,$H$431),SAISIE!$D$210:$D$409,0))),"-"))</f>
        <v/>
      </c>
      <c r="C433" s="6" t="str">
        <f>IF(OR($H$431="",NOT(COUNTIFS(SAISIE!$B$210:$B$409,"*Vent G/D*",SAISIE!$E$210:$E$409,$H$431)&gt;0)),"",IFERROR(IF(_xlfn.MINIFS(SAISIE!$D$210:$D$409,SAISIE!$B$210:$B$409,"*Vent G/D*",SAISIE!$E$210:$E$409,$H$431)&gt;=0,0,_xlfn.MINIFS(SAISIE!$D$210:$D$409,SAISIE!$B$210:$B$409,"*Vent G/D*",SAISIE!$E$210:$E$409,$H$431)),"-"))</f>
        <v/>
      </c>
      <c r="D433" s="6" t="str">
        <f>IF($H$431="","",IF(OR(C433="",C433="-"),"",IF(C433&gt;0,"(soulevement)",IF(C433&lt;0,"(compression)","-"))))</f>
        <v/>
      </c>
    </row>
    <row r="434" spans="1:8" x14ac:dyDescent="0.25">
      <c r="A434" s="5" t="str">
        <f>IF(OR($H$431="",NOT(_xlfn.MAXIFS(SAISIE!$D$210:$D$409,SAISIE!$B$210:$B$409,"*Vent G/D*",SAISIE!$E$210:$E$409,$H$431)&gt;0)),"","Vent G/D")</f>
        <v/>
      </c>
      <c r="B434" s="6" t="str">
        <f>IF(OR($H$431="",NOT(_xlfn.MAXIFS(SAISIE!$D$210:$D$409,SAISIE!$B$210:$B$409,"*Vent G/D*",SAISIE!$E$210:$E$409,$H$431)&gt;0)),"",IFERROR(INDEX(SAISIE!$C$210:$C$409,MATCH(_xlfn.MAXIFS(SAISIE!$D$210:$D$409,SAISIE!$B$210:$B$409,"*Vent G/D*",SAISIE!$E$210:$E$409,$H$431),SAISIE!$D$210:$D$409,0)),"-"))</f>
        <v/>
      </c>
      <c r="C434" s="6" t="str">
        <f>IF(OR($H$431="",NOT(_xlfn.MAXIFS(SAISIE!$D$210:$D$409,SAISIE!$B$210:$B$409,"*Vent G/D*",SAISIE!$E$210:$E$409,$H$431)&gt;0)),"",IFERROR(_xlfn.MAXIFS(SAISIE!$D$210:$D$409,SAISIE!$B$210:$B$409,"*Vent G/D*",SAISIE!$E$210:$E$409,$H$431),"-"))</f>
        <v/>
      </c>
      <c r="D434" s="6" t="str">
        <f>IF($H$431="","",IF(OR(C434="",C434="-"),"",IF(C434&gt;0,"(soulevement)",IF(C434&lt;0,"(compression)","-"))))</f>
        <v/>
      </c>
    </row>
    <row r="435" spans="1:8" x14ac:dyDescent="0.25">
      <c r="A435" s="5" t="str">
        <f>IF(OR($H$431="",NOT(COUNTIFS(SAISIE!$B$210:$B$409,"*Vent D/G*",SAISIE!$E$210:$E$409,$H$431)&gt;0)),"","Vent D/G")</f>
        <v/>
      </c>
      <c r="B435" s="6" t="str">
        <f>IF(OR($H$431="",NOT(COUNTIFS(SAISIE!$B$210:$B$409,"*Vent D/G*",SAISIE!$E$210:$E$409,$H$431)&gt;0)),"",IFERROR(IF(_xlfn.MINIFS(SAISIE!$D$210:$D$409,SAISIE!$B$210:$B$409,"*Vent D/G*",SAISIE!$E$210:$E$409,$H$431)&gt;=0,_xlfn.MAXIFS(SAISIE!$C$210:$C$409,SAISIE!$B$210:$B$409,"*Vent D/G*",SAISIE!$E$210:$E$409,$H$431),INDEX(SAISIE!$C$210:$C$409,MATCH(_xlfn.MINIFS(SAISIE!$D$210:$D$409,SAISIE!$B$210:$B$409,"*Vent D/G*",SAISIE!$E$210:$E$409,$H$431),SAISIE!$D$210:$D$409,0))),"-"))</f>
        <v/>
      </c>
      <c r="C435" s="6" t="str">
        <f>IF(OR($H$431="",NOT(COUNTIFS(SAISIE!$B$210:$B$409,"*Vent D/G*",SAISIE!$E$210:$E$409,$H$431)&gt;0)),"",IFERROR(IF(_xlfn.MINIFS(SAISIE!$D$210:$D$409,SAISIE!$B$210:$B$409,"*Vent D/G*",SAISIE!$E$210:$E$409,$H$431)&gt;=0,0,_xlfn.MINIFS(SAISIE!$D$210:$D$409,SAISIE!$B$210:$B$409,"*Vent D/G*",SAISIE!$E$210:$E$409,$H$431)),"-"))</f>
        <v/>
      </c>
      <c r="D435" s="6" t="str">
        <f>IF($H$431="","",IF(OR(C435="",C435="-"),"",IF(C435&gt;0,"(soulevement)",IF(C435&lt;0,"(compression)","-"))))</f>
        <v/>
      </c>
    </row>
    <row r="436" spans="1:8" x14ac:dyDescent="0.25">
      <c r="A436" s="5" t="str">
        <f>IF(OR($H$431="",NOT(_xlfn.MAXIFS(SAISIE!$D$210:$D$409,SAISIE!$B$210:$B$409,"*Vent D/G*",SAISIE!$E$210:$E$409,$H$431)&gt;0)),"","Vent D/G")</f>
        <v/>
      </c>
      <c r="B436" s="6" t="str">
        <f>IF(OR($H$431="",NOT(_xlfn.MAXIFS(SAISIE!$D$210:$D$409,SAISIE!$B$210:$B$409,"*Vent D/G*",SAISIE!$E$210:$E$409,$H$431)&gt;0)),"",IFERROR(INDEX(SAISIE!$C$210:$C$409,MATCH(_xlfn.MAXIFS(SAISIE!$D$210:$D$409,SAISIE!$B$210:$B$409,"*Vent D/G*",SAISIE!$E$210:$E$409,$H$431),SAISIE!$D$210:$D$409,0)),"-"))</f>
        <v/>
      </c>
      <c r="C436" s="6" t="str">
        <f>IF(OR($H$431="",NOT(_xlfn.MAXIFS(SAISIE!$D$210:$D$409,SAISIE!$B$210:$B$409,"*Vent D/G*",SAISIE!$E$210:$E$409,$H$431)&gt;0)),"",IFERROR(_xlfn.MAXIFS(SAISIE!$D$210:$D$409,SAISIE!$B$210:$B$409,"*Vent D/G*",SAISIE!$E$210:$E$409,$H$431),"-"))</f>
        <v/>
      </c>
      <c r="D436" s="6" t="str">
        <f>IF($H$431="","",IF(OR(C436="",C436="-"),"",IF(C436&gt;0,"(soulevement)",IF(C436&lt;0,"(compression)","-"))))</f>
        <v/>
      </c>
    </row>
    <row r="437" spans="1:8" x14ac:dyDescent="0.25">
      <c r="A437" s="5" t="str">
        <f>IF(OR($H$431="",NOT(COUNTIFS(SAISIE!$B$210:$B$409,"*Vent Av./Arr.*",SAISIE!$E$210:$E$409,$H$431)&gt;0)),"","Vent Av./Arr.")</f>
        <v/>
      </c>
      <c r="B437" s="6" t="str">
        <f>IF(OR($H$431="",NOT(COUNTIFS(SAISIE!$B$210:$B$409,"*Vent Av./Arr.*",SAISIE!$E$210:$E$409,$H$431)&gt;0)),"",IFERROR(IF(_xlfn.MINIFS(SAISIE!$D$210:$D$409,SAISIE!$B$210:$B$409,"*Vent Av./Arr.*",SAISIE!$E$210:$E$409,$H$431)&gt;=0,_xlfn.MAXIFS(SAISIE!$C$210:$C$409,SAISIE!$B$210:$B$409,"*Vent Av./Arr.*",SAISIE!$E$210:$E$409,$H$431),INDEX(SAISIE!$C$210:$C$409,MATCH(_xlfn.MINIFS(SAISIE!$D$210:$D$409,SAISIE!$B$210:$B$409,"*Vent Av./Arr.*",SAISIE!$E$210:$E$409,$H$431),SAISIE!$D$210:$D$409,0))),"-"))</f>
        <v/>
      </c>
      <c r="C437" s="6" t="str">
        <f>IF(OR($H$431="",NOT(COUNTIFS(SAISIE!$B$210:$B$409,"*Vent Av./Arr.*",SAISIE!$E$210:$E$409,$H$431)&gt;0)),"",IFERROR(IF(_xlfn.MINIFS(SAISIE!$D$210:$D$409,SAISIE!$B$210:$B$409,"*Vent Av./Arr.*",SAISIE!$E$210:$E$409,$H$431)&gt;=0,0,_xlfn.MINIFS(SAISIE!$D$210:$D$409,SAISIE!$B$210:$B$409,"*Vent Av./Arr.*",SAISIE!$E$210:$E$409,$H$431)),"-"))</f>
        <v/>
      </c>
      <c r="D437" s="6" t="str">
        <f>IF($H$431="","",IF(OR(C437="",C437="-"),"",IF(C437&gt;0,"(soulevement)",IF(C437&lt;0,"(compression)","-"))))</f>
        <v/>
      </c>
    </row>
    <row r="438" spans="1:8" x14ac:dyDescent="0.25">
      <c r="A438" s="5" t="str">
        <f>IF(OR($H$431="",NOT(_xlfn.MAXIFS(SAISIE!$D$210:$D$409,SAISIE!$B$210:$B$409,"*Vent Av./Arr.*",SAISIE!$E$210:$E$409,$H$431)&gt;0)),"","Vent Av./Arr.")</f>
        <v/>
      </c>
      <c r="B438" s="6" t="str">
        <f>IF(OR($H$431="",NOT(_xlfn.MAXIFS(SAISIE!$D$210:$D$409,SAISIE!$B$210:$B$409,"*Vent Av./Arr.*",SAISIE!$E$210:$E$409,$H$431)&gt;0)),"",IFERROR(INDEX(SAISIE!$C$210:$C$409,MATCH(_xlfn.MAXIFS(SAISIE!$D$210:$D$409,SAISIE!$B$210:$B$409,"*Vent Av./Arr.*",SAISIE!$E$210:$E$409,$H$431),SAISIE!$D$210:$D$409,0)),"-"))</f>
        <v/>
      </c>
      <c r="C438" s="6" t="str">
        <f>IF(OR($H$431="",NOT(_xlfn.MAXIFS(SAISIE!$D$210:$D$409,SAISIE!$B$210:$B$409,"*Vent Av./Arr.*",SAISIE!$E$210:$E$409,$H$431)&gt;0)),"",IFERROR(_xlfn.MAXIFS(SAISIE!$D$210:$D$409,SAISIE!$B$210:$B$409,"*Vent Av./Arr.*",SAISIE!$E$210:$E$409,$H$431),"-"))</f>
        <v/>
      </c>
      <c r="D438" s="6" t="str">
        <f>IF($H$431="","",IF(OR(C438="",C438="-"),"",IF(C438&gt;0,"(soulevement)",IF(C438&lt;0,"(compression)","-"))))</f>
        <v/>
      </c>
    </row>
    <row r="439" spans="1:8" x14ac:dyDescent="0.25">
      <c r="A439" s="5" t="str">
        <f>IF(OR($H$431="",NOT(COUNTIFS(SAISIE!$B$210:$B$409,"*Vent Arr./Av.*",SAISIE!$E$210:$E$409,$H$431)&gt;0)),"","Vent Arr./Av.")</f>
        <v/>
      </c>
      <c r="B439" s="6" t="str">
        <f>IF(OR($H$431="",NOT(COUNTIFS(SAISIE!$B$210:$B$409,"*Vent Arr./Av.*",SAISIE!$E$210:$E$409,$H$431)&gt;0)),"",IFERROR(IF(_xlfn.MINIFS(SAISIE!$D$210:$D$409,SAISIE!$B$210:$B$409,"*Vent Arr./Av.*",SAISIE!$E$210:$E$409,$H$431)&gt;=0,_xlfn.MAXIFS(SAISIE!$C$210:$C$409,SAISIE!$B$210:$B$409,"*Vent Arr./Av.*",SAISIE!$E$210:$E$409,$H$431),INDEX(SAISIE!$C$210:$C$409,MATCH(_xlfn.MINIFS(SAISIE!$D$210:$D$409,SAISIE!$B$210:$B$409,"*Vent Arr./Av.*",SAISIE!$E$210:$E$409,$H$431),SAISIE!$D$210:$D$409,0))),"-"))</f>
        <v/>
      </c>
      <c r="C439" s="6" t="str">
        <f>IF(OR($H$431="",NOT(COUNTIFS(SAISIE!$B$210:$B$409,"*Vent Arr./Av.*",SAISIE!$E$210:$E$409,$H$431)&gt;0)),"",IFERROR(IF(_xlfn.MINIFS(SAISIE!$D$210:$D$409,SAISIE!$B$210:$B$409,"*Vent Arr./Av.*",SAISIE!$E$210:$E$409,$H$431)&gt;=0,0,_xlfn.MINIFS(SAISIE!$D$210:$D$409,SAISIE!$B$210:$B$409,"*Vent Arr./Av.*",SAISIE!$E$210:$E$409,$H$431)),"-"))</f>
        <v/>
      </c>
      <c r="D439" s="6" t="str">
        <f>IF($H$431="","",IF(OR(C439="",C439="-"),"",IF(C439&gt;0,"(soulevement)",IF(C439&lt;0,"(compression)","-"))))</f>
        <v/>
      </c>
    </row>
    <row r="440" spans="1:8" x14ac:dyDescent="0.25">
      <c r="A440" s="5" t="str">
        <f>IF(OR($H$431="",NOT(_xlfn.MAXIFS(SAISIE!$D$210:$D$409,SAISIE!$B$210:$B$409,"*Vent Arr./Av.*",SAISIE!$E$210:$E$409,$H$431)&gt;0)),"","Vent Arr./Av.")</f>
        <v/>
      </c>
      <c r="B440" s="6" t="str">
        <f>IF(OR($H$431="",NOT(_xlfn.MAXIFS(SAISIE!$D$210:$D$409,SAISIE!$B$210:$B$409,"*Vent Arr./Av.*",SAISIE!$E$210:$E$409,$H$431)&gt;0)),"",IFERROR(INDEX(SAISIE!$C$210:$C$409,MATCH(_xlfn.MAXIFS(SAISIE!$D$210:$D$409,SAISIE!$B$210:$B$409,"*Vent Arr./Av.*",SAISIE!$E$210:$E$409,$H$431),SAISIE!$D$210:$D$409,0)),"-"))</f>
        <v/>
      </c>
      <c r="C440" s="6" t="str">
        <f>IF(OR($H$431="",NOT(_xlfn.MAXIFS(SAISIE!$D$210:$D$409,SAISIE!$B$210:$B$409,"*Vent Arr./Av.*",SAISIE!$E$210:$E$409,$H$431)&gt;0)),"",IFERROR(_xlfn.MAXIFS(SAISIE!$D$210:$D$409,SAISIE!$B$210:$B$409,"*Vent Arr./Av.*",SAISIE!$E$210:$E$409,$H$431),"-"))</f>
        <v/>
      </c>
      <c r="D440" s="6" t="str">
        <f>IF($H$431="","",IF(OR(C440="",C440="-"),"",IF(C440&gt;0,"(soulevement)",IF(C440&lt;0,"(compression)","-"))))</f>
        <v/>
      </c>
    </row>
    <row r="441" spans="1:8" x14ac:dyDescent="0.25">
      <c r="A441" s="5" t="str">
        <f>IF(OR($H$431="",NOT(TRUE)),"","Neige normale")</f>
        <v/>
      </c>
      <c r="B441" s="6" t="str">
        <f>IF($H$431="","",IFERROR(INDEX(SAISIE!$C$210:$C$409,MATCH(_xlfn.MINIFS(SAISIE!$D$210:$D$409,SAISIE!$B$210:$B$409,"*Neige*",SAISIE!$B$210:$B$409,"&lt;&gt;*accidentel*",SAISIE!$E$210:$E$409,$H$431),SAISIE!$D$210:$D$409,0)),"-"))</f>
        <v/>
      </c>
      <c r="C441" s="6" t="str">
        <f>IF($H$431="","",IFERROR(INDEX(SAISIE!$D$210:$D$409,MATCH(_xlfn.MINIFS(SAISIE!$D$210:$D$409,SAISIE!$B$210:$B$409,"*Neige*",SAISIE!$B$210:$B$409,"&lt;&gt;*accidentel*",SAISIE!$E$210:$E$409,$H$431),SAISIE!$D$210:$D$409,0)),"-"))</f>
        <v/>
      </c>
      <c r="D441" s="6" t="str">
        <f>IF($H$431="","",IF(OR(C441="",C441="-"),"",IF(C441&gt;0,"(soulevement)",IF(C441&lt;0,"(compression)","-"))))</f>
        <v/>
      </c>
    </row>
    <row r="442" spans="1:8" x14ac:dyDescent="0.25">
      <c r="A442" s="5" t="str">
        <f>IF(OR($H$431="",NOT(TRUE)),"","Neige accidentelle")</f>
        <v/>
      </c>
      <c r="B442" s="6" t="str">
        <f>IF($H$431="","",IFERROR(LOOKUP(2,1/((SAISIE!$E$210:$E$409=$H$431)*(ISNUMBER(SEARCH("accidentel",SAISIE!$B$210:$B$409)))),SAISIE!$C$210:$C$409),"-"))</f>
        <v/>
      </c>
      <c r="C442" s="6" t="str">
        <f>IF($H$431="","",IFERROR(LOOKUP(2,1/((SAISIE!$E$210:$E$409=$H$431)*(ISNUMBER(SEARCH("accidentel",SAISIE!$B$210:$B$409)))),SAISIE!$D$210:$D$409),"-"))</f>
        <v/>
      </c>
      <c r="D442" s="6" t="str">
        <f>IF($H$431="","",IF(OR(C442="",C442="-"),"",IF(C442&gt;0,"(soulevement)",IF(C442&lt;0,"(compression)","-"))))</f>
        <v/>
      </c>
    </row>
    <row r="443" spans="1:8" ht="15.75" x14ac:dyDescent="0.25">
      <c r="A443" s="11" t="str">
        <f>IF($H$443="","","Noeud "&amp;$H$443)</f>
        <v/>
      </c>
      <c r="B443" s="12"/>
      <c r="C443" s="12"/>
      <c r="D443" s="12"/>
      <c r="H443" t="str">
        <f>IFERROR(INDEX(SAISIE!$E$210:$E$409,_xlfn.AGGREGATE(15,6,ROW(SAISIE!$E$210:$E$409)-ROW(SAISIE!$E$210)+1/(SAISIE!$E$210:$E$409&lt;&gt;"")/(COUNTIF($H$4:H442,SAISIE!$E$210:$E$409)=0),1)),"")</f>
        <v/>
      </c>
    </row>
    <row r="444" spans="1:8" x14ac:dyDescent="0.25">
      <c r="A444" s="5" t="str">
        <f>IF(OR($H$443="",NOT(TRUE)),"","Couverture")</f>
        <v/>
      </c>
      <c r="B444" s="6" t="str">
        <f>IF($H$443="","",IFERROR(IFERROR(LOOKUP(2,1/((SAISIE!$E$210:$E$409=$H$443)*(LEFT(SAISIE!$B$210:$B$409,2)="G ")),SAISIE!$C$210:$C$409),LOOKUP(2,1/((SAISIE!$E$210:$E$409=$H$443)*(ISNUMBER(SEARCH("Couverture",SAISIE!$B$210:$B$409)))),SAISIE!$C$210:$C$409)),"-"))</f>
        <v/>
      </c>
      <c r="C444" s="6" t="str">
        <f>IF($H$443="","",IFERROR(IFERROR(LOOKUP(2,1/((SAISIE!$E$210:$E$409=$H$443)*(LEFT(SAISIE!$B$210:$B$409,2)="G ")),SAISIE!$D$210:$D$409),LOOKUP(2,1/((SAISIE!$E$210:$E$409=$H$443)*(ISNUMBER(SEARCH("Couverture",SAISIE!$B$210:$B$409)))),SAISIE!$D$210:$D$409)),"-"))</f>
        <v/>
      </c>
      <c r="D444" s="6" t="str">
        <f>IF($H$443="","",IF(OR(C444="",C444="-"),"",IF(C444&gt;0,"(soulevement)",IF(C444&lt;0,"(compression)","-"))))</f>
        <v/>
      </c>
    </row>
    <row r="445" spans="1:8" x14ac:dyDescent="0.25">
      <c r="A445" s="5" t="str">
        <f>IF(OR($H$443="",NOT(COUNTIFS(SAISIE!$B$210:$B$409,"*Vent G/D*",SAISIE!$E$210:$E$409,$H$443)&gt;0)),"","Vent G/D")</f>
        <v/>
      </c>
      <c r="B445" s="6" t="str">
        <f>IF(OR($H$443="",NOT(COUNTIFS(SAISIE!$B$210:$B$409,"*Vent G/D*",SAISIE!$E$210:$E$409,$H$443)&gt;0)),"",IFERROR(IF(_xlfn.MINIFS(SAISIE!$D$210:$D$409,SAISIE!$B$210:$B$409,"*Vent G/D*",SAISIE!$E$210:$E$409,$H$443)&gt;=0,_xlfn.MAXIFS(SAISIE!$C$210:$C$409,SAISIE!$B$210:$B$409,"*Vent G/D*",SAISIE!$E$210:$E$409,$H$443),INDEX(SAISIE!$C$210:$C$409,MATCH(_xlfn.MINIFS(SAISIE!$D$210:$D$409,SAISIE!$B$210:$B$409,"*Vent G/D*",SAISIE!$E$210:$E$409,$H$443),SAISIE!$D$210:$D$409,0))),"-"))</f>
        <v/>
      </c>
      <c r="C445" s="6" t="str">
        <f>IF(OR($H$443="",NOT(COUNTIFS(SAISIE!$B$210:$B$409,"*Vent G/D*",SAISIE!$E$210:$E$409,$H$443)&gt;0)),"",IFERROR(IF(_xlfn.MINIFS(SAISIE!$D$210:$D$409,SAISIE!$B$210:$B$409,"*Vent G/D*",SAISIE!$E$210:$E$409,$H$443)&gt;=0,0,_xlfn.MINIFS(SAISIE!$D$210:$D$409,SAISIE!$B$210:$B$409,"*Vent G/D*",SAISIE!$E$210:$E$409,$H$443)),"-"))</f>
        <v/>
      </c>
      <c r="D445" s="6" t="str">
        <f>IF($H$443="","",IF(OR(C445="",C445="-"),"",IF(C445&gt;0,"(soulevement)",IF(C445&lt;0,"(compression)","-"))))</f>
        <v/>
      </c>
    </row>
    <row r="446" spans="1:8" x14ac:dyDescent="0.25">
      <c r="A446" s="5" t="str">
        <f>IF(OR($H$443="",NOT(_xlfn.MAXIFS(SAISIE!$D$210:$D$409,SAISIE!$B$210:$B$409,"*Vent G/D*",SAISIE!$E$210:$E$409,$H$443)&gt;0)),"","Vent G/D")</f>
        <v/>
      </c>
      <c r="B446" s="6" t="str">
        <f>IF(OR($H$443="",NOT(_xlfn.MAXIFS(SAISIE!$D$210:$D$409,SAISIE!$B$210:$B$409,"*Vent G/D*",SAISIE!$E$210:$E$409,$H$443)&gt;0)),"",IFERROR(INDEX(SAISIE!$C$210:$C$409,MATCH(_xlfn.MAXIFS(SAISIE!$D$210:$D$409,SAISIE!$B$210:$B$409,"*Vent G/D*",SAISIE!$E$210:$E$409,$H$443),SAISIE!$D$210:$D$409,0)),"-"))</f>
        <v/>
      </c>
      <c r="C446" s="6" t="str">
        <f>IF(OR($H$443="",NOT(_xlfn.MAXIFS(SAISIE!$D$210:$D$409,SAISIE!$B$210:$B$409,"*Vent G/D*",SAISIE!$E$210:$E$409,$H$443)&gt;0)),"",IFERROR(_xlfn.MAXIFS(SAISIE!$D$210:$D$409,SAISIE!$B$210:$B$409,"*Vent G/D*",SAISIE!$E$210:$E$409,$H$443),"-"))</f>
        <v/>
      </c>
      <c r="D446" s="6" t="str">
        <f>IF($H$443="","",IF(OR(C446="",C446="-"),"",IF(C446&gt;0,"(soulevement)",IF(C446&lt;0,"(compression)","-"))))</f>
        <v/>
      </c>
    </row>
    <row r="447" spans="1:8" x14ac:dyDescent="0.25">
      <c r="A447" s="5" t="str">
        <f>IF(OR($H$443="",NOT(COUNTIFS(SAISIE!$B$210:$B$409,"*Vent D/G*",SAISIE!$E$210:$E$409,$H$443)&gt;0)),"","Vent D/G")</f>
        <v/>
      </c>
      <c r="B447" s="6" t="str">
        <f>IF(OR($H$443="",NOT(COUNTIFS(SAISIE!$B$210:$B$409,"*Vent D/G*",SAISIE!$E$210:$E$409,$H$443)&gt;0)),"",IFERROR(IF(_xlfn.MINIFS(SAISIE!$D$210:$D$409,SAISIE!$B$210:$B$409,"*Vent D/G*",SAISIE!$E$210:$E$409,$H$443)&gt;=0,_xlfn.MAXIFS(SAISIE!$C$210:$C$409,SAISIE!$B$210:$B$409,"*Vent D/G*",SAISIE!$E$210:$E$409,$H$443),INDEX(SAISIE!$C$210:$C$409,MATCH(_xlfn.MINIFS(SAISIE!$D$210:$D$409,SAISIE!$B$210:$B$409,"*Vent D/G*",SAISIE!$E$210:$E$409,$H$443),SAISIE!$D$210:$D$409,0))),"-"))</f>
        <v/>
      </c>
      <c r="C447" s="6" t="str">
        <f>IF(OR($H$443="",NOT(COUNTIFS(SAISIE!$B$210:$B$409,"*Vent D/G*",SAISIE!$E$210:$E$409,$H$443)&gt;0)),"",IFERROR(IF(_xlfn.MINIFS(SAISIE!$D$210:$D$409,SAISIE!$B$210:$B$409,"*Vent D/G*",SAISIE!$E$210:$E$409,$H$443)&gt;=0,0,_xlfn.MINIFS(SAISIE!$D$210:$D$409,SAISIE!$B$210:$B$409,"*Vent D/G*",SAISIE!$E$210:$E$409,$H$443)),"-"))</f>
        <v/>
      </c>
      <c r="D447" s="6" t="str">
        <f>IF($H$443="","",IF(OR(C447="",C447="-"),"",IF(C447&gt;0,"(soulevement)",IF(C447&lt;0,"(compression)","-"))))</f>
        <v/>
      </c>
    </row>
    <row r="448" spans="1:8" x14ac:dyDescent="0.25">
      <c r="A448" s="5" t="str">
        <f>IF(OR($H$443="",NOT(_xlfn.MAXIFS(SAISIE!$D$210:$D$409,SAISIE!$B$210:$B$409,"*Vent D/G*",SAISIE!$E$210:$E$409,$H$443)&gt;0)),"","Vent D/G")</f>
        <v/>
      </c>
      <c r="B448" s="6" t="str">
        <f>IF(OR($H$443="",NOT(_xlfn.MAXIFS(SAISIE!$D$210:$D$409,SAISIE!$B$210:$B$409,"*Vent D/G*",SAISIE!$E$210:$E$409,$H$443)&gt;0)),"",IFERROR(INDEX(SAISIE!$C$210:$C$409,MATCH(_xlfn.MAXIFS(SAISIE!$D$210:$D$409,SAISIE!$B$210:$B$409,"*Vent D/G*",SAISIE!$E$210:$E$409,$H$443),SAISIE!$D$210:$D$409,0)),"-"))</f>
        <v/>
      </c>
      <c r="C448" s="6" t="str">
        <f>IF(OR($H$443="",NOT(_xlfn.MAXIFS(SAISIE!$D$210:$D$409,SAISIE!$B$210:$B$409,"*Vent D/G*",SAISIE!$E$210:$E$409,$H$443)&gt;0)),"",IFERROR(_xlfn.MAXIFS(SAISIE!$D$210:$D$409,SAISIE!$B$210:$B$409,"*Vent D/G*",SAISIE!$E$210:$E$409,$H$443),"-"))</f>
        <v/>
      </c>
      <c r="D448" s="6" t="str">
        <f>IF($H$443="","",IF(OR(C448="",C448="-"),"",IF(C448&gt;0,"(soulevement)",IF(C448&lt;0,"(compression)","-"))))</f>
        <v/>
      </c>
    </row>
    <row r="449" spans="1:8" x14ac:dyDescent="0.25">
      <c r="A449" s="5" t="str">
        <f>IF(OR($H$443="",NOT(COUNTIFS(SAISIE!$B$210:$B$409,"*Vent Av./Arr.*",SAISIE!$E$210:$E$409,$H$443)&gt;0)),"","Vent Av./Arr.")</f>
        <v/>
      </c>
      <c r="B449" s="6" t="str">
        <f>IF(OR($H$443="",NOT(COUNTIFS(SAISIE!$B$210:$B$409,"*Vent Av./Arr.*",SAISIE!$E$210:$E$409,$H$443)&gt;0)),"",IFERROR(IF(_xlfn.MINIFS(SAISIE!$D$210:$D$409,SAISIE!$B$210:$B$409,"*Vent Av./Arr.*",SAISIE!$E$210:$E$409,$H$443)&gt;=0,_xlfn.MAXIFS(SAISIE!$C$210:$C$409,SAISIE!$B$210:$B$409,"*Vent Av./Arr.*",SAISIE!$E$210:$E$409,$H$443),INDEX(SAISIE!$C$210:$C$409,MATCH(_xlfn.MINIFS(SAISIE!$D$210:$D$409,SAISIE!$B$210:$B$409,"*Vent Av./Arr.*",SAISIE!$E$210:$E$409,$H$443),SAISIE!$D$210:$D$409,0))),"-"))</f>
        <v/>
      </c>
      <c r="C449" s="6" t="str">
        <f>IF(OR($H$443="",NOT(COUNTIFS(SAISIE!$B$210:$B$409,"*Vent Av./Arr.*",SAISIE!$E$210:$E$409,$H$443)&gt;0)),"",IFERROR(IF(_xlfn.MINIFS(SAISIE!$D$210:$D$409,SAISIE!$B$210:$B$409,"*Vent Av./Arr.*",SAISIE!$E$210:$E$409,$H$443)&gt;=0,0,_xlfn.MINIFS(SAISIE!$D$210:$D$409,SAISIE!$B$210:$B$409,"*Vent Av./Arr.*",SAISIE!$E$210:$E$409,$H$443)),"-"))</f>
        <v/>
      </c>
      <c r="D449" s="6" t="str">
        <f>IF($H$443="","",IF(OR(C449="",C449="-"),"",IF(C449&gt;0,"(soulevement)",IF(C449&lt;0,"(compression)","-"))))</f>
        <v/>
      </c>
    </row>
    <row r="450" spans="1:8" x14ac:dyDescent="0.25">
      <c r="A450" s="5" t="str">
        <f>IF(OR($H$443="",NOT(_xlfn.MAXIFS(SAISIE!$D$210:$D$409,SAISIE!$B$210:$B$409,"*Vent Av./Arr.*",SAISIE!$E$210:$E$409,$H$443)&gt;0)),"","Vent Av./Arr.")</f>
        <v/>
      </c>
      <c r="B450" s="6" t="str">
        <f>IF(OR($H$443="",NOT(_xlfn.MAXIFS(SAISIE!$D$210:$D$409,SAISIE!$B$210:$B$409,"*Vent Av./Arr.*",SAISIE!$E$210:$E$409,$H$443)&gt;0)),"",IFERROR(INDEX(SAISIE!$C$210:$C$409,MATCH(_xlfn.MAXIFS(SAISIE!$D$210:$D$409,SAISIE!$B$210:$B$409,"*Vent Av./Arr.*",SAISIE!$E$210:$E$409,$H$443),SAISIE!$D$210:$D$409,0)),"-"))</f>
        <v/>
      </c>
      <c r="C450" s="6" t="str">
        <f>IF(OR($H$443="",NOT(_xlfn.MAXIFS(SAISIE!$D$210:$D$409,SAISIE!$B$210:$B$409,"*Vent Av./Arr.*",SAISIE!$E$210:$E$409,$H$443)&gt;0)),"",IFERROR(_xlfn.MAXIFS(SAISIE!$D$210:$D$409,SAISIE!$B$210:$B$409,"*Vent Av./Arr.*",SAISIE!$E$210:$E$409,$H$443),"-"))</f>
        <v/>
      </c>
      <c r="D450" s="6" t="str">
        <f>IF($H$443="","",IF(OR(C450="",C450="-"),"",IF(C450&gt;0,"(soulevement)",IF(C450&lt;0,"(compression)","-"))))</f>
        <v/>
      </c>
    </row>
    <row r="451" spans="1:8" x14ac:dyDescent="0.25">
      <c r="A451" s="5" t="str">
        <f>IF(OR($H$443="",NOT(COUNTIFS(SAISIE!$B$210:$B$409,"*Vent Arr./Av.*",SAISIE!$E$210:$E$409,$H$443)&gt;0)),"","Vent Arr./Av.")</f>
        <v/>
      </c>
      <c r="B451" s="6" t="str">
        <f>IF(OR($H$443="",NOT(COUNTIFS(SAISIE!$B$210:$B$409,"*Vent Arr./Av.*",SAISIE!$E$210:$E$409,$H$443)&gt;0)),"",IFERROR(IF(_xlfn.MINIFS(SAISIE!$D$210:$D$409,SAISIE!$B$210:$B$409,"*Vent Arr./Av.*",SAISIE!$E$210:$E$409,$H$443)&gt;=0,_xlfn.MAXIFS(SAISIE!$C$210:$C$409,SAISIE!$B$210:$B$409,"*Vent Arr./Av.*",SAISIE!$E$210:$E$409,$H$443),INDEX(SAISIE!$C$210:$C$409,MATCH(_xlfn.MINIFS(SAISIE!$D$210:$D$409,SAISIE!$B$210:$B$409,"*Vent Arr./Av.*",SAISIE!$E$210:$E$409,$H$443),SAISIE!$D$210:$D$409,0))),"-"))</f>
        <v/>
      </c>
      <c r="C451" s="6" t="str">
        <f>IF(OR($H$443="",NOT(COUNTIFS(SAISIE!$B$210:$B$409,"*Vent Arr./Av.*",SAISIE!$E$210:$E$409,$H$443)&gt;0)),"",IFERROR(IF(_xlfn.MINIFS(SAISIE!$D$210:$D$409,SAISIE!$B$210:$B$409,"*Vent Arr./Av.*",SAISIE!$E$210:$E$409,$H$443)&gt;=0,0,_xlfn.MINIFS(SAISIE!$D$210:$D$409,SAISIE!$B$210:$B$409,"*Vent Arr./Av.*",SAISIE!$E$210:$E$409,$H$443)),"-"))</f>
        <v/>
      </c>
      <c r="D451" s="6" t="str">
        <f>IF($H$443="","",IF(OR(C451="",C451="-"),"",IF(C451&gt;0,"(soulevement)",IF(C451&lt;0,"(compression)","-"))))</f>
        <v/>
      </c>
    </row>
    <row r="452" spans="1:8" x14ac:dyDescent="0.25">
      <c r="A452" s="5" t="str">
        <f>IF(OR($H$443="",NOT(_xlfn.MAXIFS(SAISIE!$D$210:$D$409,SAISIE!$B$210:$B$409,"*Vent Arr./Av.*",SAISIE!$E$210:$E$409,$H$443)&gt;0)),"","Vent Arr./Av.")</f>
        <v/>
      </c>
      <c r="B452" s="6" t="str">
        <f>IF(OR($H$443="",NOT(_xlfn.MAXIFS(SAISIE!$D$210:$D$409,SAISIE!$B$210:$B$409,"*Vent Arr./Av.*",SAISIE!$E$210:$E$409,$H$443)&gt;0)),"",IFERROR(INDEX(SAISIE!$C$210:$C$409,MATCH(_xlfn.MAXIFS(SAISIE!$D$210:$D$409,SAISIE!$B$210:$B$409,"*Vent Arr./Av.*",SAISIE!$E$210:$E$409,$H$443),SAISIE!$D$210:$D$409,0)),"-"))</f>
        <v/>
      </c>
      <c r="C452" s="6" t="str">
        <f>IF(OR($H$443="",NOT(_xlfn.MAXIFS(SAISIE!$D$210:$D$409,SAISIE!$B$210:$B$409,"*Vent Arr./Av.*",SAISIE!$E$210:$E$409,$H$443)&gt;0)),"",IFERROR(_xlfn.MAXIFS(SAISIE!$D$210:$D$409,SAISIE!$B$210:$B$409,"*Vent Arr./Av.*",SAISIE!$E$210:$E$409,$H$443),"-"))</f>
        <v/>
      </c>
      <c r="D452" s="6" t="str">
        <f>IF($H$443="","",IF(OR(C452="",C452="-"),"",IF(C452&gt;0,"(soulevement)",IF(C452&lt;0,"(compression)","-"))))</f>
        <v/>
      </c>
    </row>
    <row r="453" spans="1:8" x14ac:dyDescent="0.25">
      <c r="A453" s="5" t="str">
        <f>IF(OR($H$443="",NOT(TRUE)),"","Neige normale")</f>
        <v/>
      </c>
      <c r="B453" s="6" t="str">
        <f>IF($H$443="","",IFERROR(INDEX(SAISIE!$C$210:$C$409,MATCH(_xlfn.MINIFS(SAISIE!$D$210:$D$409,SAISIE!$B$210:$B$409,"*Neige*",SAISIE!$B$210:$B$409,"&lt;&gt;*accidentel*",SAISIE!$E$210:$E$409,$H$443),SAISIE!$D$210:$D$409,0)),"-"))</f>
        <v/>
      </c>
      <c r="C453" s="6" t="str">
        <f>IF($H$443="","",IFERROR(INDEX(SAISIE!$D$210:$D$409,MATCH(_xlfn.MINIFS(SAISIE!$D$210:$D$409,SAISIE!$B$210:$B$409,"*Neige*",SAISIE!$B$210:$B$409,"&lt;&gt;*accidentel*",SAISIE!$E$210:$E$409,$H$443),SAISIE!$D$210:$D$409,0)),"-"))</f>
        <v/>
      </c>
      <c r="D453" s="6" t="str">
        <f>IF($H$443="","",IF(OR(C453="",C453="-"),"",IF(C453&gt;0,"(soulevement)",IF(C453&lt;0,"(compression)","-"))))</f>
        <v/>
      </c>
    </row>
    <row r="454" spans="1:8" x14ac:dyDescent="0.25">
      <c r="A454" s="5" t="str">
        <f>IF(OR($H$443="",NOT(TRUE)),"","Neige accidentelle")</f>
        <v/>
      </c>
      <c r="B454" s="6" t="str">
        <f>IF($H$443="","",IFERROR(LOOKUP(2,1/((SAISIE!$E$210:$E$409=$H$443)*(ISNUMBER(SEARCH("accidentel",SAISIE!$B$210:$B$409)))),SAISIE!$C$210:$C$409),"-"))</f>
        <v/>
      </c>
      <c r="C454" s="6" t="str">
        <f>IF($H$443="","",IFERROR(LOOKUP(2,1/((SAISIE!$E$210:$E$409=$H$443)*(ISNUMBER(SEARCH("accidentel",SAISIE!$B$210:$B$409)))),SAISIE!$D$210:$D$409),"-"))</f>
        <v/>
      </c>
      <c r="D454" s="6" t="str">
        <f>IF($H$443="","",IF(OR(C454="",C454="-"),"",IF(C454&gt;0,"(soulevement)",IF(C454&lt;0,"(compression)","-"))))</f>
        <v/>
      </c>
    </row>
    <row r="455" spans="1:8" ht="15.75" x14ac:dyDescent="0.25">
      <c r="A455" s="11" t="str">
        <f>IF($H$455="","","Noeud "&amp;$H$455)</f>
        <v/>
      </c>
      <c r="B455" s="12"/>
      <c r="C455" s="12"/>
      <c r="D455" s="12"/>
      <c r="H455" t="str">
        <f>IFERROR(INDEX(SAISIE!$E$210:$E$409,_xlfn.AGGREGATE(15,6,ROW(SAISIE!$E$210:$E$409)-ROW(SAISIE!$E$210)+1/(SAISIE!$E$210:$E$409&lt;&gt;"")/(COUNTIF($H$4:H454,SAISIE!$E$210:$E$409)=0),1)),"")</f>
        <v/>
      </c>
    </row>
    <row r="456" spans="1:8" x14ac:dyDescent="0.25">
      <c r="A456" s="5" t="str">
        <f>IF(OR($H$455="",NOT(TRUE)),"","Couverture")</f>
        <v/>
      </c>
      <c r="B456" s="6" t="str">
        <f>IF($H$455="","",IFERROR(IFERROR(LOOKUP(2,1/((SAISIE!$E$210:$E$409=$H$455)*(LEFT(SAISIE!$B$210:$B$409,2)="G ")),SAISIE!$C$210:$C$409),LOOKUP(2,1/((SAISIE!$E$210:$E$409=$H$455)*(ISNUMBER(SEARCH("Couverture",SAISIE!$B$210:$B$409)))),SAISIE!$C$210:$C$409)),"-"))</f>
        <v/>
      </c>
      <c r="C456" s="6" t="str">
        <f>IF($H$455="","",IFERROR(IFERROR(LOOKUP(2,1/((SAISIE!$E$210:$E$409=$H$455)*(LEFT(SAISIE!$B$210:$B$409,2)="G ")),SAISIE!$D$210:$D$409),LOOKUP(2,1/((SAISIE!$E$210:$E$409=$H$455)*(ISNUMBER(SEARCH("Couverture",SAISIE!$B$210:$B$409)))),SAISIE!$D$210:$D$409)),"-"))</f>
        <v/>
      </c>
      <c r="D456" s="6" t="str">
        <f>IF($H$455="","",IF(OR(C456="",C456="-"),"",IF(C456&gt;0,"(soulevement)",IF(C456&lt;0,"(compression)","-"))))</f>
        <v/>
      </c>
    </row>
    <row r="457" spans="1:8" x14ac:dyDescent="0.25">
      <c r="A457" s="5" t="str">
        <f>IF(OR($H$455="",NOT(COUNTIFS(SAISIE!$B$210:$B$409,"*Vent G/D*",SAISIE!$E$210:$E$409,$H$455)&gt;0)),"","Vent G/D")</f>
        <v/>
      </c>
      <c r="B457" s="6" t="str">
        <f>IF(OR($H$455="",NOT(COUNTIFS(SAISIE!$B$210:$B$409,"*Vent G/D*",SAISIE!$E$210:$E$409,$H$455)&gt;0)),"",IFERROR(IF(_xlfn.MINIFS(SAISIE!$D$210:$D$409,SAISIE!$B$210:$B$409,"*Vent G/D*",SAISIE!$E$210:$E$409,$H$455)&gt;=0,_xlfn.MAXIFS(SAISIE!$C$210:$C$409,SAISIE!$B$210:$B$409,"*Vent G/D*",SAISIE!$E$210:$E$409,$H$455),INDEX(SAISIE!$C$210:$C$409,MATCH(_xlfn.MINIFS(SAISIE!$D$210:$D$409,SAISIE!$B$210:$B$409,"*Vent G/D*",SAISIE!$E$210:$E$409,$H$455),SAISIE!$D$210:$D$409,0))),"-"))</f>
        <v/>
      </c>
      <c r="C457" s="6" t="str">
        <f>IF(OR($H$455="",NOT(COUNTIFS(SAISIE!$B$210:$B$409,"*Vent G/D*",SAISIE!$E$210:$E$409,$H$455)&gt;0)),"",IFERROR(IF(_xlfn.MINIFS(SAISIE!$D$210:$D$409,SAISIE!$B$210:$B$409,"*Vent G/D*",SAISIE!$E$210:$E$409,$H$455)&gt;=0,0,_xlfn.MINIFS(SAISIE!$D$210:$D$409,SAISIE!$B$210:$B$409,"*Vent G/D*",SAISIE!$E$210:$E$409,$H$455)),"-"))</f>
        <v/>
      </c>
      <c r="D457" s="6" t="str">
        <f>IF($H$455="","",IF(OR(C457="",C457="-"),"",IF(C457&gt;0,"(soulevement)",IF(C457&lt;0,"(compression)","-"))))</f>
        <v/>
      </c>
    </row>
    <row r="458" spans="1:8" x14ac:dyDescent="0.25">
      <c r="A458" s="5" t="str">
        <f>IF(OR($H$455="",NOT(_xlfn.MAXIFS(SAISIE!$D$210:$D$409,SAISIE!$B$210:$B$409,"*Vent G/D*",SAISIE!$E$210:$E$409,$H$455)&gt;0)),"","Vent G/D")</f>
        <v/>
      </c>
      <c r="B458" s="6" t="str">
        <f>IF(OR($H$455="",NOT(_xlfn.MAXIFS(SAISIE!$D$210:$D$409,SAISIE!$B$210:$B$409,"*Vent G/D*",SAISIE!$E$210:$E$409,$H$455)&gt;0)),"",IFERROR(INDEX(SAISIE!$C$210:$C$409,MATCH(_xlfn.MAXIFS(SAISIE!$D$210:$D$409,SAISIE!$B$210:$B$409,"*Vent G/D*",SAISIE!$E$210:$E$409,$H$455),SAISIE!$D$210:$D$409,0)),"-"))</f>
        <v/>
      </c>
      <c r="C458" s="6" t="str">
        <f>IF(OR($H$455="",NOT(_xlfn.MAXIFS(SAISIE!$D$210:$D$409,SAISIE!$B$210:$B$409,"*Vent G/D*",SAISIE!$E$210:$E$409,$H$455)&gt;0)),"",IFERROR(_xlfn.MAXIFS(SAISIE!$D$210:$D$409,SAISIE!$B$210:$B$409,"*Vent G/D*",SAISIE!$E$210:$E$409,$H$455),"-"))</f>
        <v/>
      </c>
      <c r="D458" s="6" t="str">
        <f>IF($H$455="","",IF(OR(C458="",C458="-"),"",IF(C458&gt;0,"(soulevement)",IF(C458&lt;0,"(compression)","-"))))</f>
        <v/>
      </c>
    </row>
    <row r="459" spans="1:8" x14ac:dyDescent="0.25">
      <c r="A459" s="5" t="str">
        <f>IF(OR($H$455="",NOT(COUNTIFS(SAISIE!$B$210:$B$409,"*Vent D/G*",SAISIE!$E$210:$E$409,$H$455)&gt;0)),"","Vent D/G")</f>
        <v/>
      </c>
      <c r="B459" s="6" t="str">
        <f>IF(OR($H$455="",NOT(COUNTIFS(SAISIE!$B$210:$B$409,"*Vent D/G*",SAISIE!$E$210:$E$409,$H$455)&gt;0)),"",IFERROR(IF(_xlfn.MINIFS(SAISIE!$D$210:$D$409,SAISIE!$B$210:$B$409,"*Vent D/G*",SAISIE!$E$210:$E$409,$H$455)&gt;=0,_xlfn.MAXIFS(SAISIE!$C$210:$C$409,SAISIE!$B$210:$B$409,"*Vent D/G*",SAISIE!$E$210:$E$409,$H$455),INDEX(SAISIE!$C$210:$C$409,MATCH(_xlfn.MINIFS(SAISIE!$D$210:$D$409,SAISIE!$B$210:$B$409,"*Vent D/G*",SAISIE!$E$210:$E$409,$H$455),SAISIE!$D$210:$D$409,0))),"-"))</f>
        <v/>
      </c>
      <c r="C459" s="6" t="str">
        <f>IF(OR($H$455="",NOT(COUNTIFS(SAISIE!$B$210:$B$409,"*Vent D/G*",SAISIE!$E$210:$E$409,$H$455)&gt;0)),"",IFERROR(IF(_xlfn.MINIFS(SAISIE!$D$210:$D$409,SAISIE!$B$210:$B$409,"*Vent D/G*",SAISIE!$E$210:$E$409,$H$455)&gt;=0,0,_xlfn.MINIFS(SAISIE!$D$210:$D$409,SAISIE!$B$210:$B$409,"*Vent D/G*",SAISIE!$E$210:$E$409,$H$455)),"-"))</f>
        <v/>
      </c>
      <c r="D459" s="6" t="str">
        <f>IF($H$455="","",IF(OR(C459="",C459="-"),"",IF(C459&gt;0,"(soulevement)",IF(C459&lt;0,"(compression)","-"))))</f>
        <v/>
      </c>
    </row>
    <row r="460" spans="1:8" x14ac:dyDescent="0.25">
      <c r="A460" s="5" t="str">
        <f>IF(OR($H$455="",NOT(_xlfn.MAXIFS(SAISIE!$D$210:$D$409,SAISIE!$B$210:$B$409,"*Vent D/G*",SAISIE!$E$210:$E$409,$H$455)&gt;0)),"","Vent D/G")</f>
        <v/>
      </c>
      <c r="B460" s="6" t="str">
        <f>IF(OR($H$455="",NOT(_xlfn.MAXIFS(SAISIE!$D$210:$D$409,SAISIE!$B$210:$B$409,"*Vent D/G*",SAISIE!$E$210:$E$409,$H$455)&gt;0)),"",IFERROR(INDEX(SAISIE!$C$210:$C$409,MATCH(_xlfn.MAXIFS(SAISIE!$D$210:$D$409,SAISIE!$B$210:$B$409,"*Vent D/G*",SAISIE!$E$210:$E$409,$H$455),SAISIE!$D$210:$D$409,0)),"-"))</f>
        <v/>
      </c>
      <c r="C460" s="6" t="str">
        <f>IF(OR($H$455="",NOT(_xlfn.MAXIFS(SAISIE!$D$210:$D$409,SAISIE!$B$210:$B$409,"*Vent D/G*",SAISIE!$E$210:$E$409,$H$455)&gt;0)),"",IFERROR(_xlfn.MAXIFS(SAISIE!$D$210:$D$409,SAISIE!$B$210:$B$409,"*Vent D/G*",SAISIE!$E$210:$E$409,$H$455),"-"))</f>
        <v/>
      </c>
      <c r="D460" s="6" t="str">
        <f>IF($H$455="","",IF(OR(C460="",C460="-"),"",IF(C460&gt;0,"(soulevement)",IF(C460&lt;0,"(compression)","-"))))</f>
        <v/>
      </c>
    </row>
    <row r="461" spans="1:8" x14ac:dyDescent="0.25">
      <c r="A461" s="5" t="str">
        <f>IF(OR($H$455="",NOT(COUNTIFS(SAISIE!$B$210:$B$409,"*Vent Av./Arr.*",SAISIE!$E$210:$E$409,$H$455)&gt;0)),"","Vent Av./Arr.")</f>
        <v/>
      </c>
      <c r="B461" s="6" t="str">
        <f>IF(OR($H$455="",NOT(COUNTIFS(SAISIE!$B$210:$B$409,"*Vent Av./Arr.*",SAISIE!$E$210:$E$409,$H$455)&gt;0)),"",IFERROR(IF(_xlfn.MINIFS(SAISIE!$D$210:$D$409,SAISIE!$B$210:$B$409,"*Vent Av./Arr.*",SAISIE!$E$210:$E$409,$H$455)&gt;=0,_xlfn.MAXIFS(SAISIE!$C$210:$C$409,SAISIE!$B$210:$B$409,"*Vent Av./Arr.*",SAISIE!$E$210:$E$409,$H$455),INDEX(SAISIE!$C$210:$C$409,MATCH(_xlfn.MINIFS(SAISIE!$D$210:$D$409,SAISIE!$B$210:$B$409,"*Vent Av./Arr.*",SAISIE!$E$210:$E$409,$H$455),SAISIE!$D$210:$D$409,0))),"-"))</f>
        <v/>
      </c>
      <c r="C461" s="6" t="str">
        <f>IF(OR($H$455="",NOT(COUNTIFS(SAISIE!$B$210:$B$409,"*Vent Av./Arr.*",SAISIE!$E$210:$E$409,$H$455)&gt;0)),"",IFERROR(IF(_xlfn.MINIFS(SAISIE!$D$210:$D$409,SAISIE!$B$210:$B$409,"*Vent Av./Arr.*",SAISIE!$E$210:$E$409,$H$455)&gt;=0,0,_xlfn.MINIFS(SAISIE!$D$210:$D$409,SAISIE!$B$210:$B$409,"*Vent Av./Arr.*",SAISIE!$E$210:$E$409,$H$455)),"-"))</f>
        <v/>
      </c>
      <c r="D461" s="6" t="str">
        <f>IF($H$455="","",IF(OR(C461="",C461="-"),"",IF(C461&gt;0,"(soulevement)",IF(C461&lt;0,"(compression)","-"))))</f>
        <v/>
      </c>
    </row>
    <row r="462" spans="1:8" x14ac:dyDescent="0.25">
      <c r="A462" s="5" t="str">
        <f>IF(OR($H$455="",NOT(_xlfn.MAXIFS(SAISIE!$D$210:$D$409,SAISIE!$B$210:$B$409,"*Vent Av./Arr.*",SAISIE!$E$210:$E$409,$H$455)&gt;0)),"","Vent Av./Arr.")</f>
        <v/>
      </c>
      <c r="B462" s="6" t="str">
        <f>IF(OR($H$455="",NOT(_xlfn.MAXIFS(SAISIE!$D$210:$D$409,SAISIE!$B$210:$B$409,"*Vent Av./Arr.*",SAISIE!$E$210:$E$409,$H$455)&gt;0)),"",IFERROR(INDEX(SAISIE!$C$210:$C$409,MATCH(_xlfn.MAXIFS(SAISIE!$D$210:$D$409,SAISIE!$B$210:$B$409,"*Vent Av./Arr.*",SAISIE!$E$210:$E$409,$H$455),SAISIE!$D$210:$D$409,0)),"-"))</f>
        <v/>
      </c>
      <c r="C462" s="6" t="str">
        <f>IF(OR($H$455="",NOT(_xlfn.MAXIFS(SAISIE!$D$210:$D$409,SAISIE!$B$210:$B$409,"*Vent Av./Arr.*",SAISIE!$E$210:$E$409,$H$455)&gt;0)),"",IFERROR(_xlfn.MAXIFS(SAISIE!$D$210:$D$409,SAISIE!$B$210:$B$409,"*Vent Av./Arr.*",SAISIE!$E$210:$E$409,$H$455),"-"))</f>
        <v/>
      </c>
      <c r="D462" s="6" t="str">
        <f>IF($H$455="","",IF(OR(C462="",C462="-"),"",IF(C462&gt;0,"(soulevement)",IF(C462&lt;0,"(compression)","-"))))</f>
        <v/>
      </c>
    </row>
    <row r="463" spans="1:8" x14ac:dyDescent="0.25">
      <c r="A463" s="5" t="str">
        <f>IF(OR($H$455="",NOT(COUNTIFS(SAISIE!$B$210:$B$409,"*Vent Arr./Av.*",SAISIE!$E$210:$E$409,$H$455)&gt;0)),"","Vent Arr./Av.")</f>
        <v/>
      </c>
      <c r="B463" s="6" t="str">
        <f>IF(OR($H$455="",NOT(COUNTIFS(SAISIE!$B$210:$B$409,"*Vent Arr./Av.*",SAISIE!$E$210:$E$409,$H$455)&gt;0)),"",IFERROR(IF(_xlfn.MINIFS(SAISIE!$D$210:$D$409,SAISIE!$B$210:$B$409,"*Vent Arr./Av.*",SAISIE!$E$210:$E$409,$H$455)&gt;=0,_xlfn.MAXIFS(SAISIE!$C$210:$C$409,SAISIE!$B$210:$B$409,"*Vent Arr./Av.*",SAISIE!$E$210:$E$409,$H$455),INDEX(SAISIE!$C$210:$C$409,MATCH(_xlfn.MINIFS(SAISIE!$D$210:$D$409,SAISIE!$B$210:$B$409,"*Vent Arr./Av.*",SAISIE!$E$210:$E$409,$H$455),SAISIE!$D$210:$D$409,0))),"-"))</f>
        <v/>
      </c>
      <c r="C463" s="6" t="str">
        <f>IF(OR($H$455="",NOT(COUNTIFS(SAISIE!$B$210:$B$409,"*Vent Arr./Av.*",SAISIE!$E$210:$E$409,$H$455)&gt;0)),"",IFERROR(IF(_xlfn.MINIFS(SAISIE!$D$210:$D$409,SAISIE!$B$210:$B$409,"*Vent Arr./Av.*",SAISIE!$E$210:$E$409,$H$455)&gt;=0,0,_xlfn.MINIFS(SAISIE!$D$210:$D$409,SAISIE!$B$210:$B$409,"*Vent Arr./Av.*",SAISIE!$E$210:$E$409,$H$455)),"-"))</f>
        <v/>
      </c>
      <c r="D463" s="6" t="str">
        <f>IF($H$455="","",IF(OR(C463="",C463="-"),"",IF(C463&gt;0,"(soulevement)",IF(C463&lt;0,"(compression)","-"))))</f>
        <v/>
      </c>
    </row>
    <row r="464" spans="1:8" x14ac:dyDescent="0.25">
      <c r="A464" s="5" t="str">
        <f>IF(OR($H$455="",NOT(_xlfn.MAXIFS(SAISIE!$D$210:$D$409,SAISIE!$B$210:$B$409,"*Vent Arr./Av.*",SAISIE!$E$210:$E$409,$H$455)&gt;0)),"","Vent Arr./Av.")</f>
        <v/>
      </c>
      <c r="B464" s="6" t="str">
        <f>IF(OR($H$455="",NOT(_xlfn.MAXIFS(SAISIE!$D$210:$D$409,SAISIE!$B$210:$B$409,"*Vent Arr./Av.*",SAISIE!$E$210:$E$409,$H$455)&gt;0)),"",IFERROR(INDEX(SAISIE!$C$210:$C$409,MATCH(_xlfn.MAXIFS(SAISIE!$D$210:$D$409,SAISIE!$B$210:$B$409,"*Vent Arr./Av.*",SAISIE!$E$210:$E$409,$H$455),SAISIE!$D$210:$D$409,0)),"-"))</f>
        <v/>
      </c>
      <c r="C464" s="6" t="str">
        <f>IF(OR($H$455="",NOT(_xlfn.MAXIFS(SAISIE!$D$210:$D$409,SAISIE!$B$210:$B$409,"*Vent Arr./Av.*",SAISIE!$E$210:$E$409,$H$455)&gt;0)),"",IFERROR(_xlfn.MAXIFS(SAISIE!$D$210:$D$409,SAISIE!$B$210:$B$409,"*Vent Arr./Av.*",SAISIE!$E$210:$E$409,$H$455),"-"))</f>
        <v/>
      </c>
      <c r="D464" s="6" t="str">
        <f>IF($H$455="","",IF(OR(C464="",C464="-"),"",IF(C464&gt;0,"(soulevement)",IF(C464&lt;0,"(compression)","-"))))</f>
        <v/>
      </c>
    </row>
    <row r="465" spans="1:8" x14ac:dyDescent="0.25">
      <c r="A465" s="5" t="str">
        <f>IF(OR($H$455="",NOT(TRUE)),"","Neige normale")</f>
        <v/>
      </c>
      <c r="B465" s="6" t="str">
        <f>IF($H$455="","",IFERROR(INDEX(SAISIE!$C$210:$C$409,MATCH(_xlfn.MINIFS(SAISIE!$D$210:$D$409,SAISIE!$B$210:$B$409,"*Neige*",SAISIE!$B$210:$B$409,"&lt;&gt;*accidentel*",SAISIE!$E$210:$E$409,$H$455),SAISIE!$D$210:$D$409,0)),"-"))</f>
        <v/>
      </c>
      <c r="C465" s="6" t="str">
        <f>IF($H$455="","",IFERROR(INDEX(SAISIE!$D$210:$D$409,MATCH(_xlfn.MINIFS(SAISIE!$D$210:$D$409,SAISIE!$B$210:$B$409,"*Neige*",SAISIE!$B$210:$B$409,"&lt;&gt;*accidentel*",SAISIE!$E$210:$E$409,$H$455),SAISIE!$D$210:$D$409,0)),"-"))</f>
        <v/>
      </c>
      <c r="D465" s="6" t="str">
        <f>IF($H$455="","",IF(OR(C465="",C465="-"),"",IF(C465&gt;0,"(soulevement)",IF(C465&lt;0,"(compression)","-"))))</f>
        <v/>
      </c>
    </row>
    <row r="466" spans="1:8" x14ac:dyDescent="0.25">
      <c r="A466" s="5" t="str">
        <f>IF(OR($H$455="",NOT(TRUE)),"","Neige accidentelle")</f>
        <v/>
      </c>
      <c r="B466" s="6" t="str">
        <f>IF($H$455="","",IFERROR(LOOKUP(2,1/((SAISIE!$E$210:$E$409=$H$455)*(ISNUMBER(SEARCH("accidentel",SAISIE!$B$210:$B$409)))),SAISIE!$C$210:$C$409),"-"))</f>
        <v/>
      </c>
      <c r="C466" s="6" t="str">
        <f>IF($H$455="","",IFERROR(LOOKUP(2,1/((SAISIE!$E$210:$E$409=$H$455)*(ISNUMBER(SEARCH("accidentel",SAISIE!$B$210:$B$409)))),SAISIE!$D$210:$D$409),"-"))</f>
        <v/>
      </c>
      <c r="D466" s="6" t="str">
        <f>IF($H$455="","",IF(OR(C466="",C466="-"),"",IF(C466&gt;0,"(soulevement)",IF(C466&lt;0,"(compression)","-"))))</f>
        <v/>
      </c>
    </row>
    <row r="467" spans="1:8" ht="15.75" x14ac:dyDescent="0.25">
      <c r="A467" s="11" t="str">
        <f>IF($H$467="","","Noeud "&amp;$H$467)</f>
        <v/>
      </c>
      <c r="B467" s="12"/>
      <c r="C467" s="12"/>
      <c r="D467" s="12"/>
      <c r="H467" t="str">
        <f>IFERROR(INDEX(SAISIE!$E$210:$E$409,_xlfn.AGGREGATE(15,6,ROW(SAISIE!$E$210:$E$409)-ROW(SAISIE!$E$210)+1/(SAISIE!$E$210:$E$409&lt;&gt;"")/(COUNTIF($H$4:H466,SAISIE!$E$210:$E$409)=0),1)),"")</f>
        <v/>
      </c>
    </row>
    <row r="468" spans="1:8" x14ac:dyDescent="0.25">
      <c r="A468" s="5" t="str">
        <f>IF(OR($H$467="",NOT(TRUE)),"","Couverture")</f>
        <v/>
      </c>
      <c r="B468" s="6" t="str">
        <f>IF($H$467="","",IFERROR(IFERROR(LOOKUP(2,1/((SAISIE!$E$210:$E$409=$H$467)*(LEFT(SAISIE!$B$210:$B$409,2)="G ")),SAISIE!$C$210:$C$409),LOOKUP(2,1/((SAISIE!$E$210:$E$409=$H$467)*(ISNUMBER(SEARCH("Couverture",SAISIE!$B$210:$B$409)))),SAISIE!$C$210:$C$409)),"-"))</f>
        <v/>
      </c>
      <c r="C468" s="6" t="str">
        <f>IF($H$467="","",IFERROR(IFERROR(LOOKUP(2,1/((SAISIE!$E$210:$E$409=$H$467)*(LEFT(SAISIE!$B$210:$B$409,2)="G ")),SAISIE!$D$210:$D$409),LOOKUP(2,1/((SAISIE!$E$210:$E$409=$H$467)*(ISNUMBER(SEARCH("Couverture",SAISIE!$B$210:$B$409)))),SAISIE!$D$210:$D$409)),"-"))</f>
        <v/>
      </c>
      <c r="D468" s="6" t="str">
        <f>IF($H$467="","",IF(OR(C468="",C468="-"),"",IF(C468&gt;0,"(soulevement)",IF(C468&lt;0,"(compression)","-"))))</f>
        <v/>
      </c>
    </row>
    <row r="469" spans="1:8" x14ac:dyDescent="0.25">
      <c r="A469" s="5" t="str">
        <f>IF(OR($H$467="",NOT(COUNTIFS(SAISIE!$B$210:$B$409,"*Vent G/D*",SAISIE!$E$210:$E$409,$H$467)&gt;0)),"","Vent G/D")</f>
        <v/>
      </c>
      <c r="B469" s="6" t="str">
        <f>IF(OR($H$467="",NOT(COUNTIFS(SAISIE!$B$210:$B$409,"*Vent G/D*",SAISIE!$E$210:$E$409,$H$467)&gt;0)),"",IFERROR(IF(_xlfn.MINIFS(SAISIE!$D$210:$D$409,SAISIE!$B$210:$B$409,"*Vent G/D*",SAISIE!$E$210:$E$409,$H$467)&gt;=0,_xlfn.MAXIFS(SAISIE!$C$210:$C$409,SAISIE!$B$210:$B$409,"*Vent G/D*",SAISIE!$E$210:$E$409,$H$467),INDEX(SAISIE!$C$210:$C$409,MATCH(_xlfn.MINIFS(SAISIE!$D$210:$D$409,SAISIE!$B$210:$B$409,"*Vent G/D*",SAISIE!$E$210:$E$409,$H$467),SAISIE!$D$210:$D$409,0))),"-"))</f>
        <v/>
      </c>
      <c r="C469" s="6" t="str">
        <f>IF(OR($H$467="",NOT(COUNTIFS(SAISIE!$B$210:$B$409,"*Vent G/D*",SAISIE!$E$210:$E$409,$H$467)&gt;0)),"",IFERROR(IF(_xlfn.MINIFS(SAISIE!$D$210:$D$409,SAISIE!$B$210:$B$409,"*Vent G/D*",SAISIE!$E$210:$E$409,$H$467)&gt;=0,0,_xlfn.MINIFS(SAISIE!$D$210:$D$409,SAISIE!$B$210:$B$409,"*Vent G/D*",SAISIE!$E$210:$E$409,$H$467)),"-"))</f>
        <v/>
      </c>
      <c r="D469" s="6" t="str">
        <f>IF($H$467="","",IF(OR(C469="",C469="-"),"",IF(C469&gt;0,"(soulevement)",IF(C469&lt;0,"(compression)","-"))))</f>
        <v/>
      </c>
    </row>
    <row r="470" spans="1:8" x14ac:dyDescent="0.25">
      <c r="A470" s="5" t="str">
        <f>IF(OR($H$467="",NOT(_xlfn.MAXIFS(SAISIE!$D$210:$D$409,SAISIE!$B$210:$B$409,"*Vent G/D*",SAISIE!$E$210:$E$409,$H$467)&gt;0)),"","Vent G/D")</f>
        <v/>
      </c>
      <c r="B470" s="6" t="str">
        <f>IF(OR($H$467="",NOT(_xlfn.MAXIFS(SAISIE!$D$210:$D$409,SAISIE!$B$210:$B$409,"*Vent G/D*",SAISIE!$E$210:$E$409,$H$467)&gt;0)),"",IFERROR(INDEX(SAISIE!$C$210:$C$409,MATCH(_xlfn.MAXIFS(SAISIE!$D$210:$D$409,SAISIE!$B$210:$B$409,"*Vent G/D*",SAISIE!$E$210:$E$409,$H$467),SAISIE!$D$210:$D$409,0)),"-"))</f>
        <v/>
      </c>
      <c r="C470" s="6" t="str">
        <f>IF(OR($H$467="",NOT(_xlfn.MAXIFS(SAISIE!$D$210:$D$409,SAISIE!$B$210:$B$409,"*Vent G/D*",SAISIE!$E$210:$E$409,$H$467)&gt;0)),"",IFERROR(_xlfn.MAXIFS(SAISIE!$D$210:$D$409,SAISIE!$B$210:$B$409,"*Vent G/D*",SAISIE!$E$210:$E$409,$H$467),"-"))</f>
        <v/>
      </c>
      <c r="D470" s="6" t="str">
        <f>IF($H$467="","",IF(OR(C470="",C470="-"),"",IF(C470&gt;0,"(soulevement)",IF(C470&lt;0,"(compression)","-"))))</f>
        <v/>
      </c>
    </row>
    <row r="471" spans="1:8" x14ac:dyDescent="0.25">
      <c r="A471" s="5" t="str">
        <f>IF(OR($H$467="",NOT(COUNTIFS(SAISIE!$B$210:$B$409,"*Vent D/G*",SAISIE!$E$210:$E$409,$H$467)&gt;0)),"","Vent D/G")</f>
        <v/>
      </c>
      <c r="B471" s="6" t="str">
        <f>IF(OR($H$467="",NOT(COUNTIFS(SAISIE!$B$210:$B$409,"*Vent D/G*",SAISIE!$E$210:$E$409,$H$467)&gt;0)),"",IFERROR(IF(_xlfn.MINIFS(SAISIE!$D$210:$D$409,SAISIE!$B$210:$B$409,"*Vent D/G*",SAISIE!$E$210:$E$409,$H$467)&gt;=0,_xlfn.MAXIFS(SAISIE!$C$210:$C$409,SAISIE!$B$210:$B$409,"*Vent D/G*",SAISIE!$E$210:$E$409,$H$467),INDEX(SAISIE!$C$210:$C$409,MATCH(_xlfn.MINIFS(SAISIE!$D$210:$D$409,SAISIE!$B$210:$B$409,"*Vent D/G*",SAISIE!$E$210:$E$409,$H$467),SAISIE!$D$210:$D$409,0))),"-"))</f>
        <v/>
      </c>
      <c r="C471" s="6" t="str">
        <f>IF(OR($H$467="",NOT(COUNTIFS(SAISIE!$B$210:$B$409,"*Vent D/G*",SAISIE!$E$210:$E$409,$H$467)&gt;0)),"",IFERROR(IF(_xlfn.MINIFS(SAISIE!$D$210:$D$409,SAISIE!$B$210:$B$409,"*Vent D/G*",SAISIE!$E$210:$E$409,$H$467)&gt;=0,0,_xlfn.MINIFS(SAISIE!$D$210:$D$409,SAISIE!$B$210:$B$409,"*Vent D/G*",SAISIE!$E$210:$E$409,$H$467)),"-"))</f>
        <v/>
      </c>
      <c r="D471" s="6" t="str">
        <f>IF($H$467="","",IF(OR(C471="",C471="-"),"",IF(C471&gt;0,"(soulevement)",IF(C471&lt;0,"(compression)","-"))))</f>
        <v/>
      </c>
    </row>
    <row r="472" spans="1:8" x14ac:dyDescent="0.25">
      <c r="A472" s="5" t="str">
        <f>IF(OR($H$467="",NOT(_xlfn.MAXIFS(SAISIE!$D$210:$D$409,SAISIE!$B$210:$B$409,"*Vent D/G*",SAISIE!$E$210:$E$409,$H$467)&gt;0)),"","Vent D/G")</f>
        <v/>
      </c>
      <c r="B472" s="6" t="str">
        <f>IF(OR($H$467="",NOT(_xlfn.MAXIFS(SAISIE!$D$210:$D$409,SAISIE!$B$210:$B$409,"*Vent D/G*",SAISIE!$E$210:$E$409,$H$467)&gt;0)),"",IFERROR(INDEX(SAISIE!$C$210:$C$409,MATCH(_xlfn.MAXIFS(SAISIE!$D$210:$D$409,SAISIE!$B$210:$B$409,"*Vent D/G*",SAISIE!$E$210:$E$409,$H$467),SAISIE!$D$210:$D$409,0)),"-"))</f>
        <v/>
      </c>
      <c r="C472" s="6" t="str">
        <f>IF(OR($H$467="",NOT(_xlfn.MAXIFS(SAISIE!$D$210:$D$409,SAISIE!$B$210:$B$409,"*Vent D/G*",SAISIE!$E$210:$E$409,$H$467)&gt;0)),"",IFERROR(_xlfn.MAXIFS(SAISIE!$D$210:$D$409,SAISIE!$B$210:$B$409,"*Vent D/G*",SAISIE!$E$210:$E$409,$H$467),"-"))</f>
        <v/>
      </c>
      <c r="D472" s="6" t="str">
        <f>IF($H$467="","",IF(OR(C472="",C472="-"),"",IF(C472&gt;0,"(soulevement)",IF(C472&lt;0,"(compression)","-"))))</f>
        <v/>
      </c>
    </row>
    <row r="473" spans="1:8" x14ac:dyDescent="0.25">
      <c r="A473" s="5" t="str">
        <f>IF(OR($H$467="",NOT(COUNTIFS(SAISIE!$B$210:$B$409,"*Vent Av./Arr.*",SAISIE!$E$210:$E$409,$H$467)&gt;0)),"","Vent Av./Arr.")</f>
        <v/>
      </c>
      <c r="B473" s="6" t="str">
        <f>IF(OR($H$467="",NOT(COUNTIFS(SAISIE!$B$210:$B$409,"*Vent Av./Arr.*",SAISIE!$E$210:$E$409,$H$467)&gt;0)),"",IFERROR(IF(_xlfn.MINIFS(SAISIE!$D$210:$D$409,SAISIE!$B$210:$B$409,"*Vent Av./Arr.*",SAISIE!$E$210:$E$409,$H$467)&gt;=0,_xlfn.MAXIFS(SAISIE!$C$210:$C$409,SAISIE!$B$210:$B$409,"*Vent Av./Arr.*",SAISIE!$E$210:$E$409,$H$467),INDEX(SAISIE!$C$210:$C$409,MATCH(_xlfn.MINIFS(SAISIE!$D$210:$D$409,SAISIE!$B$210:$B$409,"*Vent Av./Arr.*",SAISIE!$E$210:$E$409,$H$467),SAISIE!$D$210:$D$409,0))),"-"))</f>
        <v/>
      </c>
      <c r="C473" s="6" t="str">
        <f>IF(OR($H$467="",NOT(COUNTIFS(SAISIE!$B$210:$B$409,"*Vent Av./Arr.*",SAISIE!$E$210:$E$409,$H$467)&gt;0)),"",IFERROR(IF(_xlfn.MINIFS(SAISIE!$D$210:$D$409,SAISIE!$B$210:$B$409,"*Vent Av./Arr.*",SAISIE!$E$210:$E$409,$H$467)&gt;=0,0,_xlfn.MINIFS(SAISIE!$D$210:$D$409,SAISIE!$B$210:$B$409,"*Vent Av./Arr.*",SAISIE!$E$210:$E$409,$H$467)),"-"))</f>
        <v/>
      </c>
      <c r="D473" s="6" t="str">
        <f>IF($H$467="","",IF(OR(C473="",C473="-"),"",IF(C473&gt;0,"(soulevement)",IF(C473&lt;0,"(compression)","-"))))</f>
        <v/>
      </c>
    </row>
    <row r="474" spans="1:8" x14ac:dyDescent="0.25">
      <c r="A474" s="5" t="str">
        <f>IF(OR($H$467="",NOT(_xlfn.MAXIFS(SAISIE!$D$210:$D$409,SAISIE!$B$210:$B$409,"*Vent Av./Arr.*",SAISIE!$E$210:$E$409,$H$467)&gt;0)),"","Vent Av./Arr.")</f>
        <v/>
      </c>
      <c r="B474" s="6" t="str">
        <f>IF(OR($H$467="",NOT(_xlfn.MAXIFS(SAISIE!$D$210:$D$409,SAISIE!$B$210:$B$409,"*Vent Av./Arr.*",SAISIE!$E$210:$E$409,$H$467)&gt;0)),"",IFERROR(INDEX(SAISIE!$C$210:$C$409,MATCH(_xlfn.MAXIFS(SAISIE!$D$210:$D$409,SAISIE!$B$210:$B$409,"*Vent Av./Arr.*",SAISIE!$E$210:$E$409,$H$467),SAISIE!$D$210:$D$409,0)),"-"))</f>
        <v/>
      </c>
      <c r="C474" s="6" t="str">
        <f>IF(OR($H$467="",NOT(_xlfn.MAXIFS(SAISIE!$D$210:$D$409,SAISIE!$B$210:$B$409,"*Vent Av./Arr.*",SAISIE!$E$210:$E$409,$H$467)&gt;0)),"",IFERROR(_xlfn.MAXIFS(SAISIE!$D$210:$D$409,SAISIE!$B$210:$B$409,"*Vent Av./Arr.*",SAISIE!$E$210:$E$409,$H$467),"-"))</f>
        <v/>
      </c>
      <c r="D474" s="6" t="str">
        <f>IF($H$467="","",IF(OR(C474="",C474="-"),"",IF(C474&gt;0,"(soulevement)",IF(C474&lt;0,"(compression)","-"))))</f>
        <v/>
      </c>
    </row>
    <row r="475" spans="1:8" x14ac:dyDescent="0.25">
      <c r="A475" s="5" t="str">
        <f>IF(OR($H$467="",NOT(COUNTIFS(SAISIE!$B$210:$B$409,"*Vent Arr./Av.*",SAISIE!$E$210:$E$409,$H$467)&gt;0)),"","Vent Arr./Av.")</f>
        <v/>
      </c>
      <c r="B475" s="6" t="str">
        <f>IF(OR($H$467="",NOT(COUNTIFS(SAISIE!$B$210:$B$409,"*Vent Arr./Av.*",SAISIE!$E$210:$E$409,$H$467)&gt;0)),"",IFERROR(IF(_xlfn.MINIFS(SAISIE!$D$210:$D$409,SAISIE!$B$210:$B$409,"*Vent Arr./Av.*",SAISIE!$E$210:$E$409,$H$467)&gt;=0,_xlfn.MAXIFS(SAISIE!$C$210:$C$409,SAISIE!$B$210:$B$409,"*Vent Arr./Av.*",SAISIE!$E$210:$E$409,$H$467),INDEX(SAISIE!$C$210:$C$409,MATCH(_xlfn.MINIFS(SAISIE!$D$210:$D$409,SAISIE!$B$210:$B$409,"*Vent Arr./Av.*",SAISIE!$E$210:$E$409,$H$467),SAISIE!$D$210:$D$409,0))),"-"))</f>
        <v/>
      </c>
      <c r="C475" s="6" t="str">
        <f>IF(OR($H$467="",NOT(COUNTIFS(SAISIE!$B$210:$B$409,"*Vent Arr./Av.*",SAISIE!$E$210:$E$409,$H$467)&gt;0)),"",IFERROR(IF(_xlfn.MINIFS(SAISIE!$D$210:$D$409,SAISIE!$B$210:$B$409,"*Vent Arr./Av.*",SAISIE!$E$210:$E$409,$H$467)&gt;=0,0,_xlfn.MINIFS(SAISIE!$D$210:$D$409,SAISIE!$B$210:$B$409,"*Vent Arr./Av.*",SAISIE!$E$210:$E$409,$H$467)),"-"))</f>
        <v/>
      </c>
      <c r="D475" s="6" t="str">
        <f>IF($H$467="","",IF(OR(C475="",C475="-"),"",IF(C475&gt;0,"(soulevement)",IF(C475&lt;0,"(compression)","-"))))</f>
        <v/>
      </c>
    </row>
    <row r="476" spans="1:8" x14ac:dyDescent="0.25">
      <c r="A476" s="5" t="str">
        <f>IF(OR($H$467="",NOT(_xlfn.MAXIFS(SAISIE!$D$210:$D$409,SAISIE!$B$210:$B$409,"*Vent Arr./Av.*",SAISIE!$E$210:$E$409,$H$467)&gt;0)),"","Vent Arr./Av.")</f>
        <v/>
      </c>
      <c r="B476" s="6" t="str">
        <f>IF(OR($H$467="",NOT(_xlfn.MAXIFS(SAISIE!$D$210:$D$409,SAISIE!$B$210:$B$409,"*Vent Arr./Av.*",SAISIE!$E$210:$E$409,$H$467)&gt;0)),"",IFERROR(INDEX(SAISIE!$C$210:$C$409,MATCH(_xlfn.MAXIFS(SAISIE!$D$210:$D$409,SAISIE!$B$210:$B$409,"*Vent Arr./Av.*",SAISIE!$E$210:$E$409,$H$467),SAISIE!$D$210:$D$409,0)),"-"))</f>
        <v/>
      </c>
      <c r="C476" s="6" t="str">
        <f>IF(OR($H$467="",NOT(_xlfn.MAXIFS(SAISIE!$D$210:$D$409,SAISIE!$B$210:$B$409,"*Vent Arr./Av.*",SAISIE!$E$210:$E$409,$H$467)&gt;0)),"",IFERROR(_xlfn.MAXIFS(SAISIE!$D$210:$D$409,SAISIE!$B$210:$B$409,"*Vent Arr./Av.*",SAISIE!$E$210:$E$409,$H$467),"-"))</f>
        <v/>
      </c>
      <c r="D476" s="6" t="str">
        <f>IF($H$467="","",IF(OR(C476="",C476="-"),"",IF(C476&gt;0,"(soulevement)",IF(C476&lt;0,"(compression)","-"))))</f>
        <v/>
      </c>
    </row>
    <row r="477" spans="1:8" x14ac:dyDescent="0.25">
      <c r="A477" s="5" t="str">
        <f>IF(OR($H$467="",NOT(TRUE)),"","Neige normale")</f>
        <v/>
      </c>
      <c r="B477" s="6" t="str">
        <f>IF($H$467="","",IFERROR(INDEX(SAISIE!$C$210:$C$409,MATCH(_xlfn.MINIFS(SAISIE!$D$210:$D$409,SAISIE!$B$210:$B$409,"*Neige*",SAISIE!$B$210:$B$409,"&lt;&gt;*accidentel*",SAISIE!$E$210:$E$409,$H$467),SAISIE!$D$210:$D$409,0)),"-"))</f>
        <v/>
      </c>
      <c r="C477" s="6" t="str">
        <f>IF($H$467="","",IFERROR(INDEX(SAISIE!$D$210:$D$409,MATCH(_xlfn.MINIFS(SAISIE!$D$210:$D$409,SAISIE!$B$210:$B$409,"*Neige*",SAISIE!$B$210:$B$409,"&lt;&gt;*accidentel*",SAISIE!$E$210:$E$409,$H$467),SAISIE!$D$210:$D$409,0)),"-"))</f>
        <v/>
      </c>
      <c r="D477" s="6" t="str">
        <f>IF($H$467="","",IF(OR(C477="",C477="-"),"",IF(C477&gt;0,"(soulevement)",IF(C477&lt;0,"(compression)","-"))))</f>
        <v/>
      </c>
    </row>
    <row r="478" spans="1:8" x14ac:dyDescent="0.25">
      <c r="A478" s="5" t="str">
        <f>IF(OR($H$467="",NOT(TRUE)),"","Neige accidentelle")</f>
        <v/>
      </c>
      <c r="B478" s="6" t="str">
        <f>IF($H$467="","",IFERROR(LOOKUP(2,1/((SAISIE!$E$210:$E$409=$H$467)*(ISNUMBER(SEARCH("accidentel",SAISIE!$B$210:$B$409)))),SAISIE!$C$210:$C$409),"-"))</f>
        <v/>
      </c>
      <c r="C478" s="6" t="str">
        <f>IF($H$467="","",IFERROR(LOOKUP(2,1/((SAISIE!$E$210:$E$409=$H$467)*(ISNUMBER(SEARCH("accidentel",SAISIE!$B$210:$B$409)))),SAISIE!$D$210:$D$409),"-"))</f>
        <v/>
      </c>
      <c r="D478" s="6" t="str">
        <f>IF($H$467="","",IF(OR(C478="",C478="-"),"",IF(C478&gt;0,"(soulevement)",IF(C478&lt;0,"(compression)","-"))))</f>
        <v/>
      </c>
    </row>
    <row r="479" spans="1:8" ht="15.75" x14ac:dyDescent="0.25">
      <c r="A479" s="11" t="str">
        <f>IF($H$479="","","Noeud "&amp;$H$479)</f>
        <v/>
      </c>
      <c r="B479" s="12"/>
      <c r="C479" s="12"/>
      <c r="D479" s="12"/>
      <c r="H479" t="str">
        <f>IFERROR(INDEX(SAISIE!$E$210:$E$409,_xlfn.AGGREGATE(15,6,ROW(SAISIE!$E$210:$E$409)-ROW(SAISIE!$E$210)+1/(SAISIE!$E$210:$E$409&lt;&gt;"")/(COUNTIF($H$4:H478,SAISIE!$E$210:$E$409)=0),1)),"")</f>
        <v/>
      </c>
    </row>
    <row r="480" spans="1:8" x14ac:dyDescent="0.25">
      <c r="A480" s="5" t="str">
        <f>IF(OR($H$479="",NOT(TRUE)),"","Couverture")</f>
        <v/>
      </c>
      <c r="B480" s="6" t="str">
        <f>IF($H$479="","",IFERROR(IFERROR(LOOKUP(2,1/((SAISIE!$E$210:$E$409=$H$479)*(LEFT(SAISIE!$B$210:$B$409,2)="G ")),SAISIE!$C$210:$C$409),LOOKUP(2,1/((SAISIE!$E$210:$E$409=$H$479)*(ISNUMBER(SEARCH("Couverture",SAISIE!$B$210:$B$409)))),SAISIE!$C$210:$C$409)),"-"))</f>
        <v/>
      </c>
      <c r="C480" s="6" t="str">
        <f>IF($H$479="","",IFERROR(IFERROR(LOOKUP(2,1/((SAISIE!$E$210:$E$409=$H$479)*(LEFT(SAISIE!$B$210:$B$409,2)="G ")),SAISIE!$D$210:$D$409),LOOKUP(2,1/((SAISIE!$E$210:$E$409=$H$479)*(ISNUMBER(SEARCH("Couverture",SAISIE!$B$210:$B$409)))),SAISIE!$D$210:$D$409)),"-"))</f>
        <v/>
      </c>
      <c r="D480" s="6" t="str">
        <f>IF($H$479="","",IF(OR(C480="",C480="-"),"",IF(C480&gt;0,"(soulevement)",IF(C480&lt;0,"(compression)","-"))))</f>
        <v/>
      </c>
    </row>
    <row r="481" spans="1:4" x14ac:dyDescent="0.25">
      <c r="A481" s="5" t="str">
        <f>IF(OR($H$479="",NOT(COUNTIFS(SAISIE!$B$210:$B$409,"*Vent G/D*",SAISIE!$E$210:$E$409,$H$479)&gt;0)),"","Vent G/D")</f>
        <v/>
      </c>
      <c r="B481" s="6" t="str">
        <f>IF(OR($H$479="",NOT(COUNTIFS(SAISIE!$B$210:$B$409,"*Vent G/D*",SAISIE!$E$210:$E$409,$H$479)&gt;0)),"",IFERROR(IF(_xlfn.MINIFS(SAISIE!$D$210:$D$409,SAISIE!$B$210:$B$409,"*Vent G/D*",SAISIE!$E$210:$E$409,$H$479)&gt;=0,_xlfn.MAXIFS(SAISIE!$C$210:$C$409,SAISIE!$B$210:$B$409,"*Vent G/D*",SAISIE!$E$210:$E$409,$H$479),INDEX(SAISIE!$C$210:$C$409,MATCH(_xlfn.MINIFS(SAISIE!$D$210:$D$409,SAISIE!$B$210:$B$409,"*Vent G/D*",SAISIE!$E$210:$E$409,$H$479),SAISIE!$D$210:$D$409,0))),"-"))</f>
        <v/>
      </c>
      <c r="C481" s="6" t="str">
        <f>IF(OR($H$479="",NOT(COUNTIFS(SAISIE!$B$210:$B$409,"*Vent G/D*",SAISIE!$E$210:$E$409,$H$479)&gt;0)),"",IFERROR(IF(_xlfn.MINIFS(SAISIE!$D$210:$D$409,SAISIE!$B$210:$B$409,"*Vent G/D*",SAISIE!$E$210:$E$409,$H$479)&gt;=0,0,_xlfn.MINIFS(SAISIE!$D$210:$D$409,SAISIE!$B$210:$B$409,"*Vent G/D*",SAISIE!$E$210:$E$409,$H$479)),"-"))</f>
        <v/>
      </c>
      <c r="D481" s="6" t="str">
        <f>IF($H$479="","",IF(OR(C481="",C481="-"),"",IF(C481&gt;0,"(soulevement)",IF(C481&lt;0,"(compression)","-"))))</f>
        <v/>
      </c>
    </row>
    <row r="482" spans="1:4" x14ac:dyDescent="0.25">
      <c r="A482" s="5" t="str">
        <f>IF(OR($H$479="",NOT(_xlfn.MAXIFS(SAISIE!$D$210:$D$409,SAISIE!$B$210:$B$409,"*Vent G/D*",SAISIE!$E$210:$E$409,$H$479)&gt;0)),"","Vent G/D")</f>
        <v/>
      </c>
      <c r="B482" s="6" t="str">
        <f>IF(OR($H$479="",NOT(_xlfn.MAXIFS(SAISIE!$D$210:$D$409,SAISIE!$B$210:$B$409,"*Vent G/D*",SAISIE!$E$210:$E$409,$H$479)&gt;0)),"",IFERROR(INDEX(SAISIE!$C$210:$C$409,MATCH(_xlfn.MAXIFS(SAISIE!$D$210:$D$409,SAISIE!$B$210:$B$409,"*Vent G/D*",SAISIE!$E$210:$E$409,$H$479),SAISIE!$D$210:$D$409,0)),"-"))</f>
        <v/>
      </c>
      <c r="C482" s="6" t="str">
        <f>IF(OR($H$479="",NOT(_xlfn.MAXIFS(SAISIE!$D$210:$D$409,SAISIE!$B$210:$B$409,"*Vent G/D*",SAISIE!$E$210:$E$409,$H$479)&gt;0)),"",IFERROR(_xlfn.MAXIFS(SAISIE!$D$210:$D$409,SAISIE!$B$210:$B$409,"*Vent G/D*",SAISIE!$E$210:$E$409,$H$479),"-"))</f>
        <v/>
      </c>
      <c r="D482" s="6" t="str">
        <f>IF($H$479="","",IF(OR(C482="",C482="-"),"",IF(C482&gt;0,"(soulevement)",IF(C482&lt;0,"(compression)","-"))))</f>
        <v/>
      </c>
    </row>
    <row r="483" spans="1:4" x14ac:dyDescent="0.25">
      <c r="A483" s="5" t="str">
        <f>IF(OR($H$479="",NOT(COUNTIFS(SAISIE!$B$210:$B$409,"*Vent D/G*",SAISIE!$E$210:$E$409,$H$479)&gt;0)),"","Vent D/G")</f>
        <v/>
      </c>
      <c r="B483" s="6" t="str">
        <f>IF(OR($H$479="",NOT(COUNTIFS(SAISIE!$B$210:$B$409,"*Vent D/G*",SAISIE!$E$210:$E$409,$H$479)&gt;0)),"",IFERROR(IF(_xlfn.MINIFS(SAISIE!$D$210:$D$409,SAISIE!$B$210:$B$409,"*Vent D/G*",SAISIE!$E$210:$E$409,$H$479)&gt;=0,_xlfn.MAXIFS(SAISIE!$C$210:$C$409,SAISIE!$B$210:$B$409,"*Vent D/G*",SAISIE!$E$210:$E$409,$H$479),INDEX(SAISIE!$C$210:$C$409,MATCH(_xlfn.MINIFS(SAISIE!$D$210:$D$409,SAISIE!$B$210:$B$409,"*Vent D/G*",SAISIE!$E$210:$E$409,$H$479),SAISIE!$D$210:$D$409,0))),"-"))</f>
        <v/>
      </c>
      <c r="C483" s="6" t="str">
        <f>IF(OR($H$479="",NOT(COUNTIFS(SAISIE!$B$210:$B$409,"*Vent D/G*",SAISIE!$E$210:$E$409,$H$479)&gt;0)),"",IFERROR(IF(_xlfn.MINIFS(SAISIE!$D$210:$D$409,SAISIE!$B$210:$B$409,"*Vent D/G*",SAISIE!$E$210:$E$409,$H$479)&gt;=0,0,_xlfn.MINIFS(SAISIE!$D$210:$D$409,SAISIE!$B$210:$B$409,"*Vent D/G*",SAISIE!$E$210:$E$409,$H$479)),"-"))</f>
        <v/>
      </c>
      <c r="D483" s="6" t="str">
        <f>IF($H$479="","",IF(OR(C483="",C483="-"),"",IF(C483&gt;0,"(soulevement)",IF(C483&lt;0,"(compression)","-"))))</f>
        <v/>
      </c>
    </row>
    <row r="484" spans="1:4" x14ac:dyDescent="0.25">
      <c r="A484" s="5" t="str">
        <f>IF(OR($H$479="",NOT(_xlfn.MAXIFS(SAISIE!$D$210:$D$409,SAISIE!$B$210:$B$409,"*Vent D/G*",SAISIE!$E$210:$E$409,$H$479)&gt;0)),"","Vent D/G")</f>
        <v/>
      </c>
      <c r="B484" s="6" t="str">
        <f>IF(OR($H$479="",NOT(_xlfn.MAXIFS(SAISIE!$D$210:$D$409,SAISIE!$B$210:$B$409,"*Vent D/G*",SAISIE!$E$210:$E$409,$H$479)&gt;0)),"",IFERROR(INDEX(SAISIE!$C$210:$C$409,MATCH(_xlfn.MAXIFS(SAISIE!$D$210:$D$409,SAISIE!$B$210:$B$409,"*Vent D/G*",SAISIE!$E$210:$E$409,$H$479),SAISIE!$D$210:$D$409,0)),"-"))</f>
        <v/>
      </c>
      <c r="C484" s="6" t="str">
        <f>IF(OR($H$479="",NOT(_xlfn.MAXIFS(SAISIE!$D$210:$D$409,SAISIE!$B$210:$B$409,"*Vent D/G*",SAISIE!$E$210:$E$409,$H$479)&gt;0)),"",IFERROR(_xlfn.MAXIFS(SAISIE!$D$210:$D$409,SAISIE!$B$210:$B$409,"*Vent D/G*",SAISIE!$E$210:$E$409,$H$479),"-"))</f>
        <v/>
      </c>
      <c r="D484" s="6" t="str">
        <f>IF($H$479="","",IF(OR(C484="",C484="-"),"",IF(C484&gt;0,"(soulevement)",IF(C484&lt;0,"(compression)","-"))))</f>
        <v/>
      </c>
    </row>
    <row r="485" spans="1:4" x14ac:dyDescent="0.25">
      <c r="A485" s="5" t="str">
        <f>IF(OR($H$479="",NOT(COUNTIFS(SAISIE!$B$210:$B$409,"*Vent Av./Arr.*",SAISIE!$E$210:$E$409,$H$479)&gt;0)),"","Vent Av./Arr.")</f>
        <v/>
      </c>
      <c r="B485" s="6" t="str">
        <f>IF(OR($H$479="",NOT(COUNTIFS(SAISIE!$B$210:$B$409,"*Vent Av./Arr.*",SAISIE!$E$210:$E$409,$H$479)&gt;0)),"",IFERROR(IF(_xlfn.MINIFS(SAISIE!$D$210:$D$409,SAISIE!$B$210:$B$409,"*Vent Av./Arr.*",SAISIE!$E$210:$E$409,$H$479)&gt;=0,_xlfn.MAXIFS(SAISIE!$C$210:$C$409,SAISIE!$B$210:$B$409,"*Vent Av./Arr.*",SAISIE!$E$210:$E$409,$H$479),INDEX(SAISIE!$C$210:$C$409,MATCH(_xlfn.MINIFS(SAISIE!$D$210:$D$409,SAISIE!$B$210:$B$409,"*Vent Av./Arr.*",SAISIE!$E$210:$E$409,$H$479),SAISIE!$D$210:$D$409,0))),"-"))</f>
        <v/>
      </c>
      <c r="C485" s="6" t="str">
        <f>IF(OR($H$479="",NOT(COUNTIFS(SAISIE!$B$210:$B$409,"*Vent Av./Arr.*",SAISIE!$E$210:$E$409,$H$479)&gt;0)),"",IFERROR(IF(_xlfn.MINIFS(SAISIE!$D$210:$D$409,SAISIE!$B$210:$B$409,"*Vent Av./Arr.*",SAISIE!$E$210:$E$409,$H$479)&gt;=0,0,_xlfn.MINIFS(SAISIE!$D$210:$D$409,SAISIE!$B$210:$B$409,"*Vent Av./Arr.*",SAISIE!$E$210:$E$409,$H$479)),"-"))</f>
        <v/>
      </c>
      <c r="D485" s="6" t="str">
        <f>IF($H$479="","",IF(OR(C485="",C485="-"),"",IF(C485&gt;0,"(soulevement)",IF(C485&lt;0,"(compression)","-"))))</f>
        <v/>
      </c>
    </row>
    <row r="486" spans="1:4" x14ac:dyDescent="0.25">
      <c r="A486" s="5" t="str">
        <f>IF(OR($H$479="",NOT(_xlfn.MAXIFS(SAISIE!$D$210:$D$409,SAISIE!$B$210:$B$409,"*Vent Av./Arr.*",SAISIE!$E$210:$E$409,$H$479)&gt;0)),"","Vent Av./Arr.")</f>
        <v/>
      </c>
      <c r="B486" s="6" t="str">
        <f>IF(OR($H$479="",NOT(_xlfn.MAXIFS(SAISIE!$D$210:$D$409,SAISIE!$B$210:$B$409,"*Vent Av./Arr.*",SAISIE!$E$210:$E$409,$H$479)&gt;0)),"",IFERROR(INDEX(SAISIE!$C$210:$C$409,MATCH(_xlfn.MAXIFS(SAISIE!$D$210:$D$409,SAISIE!$B$210:$B$409,"*Vent Av./Arr.*",SAISIE!$E$210:$E$409,$H$479),SAISIE!$D$210:$D$409,0)),"-"))</f>
        <v/>
      </c>
      <c r="C486" s="6" t="str">
        <f>IF(OR($H$479="",NOT(_xlfn.MAXIFS(SAISIE!$D$210:$D$409,SAISIE!$B$210:$B$409,"*Vent Av./Arr.*",SAISIE!$E$210:$E$409,$H$479)&gt;0)),"",IFERROR(_xlfn.MAXIFS(SAISIE!$D$210:$D$409,SAISIE!$B$210:$B$409,"*Vent Av./Arr.*",SAISIE!$E$210:$E$409,$H$479),"-"))</f>
        <v/>
      </c>
      <c r="D486" s="6" t="str">
        <f>IF($H$479="","",IF(OR(C486="",C486="-"),"",IF(C486&gt;0,"(soulevement)",IF(C486&lt;0,"(compression)","-"))))</f>
        <v/>
      </c>
    </row>
    <row r="487" spans="1:4" x14ac:dyDescent="0.25">
      <c r="A487" s="5" t="str">
        <f>IF(OR($H$479="",NOT(COUNTIFS(SAISIE!$B$210:$B$409,"*Vent Arr./Av.*",SAISIE!$E$210:$E$409,$H$479)&gt;0)),"","Vent Arr./Av.")</f>
        <v/>
      </c>
      <c r="B487" s="6" t="str">
        <f>IF(OR($H$479="",NOT(COUNTIFS(SAISIE!$B$210:$B$409,"*Vent Arr./Av.*",SAISIE!$E$210:$E$409,$H$479)&gt;0)),"",IFERROR(IF(_xlfn.MINIFS(SAISIE!$D$210:$D$409,SAISIE!$B$210:$B$409,"*Vent Arr./Av.*",SAISIE!$E$210:$E$409,$H$479)&gt;=0,_xlfn.MAXIFS(SAISIE!$C$210:$C$409,SAISIE!$B$210:$B$409,"*Vent Arr./Av.*",SAISIE!$E$210:$E$409,$H$479),INDEX(SAISIE!$C$210:$C$409,MATCH(_xlfn.MINIFS(SAISIE!$D$210:$D$409,SAISIE!$B$210:$B$409,"*Vent Arr./Av.*",SAISIE!$E$210:$E$409,$H$479),SAISIE!$D$210:$D$409,0))),"-"))</f>
        <v/>
      </c>
      <c r="C487" s="6" t="str">
        <f>IF(OR($H$479="",NOT(COUNTIFS(SAISIE!$B$210:$B$409,"*Vent Arr./Av.*",SAISIE!$E$210:$E$409,$H$479)&gt;0)),"",IFERROR(IF(_xlfn.MINIFS(SAISIE!$D$210:$D$409,SAISIE!$B$210:$B$409,"*Vent Arr./Av.*",SAISIE!$E$210:$E$409,$H$479)&gt;=0,0,_xlfn.MINIFS(SAISIE!$D$210:$D$409,SAISIE!$B$210:$B$409,"*Vent Arr./Av.*",SAISIE!$E$210:$E$409,$H$479)),"-"))</f>
        <v/>
      </c>
      <c r="D487" s="6" t="str">
        <f>IF($H$479="","",IF(OR(C487="",C487="-"),"",IF(C487&gt;0,"(soulevement)",IF(C487&lt;0,"(compression)","-"))))</f>
        <v/>
      </c>
    </row>
    <row r="488" spans="1:4" x14ac:dyDescent="0.25">
      <c r="A488" s="5" t="str">
        <f>IF(OR($H$479="",NOT(_xlfn.MAXIFS(SAISIE!$D$210:$D$409,SAISIE!$B$210:$B$409,"*Vent Arr./Av.*",SAISIE!$E$210:$E$409,$H$479)&gt;0)),"","Vent Arr./Av.")</f>
        <v/>
      </c>
      <c r="B488" s="6" t="str">
        <f>IF(OR($H$479="",NOT(_xlfn.MAXIFS(SAISIE!$D$210:$D$409,SAISIE!$B$210:$B$409,"*Vent Arr./Av.*",SAISIE!$E$210:$E$409,$H$479)&gt;0)),"",IFERROR(INDEX(SAISIE!$C$210:$C$409,MATCH(_xlfn.MAXIFS(SAISIE!$D$210:$D$409,SAISIE!$B$210:$B$409,"*Vent Arr./Av.*",SAISIE!$E$210:$E$409,$H$479),SAISIE!$D$210:$D$409,0)),"-"))</f>
        <v/>
      </c>
      <c r="C488" s="6" t="str">
        <f>IF(OR($H$479="",NOT(_xlfn.MAXIFS(SAISIE!$D$210:$D$409,SAISIE!$B$210:$B$409,"*Vent Arr./Av.*",SAISIE!$E$210:$E$409,$H$479)&gt;0)),"",IFERROR(_xlfn.MAXIFS(SAISIE!$D$210:$D$409,SAISIE!$B$210:$B$409,"*Vent Arr./Av.*",SAISIE!$E$210:$E$409,$H$479),"-"))</f>
        <v/>
      </c>
      <c r="D488" s="6" t="str">
        <f>IF($H$479="","",IF(OR(C488="",C488="-"),"",IF(C488&gt;0,"(soulevement)",IF(C488&lt;0,"(compression)","-"))))</f>
        <v/>
      </c>
    </row>
    <row r="489" spans="1:4" x14ac:dyDescent="0.25">
      <c r="A489" s="5" t="str">
        <f>IF(OR($H$479="",NOT(TRUE)),"","Neige normale")</f>
        <v/>
      </c>
      <c r="B489" s="6" t="str">
        <f>IF($H$479="","",IFERROR(INDEX(SAISIE!$C$210:$C$409,MATCH(_xlfn.MINIFS(SAISIE!$D$210:$D$409,SAISIE!$B$210:$B$409,"*Neige*",SAISIE!$B$210:$B$409,"&lt;&gt;*accidentel*",SAISIE!$E$210:$E$409,$H$479),SAISIE!$D$210:$D$409,0)),"-"))</f>
        <v/>
      </c>
      <c r="C489" s="6" t="str">
        <f>IF($H$479="","",IFERROR(INDEX(SAISIE!$D$210:$D$409,MATCH(_xlfn.MINIFS(SAISIE!$D$210:$D$409,SAISIE!$B$210:$B$409,"*Neige*",SAISIE!$B$210:$B$409,"&lt;&gt;*accidentel*",SAISIE!$E$210:$E$409,$H$479),SAISIE!$D$210:$D$409,0)),"-"))</f>
        <v/>
      </c>
      <c r="D489" s="6" t="str">
        <f>IF($H$479="","",IF(OR(C489="",C489="-"),"",IF(C489&gt;0,"(soulevement)",IF(C489&lt;0,"(compression)","-"))))</f>
        <v/>
      </c>
    </row>
    <row r="490" spans="1:4" x14ac:dyDescent="0.25">
      <c r="A490" s="5" t="str">
        <f>IF(OR($H$479="",NOT(TRUE)),"","Neige accidentelle")</f>
        <v/>
      </c>
      <c r="B490" s="6" t="str">
        <f>IF($H$479="","",IFERROR(LOOKUP(2,1/((SAISIE!$E$210:$E$409=$H$479)*(ISNUMBER(SEARCH("accidentel",SAISIE!$B$210:$B$409)))),SAISIE!$C$210:$C$409),"-"))</f>
        <v/>
      </c>
      <c r="C490" s="6" t="str">
        <f>IF($H$479="","",IFERROR(LOOKUP(2,1/((SAISIE!$E$210:$E$409=$H$479)*(ISNUMBER(SEARCH("accidentel",SAISIE!$B$210:$B$409)))),SAISIE!$D$210:$D$409),"-"))</f>
        <v/>
      </c>
      <c r="D490" s="6" t="str">
        <f>IF($H$479="","",IF(OR(C490="",C490="-"),"",IF(C490&gt;0,"(soulevement)",IF(C490&lt;0,"(compression)","-"))))</f>
        <v/>
      </c>
    </row>
  </sheetData>
  <mergeCells count="44">
    <mergeCell ref="A127:E127"/>
    <mergeCell ref="A67:E67"/>
    <mergeCell ref="A139:E139"/>
    <mergeCell ref="A2:E2"/>
    <mergeCell ref="A359:D359"/>
    <mergeCell ref="A175:E175"/>
    <mergeCell ref="A151:E151"/>
    <mergeCell ref="A235:E235"/>
    <mergeCell ref="A5:E5"/>
    <mergeCell ref="A335:D335"/>
    <mergeCell ref="A91:E91"/>
    <mergeCell ref="A43:E43"/>
    <mergeCell ref="A199:E199"/>
    <mergeCell ref="A19:E19"/>
    <mergeCell ref="A211:E211"/>
    <mergeCell ref="A115:E115"/>
    <mergeCell ref="A251:D251"/>
    <mergeCell ref="A31:E31"/>
    <mergeCell ref="A1:E1"/>
    <mergeCell ref="A103:E103"/>
    <mergeCell ref="A407:D407"/>
    <mergeCell ref="A323:D323"/>
    <mergeCell ref="A299:D299"/>
    <mergeCell ref="A79:E79"/>
    <mergeCell ref="A249:D249"/>
    <mergeCell ref="A347:D347"/>
    <mergeCell ref="A187:E187"/>
    <mergeCell ref="A7:E7"/>
    <mergeCell ref="A275:D275"/>
    <mergeCell ref="A223:E223"/>
    <mergeCell ref="A383:D383"/>
    <mergeCell ref="A55:E55"/>
    <mergeCell ref="A287:D287"/>
    <mergeCell ref="A163:E163"/>
    <mergeCell ref="A263:D263"/>
    <mergeCell ref="A479:D479"/>
    <mergeCell ref="A311:D311"/>
    <mergeCell ref="A395:D395"/>
    <mergeCell ref="A371:D371"/>
    <mergeCell ref="A455:D455"/>
    <mergeCell ref="A431:D431"/>
    <mergeCell ref="A467:D467"/>
    <mergeCell ref="A419:D419"/>
    <mergeCell ref="A443:D4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EMPLOI</vt:lpstr>
      <vt:lpstr>SAISIE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Rio</cp:lastModifiedBy>
  <dcterms:created xsi:type="dcterms:W3CDTF">2026-06-18T15:41:50Z</dcterms:created>
  <dcterms:modified xsi:type="dcterms:W3CDTF">2026-06-18T15:42:06Z</dcterms:modified>
</cp:coreProperties>
</file>